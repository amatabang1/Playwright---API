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ITG01385\Playwright - Embedded Banking\testdata\"/>
    </mc:Choice>
  </mc:AlternateContent>
  <xr:revisionPtr revIDLastSave="0" documentId="13_ncr:1_{654FDFDE-2D98-4179-B787-3C3FE6B2843E}" xr6:coauthVersionLast="47" xr6:coauthVersionMax="47" xr10:uidLastSave="{00000000-0000-0000-0000-000000000000}"/>
  <bookViews>
    <workbookView xWindow="-108" yWindow="-108" windowWidth="23256" windowHeight="13896" firstSheet="8" activeTab="13" xr2:uid="{00000000-000D-0000-FFFF-FFFF00000000}"/>
  </bookViews>
  <sheets>
    <sheet name="Script Inventory" sheetId="1" r:id="rId1"/>
    <sheet name="Legend" sheetId="2" r:id="rId2"/>
    <sheet name="SBAuthAPI" sheetId="3" r:id="rId3"/>
    <sheet name="SBBankList" sheetId="4" r:id="rId4"/>
    <sheet name="SBCheckStatus" sheetId="5" r:id="rId5"/>
    <sheet name="SBSendFunds" sheetId="6" r:id="rId6"/>
    <sheet name="PTTAuthAPI" sheetId="7" r:id="rId7"/>
    <sheet name="PTTBankList" sheetId="8" r:id="rId8"/>
    <sheet name="PTTCheckStatus" sheetId="9" r:id="rId9"/>
    <sheet name="PTTSendFunds" sheetId="10" r:id="rId10"/>
    <sheet name="PTLAuthAPI" sheetId="11" r:id="rId11"/>
    <sheet name="PTLBankList" sheetId="12" r:id="rId12"/>
    <sheet name="PTLCheckStatus" sheetId="13" r:id="rId13"/>
    <sheet name="PTLSendFunds" sheetId="14" r:id="rId14"/>
  </sheets>
  <definedNames>
    <definedName name="_xlnm._FilterDatabase" localSheetId="12">PTLCheckStatus!$A$2:$V$2</definedName>
    <definedName name="_xlnm._FilterDatabase" localSheetId="13" hidden="1">PTLSendFunds!$A$1:$AO$303</definedName>
    <definedName name="_xlnm._FilterDatabase" localSheetId="6">PTTAuthAPI!$F$1:$F$19</definedName>
    <definedName name="_xlnm._FilterDatabase" localSheetId="8" hidden="1">PTTCheckStatus!$A$1:$T$1</definedName>
    <definedName name="_xlnm._FilterDatabase" localSheetId="9" hidden="1">PTTSendFunds!$A$1:$AO$234</definedName>
    <definedName name="_xlnm._FilterDatabase" localSheetId="5" hidden="1">SBSendFunds!$A$1:$AO$115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3" i="14" l="1"/>
  <c r="B264" i="14"/>
  <c r="B265" i="14"/>
  <c r="B266" i="14"/>
  <c r="B260" i="14"/>
  <c r="B261" i="14"/>
  <c r="B262" i="14"/>
  <c r="B289" i="14"/>
  <c r="B290" i="14"/>
  <c r="B291" i="14"/>
  <c r="B285" i="14"/>
  <c r="B286" i="14"/>
  <c r="B287" i="14"/>
  <c r="B281" i="14"/>
  <c r="B282" i="14"/>
  <c r="B283" i="14"/>
  <c r="B277" i="14"/>
  <c r="B278" i="14"/>
  <c r="B279" i="14"/>
  <c r="B273" i="14"/>
  <c r="B274" i="14"/>
  <c r="B275" i="14"/>
  <c r="B255" i="14"/>
  <c r="B256" i="14"/>
  <c r="B257" i="14"/>
  <c r="B251" i="14"/>
  <c r="B252" i="14"/>
  <c r="B253" i="14"/>
  <c r="B250" i="14"/>
  <c r="B254" i="14"/>
  <c r="B258" i="14"/>
  <c r="B259" i="14"/>
  <c r="B246" i="14"/>
  <c r="B247" i="14"/>
  <c r="B248" i="14"/>
  <c r="B249" i="14"/>
  <c r="B242" i="14"/>
  <c r="B243" i="14"/>
  <c r="B244" i="14"/>
  <c r="B245" i="14"/>
  <c r="B239" i="14"/>
  <c r="B240" i="14"/>
  <c r="B241" i="14"/>
  <c r="B235" i="14"/>
  <c r="B236" i="14"/>
  <c r="B237" i="14"/>
  <c r="B231" i="14"/>
  <c r="B232" i="14"/>
  <c r="B228" i="14"/>
  <c r="B229" i="14"/>
  <c r="B230" i="14"/>
  <c r="B223" i="14"/>
  <c r="B224" i="14"/>
  <c r="B225" i="14"/>
  <c r="B226" i="14"/>
  <c r="B219" i="14"/>
  <c r="B220" i="14"/>
  <c r="B221" i="14"/>
  <c r="B222" i="14"/>
  <c r="B213" i="14"/>
  <c r="B214" i="14"/>
  <c r="B215" i="14"/>
  <c r="B216" i="14"/>
  <c r="B217" i="14"/>
  <c r="B218" i="14"/>
  <c r="B212" i="14"/>
  <c r="B207" i="14"/>
  <c r="B208" i="14"/>
  <c r="B209" i="14"/>
  <c r="B210" i="14"/>
  <c r="B204" i="14"/>
  <c r="B200" i="14"/>
  <c r="B195" i="14"/>
  <c r="B196" i="14"/>
  <c r="B197" i="14"/>
  <c r="B191" i="14"/>
  <c r="B192" i="14"/>
  <c r="B193" i="14"/>
  <c r="B187" i="14"/>
  <c r="B188" i="14"/>
  <c r="B189" i="14"/>
  <c r="B180" i="14"/>
  <c r="B181" i="14"/>
  <c r="B182" i="14"/>
  <c r="B174" i="14"/>
  <c r="B175" i="14"/>
  <c r="B176" i="14"/>
  <c r="B162" i="14"/>
  <c r="B163" i="14"/>
  <c r="B164" i="14"/>
  <c r="B165" i="14"/>
  <c r="B166" i="14"/>
  <c r="B167" i="14"/>
  <c r="B168" i="14"/>
  <c r="B120" i="14"/>
  <c r="B115" i="14"/>
  <c r="B116" i="14"/>
  <c r="B117" i="14"/>
  <c r="B118" i="14"/>
  <c r="B119" i="14"/>
  <c r="B102" i="14"/>
  <c r="B100" i="14"/>
  <c r="B101" i="14"/>
  <c r="B97" i="14"/>
  <c r="B98" i="14"/>
  <c r="B99" i="14"/>
  <c r="B76" i="14"/>
  <c r="B69" i="14"/>
  <c r="B70" i="14"/>
  <c r="B66" i="14"/>
  <c r="B58" i="14"/>
  <c r="B59" i="14"/>
  <c r="B60" i="14"/>
  <c r="B54" i="14"/>
  <c r="B55" i="14"/>
  <c r="B56" i="14"/>
  <c r="B49" i="14"/>
  <c r="B50" i="14"/>
  <c r="B51" i="14"/>
  <c r="B52" i="14"/>
  <c r="B46" i="14"/>
  <c r="B47" i="14"/>
  <c r="B48" i="14"/>
  <c r="B45" i="14"/>
  <c r="B41" i="14"/>
  <c r="B42" i="14"/>
  <c r="B43" i="14"/>
  <c r="B44" i="14"/>
  <c r="B38" i="14"/>
  <c r="B39" i="14"/>
  <c r="B40" i="14"/>
  <c r="B36" i="14"/>
  <c r="B35" i="14"/>
  <c r="B34" i="14"/>
  <c r="B33" i="14"/>
  <c r="B30" i="14"/>
  <c r="B31" i="14"/>
  <c r="B32" i="14"/>
  <c r="B28" i="14"/>
  <c r="B27" i="14"/>
  <c r="B26" i="14"/>
  <c r="B25" i="14"/>
  <c r="B22" i="14"/>
  <c r="B23" i="14"/>
  <c r="B24" i="14"/>
  <c r="B17" i="14"/>
  <c r="B11" i="14"/>
  <c r="B12" i="14"/>
  <c r="B13" i="14"/>
  <c r="B10" i="14"/>
  <c r="B7" i="14"/>
  <c r="B8" i="14"/>
  <c r="B9" i="14"/>
  <c r="B6" i="14"/>
  <c r="B211" i="10" l="1"/>
  <c r="B212" i="10"/>
  <c r="B213" i="10"/>
  <c r="B214" i="10"/>
  <c r="B208" i="10"/>
  <c r="B209" i="10"/>
  <c r="B210" i="10"/>
  <c r="B200" i="10"/>
  <c r="B201" i="10"/>
  <c r="B202" i="10"/>
  <c r="B196" i="10"/>
  <c r="B195" i="10"/>
  <c r="B194" i="10"/>
  <c r="B193" i="10"/>
  <c r="B190" i="10"/>
  <c r="B191" i="10"/>
  <c r="B192" i="10"/>
  <c r="B189" i="10"/>
  <c r="B187" i="10"/>
  <c r="B188" i="10"/>
  <c r="B186" i="10"/>
  <c r="B181" i="10"/>
  <c r="B182" i="10"/>
  <c r="B183" i="10"/>
  <c r="B175" i="10"/>
  <c r="B176" i="10"/>
  <c r="B177" i="10"/>
  <c r="B174" i="10"/>
  <c r="B170" i="10"/>
  <c r="B171" i="10"/>
  <c r="B172" i="10"/>
  <c r="B173" i="10"/>
  <c r="B167" i="10"/>
  <c r="B168" i="10"/>
  <c r="B169" i="10"/>
  <c r="B161" i="10"/>
  <c r="B162" i="10"/>
  <c r="B163" i="10"/>
  <c r="B164" i="10"/>
  <c r="B165" i="10"/>
  <c r="B166" i="10"/>
  <c r="B160" i="10"/>
  <c r="B159" i="10"/>
  <c r="B155" i="10"/>
  <c r="B147" i="10"/>
  <c r="B148" i="10"/>
  <c r="B149" i="10"/>
  <c r="B158" i="10"/>
  <c r="B178" i="10"/>
  <c r="B179" i="10"/>
  <c r="B180" i="10"/>
  <c r="B184" i="10"/>
  <c r="B185" i="10"/>
  <c r="B197" i="10"/>
  <c r="B198" i="10"/>
  <c r="B199" i="10"/>
  <c r="B203" i="10"/>
  <c r="B204" i="10"/>
  <c r="B205" i="10"/>
  <c r="B206" i="10"/>
  <c r="B207" i="10"/>
  <c r="B215" i="10"/>
  <c r="B216" i="10"/>
  <c r="B217" i="10"/>
  <c r="B218" i="10"/>
  <c r="B219" i="10"/>
  <c r="B220" i="10"/>
  <c r="B221" i="10"/>
  <c r="B222" i="10"/>
  <c r="B223" i="10"/>
  <c r="B224" i="10"/>
  <c r="B225" i="10"/>
  <c r="B226" i="10"/>
  <c r="B227" i="10"/>
  <c r="B228" i="10"/>
  <c r="B229" i="10"/>
  <c r="B230" i="10"/>
  <c r="B231" i="10"/>
  <c r="B157" i="10"/>
  <c r="B150" i="10"/>
  <c r="B151" i="10"/>
  <c r="B152" i="10"/>
  <c r="B153" i="10"/>
  <c r="B154" i="10"/>
  <c r="B156" i="10"/>
  <c r="B146" i="10"/>
  <c r="B143" i="10"/>
  <c r="B144" i="10"/>
  <c r="B145" i="10"/>
  <c r="B142" i="10"/>
  <c r="B140" i="10"/>
  <c r="B137" i="10"/>
  <c r="B136" i="10"/>
  <c r="B132" i="10"/>
  <c r="B133" i="10"/>
  <c r="B134" i="10"/>
  <c r="B135" i="10"/>
  <c r="B131" i="10"/>
  <c r="B127" i="10"/>
  <c r="B128" i="10"/>
  <c r="B129" i="10"/>
  <c r="B130" i="10"/>
  <c r="B123" i="10"/>
  <c r="B124" i="10"/>
  <c r="B125" i="10"/>
  <c r="B126" i="10"/>
  <c r="B119" i="10"/>
  <c r="B120" i="10"/>
  <c r="B121" i="10"/>
  <c r="B122" i="10"/>
  <c r="B118" i="10"/>
  <c r="B115" i="10"/>
  <c r="B116" i="10"/>
  <c r="B117" i="10"/>
  <c r="B111" i="10"/>
  <c r="B112" i="10"/>
  <c r="B113" i="10"/>
  <c r="B114" i="10"/>
  <c r="B105" i="10"/>
  <c r="B106" i="10"/>
  <c r="B107" i="10"/>
  <c r="B108" i="10"/>
  <c r="B109" i="10"/>
  <c r="B110" i="10"/>
  <c r="B104" i="10"/>
  <c r="B103" i="10"/>
  <c r="B101" i="10"/>
  <c r="B102" i="10"/>
  <c r="B100" i="10"/>
  <c r="B97" i="10"/>
  <c r="B98" i="10"/>
  <c r="B99" i="10"/>
  <c r="B96" i="10"/>
  <c r="B93" i="10"/>
  <c r="B94" i="10"/>
  <c r="B95" i="10"/>
  <c r="B91" i="10"/>
  <c r="B92" i="10"/>
  <c r="B90" i="10"/>
  <c r="B89" i="10"/>
  <c r="B88" i="10"/>
  <c r="B78" i="10"/>
  <c r="B75" i="10"/>
  <c r="B76" i="10"/>
  <c r="B77" i="10"/>
  <c r="B73" i="10"/>
  <c r="B74" i="10"/>
  <c r="B72" i="10"/>
  <c r="B68" i="10"/>
  <c r="B69" i="10"/>
  <c r="B70" i="10"/>
  <c r="B66" i="10"/>
  <c r="B64" i="10"/>
  <c r="B65" i="10"/>
  <c r="B63" i="10"/>
  <c r="B60" i="10"/>
  <c r="B61" i="10"/>
  <c r="B62" i="10"/>
  <c r="B57" i="10"/>
  <c r="B58" i="10"/>
  <c r="B59" i="10"/>
  <c r="B53" i="10"/>
  <c r="B54" i="10"/>
  <c r="B55" i="10"/>
  <c r="B56" i="10"/>
  <c r="B48" i="10"/>
  <c r="B49" i="10"/>
  <c r="B50" i="10"/>
  <c r="B51" i="10"/>
  <c r="B44" i="10"/>
  <c r="B45" i="10"/>
  <c r="B46" i="10"/>
  <c r="B47" i="10"/>
  <c r="B40" i="10"/>
  <c r="B41" i="10"/>
  <c r="B42" i="10"/>
  <c r="B43" i="10"/>
  <c r="B36" i="10"/>
  <c r="B37" i="10"/>
  <c r="B38" i="10"/>
  <c r="B39" i="10"/>
  <c r="B32" i="10"/>
  <c r="B33" i="10"/>
  <c r="B34" i="10"/>
  <c r="B35" i="10"/>
  <c r="B29" i="10"/>
  <c r="B30" i="10"/>
  <c r="B31" i="10"/>
  <c r="B25" i="10"/>
  <c r="B26" i="10"/>
  <c r="B27" i="10"/>
  <c r="B21" i="10"/>
  <c r="B22" i="10"/>
  <c r="B23" i="10"/>
  <c r="B17" i="10"/>
  <c r="B18" i="10"/>
  <c r="B10" i="10"/>
  <c r="B11" i="10"/>
  <c r="B12" i="10"/>
  <c r="B13" i="10"/>
  <c r="B7" i="10"/>
  <c r="B8" i="10"/>
  <c r="B9" i="10"/>
  <c r="B15" i="6" l="1"/>
  <c r="B16" i="6"/>
  <c r="B17" i="6"/>
  <c r="B18" i="6"/>
  <c r="B19" i="6"/>
  <c r="B20" i="6"/>
  <c r="B21" i="6"/>
  <c r="B14" i="6"/>
  <c r="B22" i="6"/>
  <c r="B23" i="6"/>
  <c r="B24" i="6"/>
  <c r="B25" i="6"/>
  <c r="B26" i="6"/>
  <c r="B27" i="6"/>
  <c r="B28" i="6"/>
  <c r="B29" i="6"/>
  <c r="B30" i="6"/>
  <c r="B31" i="6"/>
  <c r="B32" i="6"/>
  <c r="B33"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42" i="6"/>
  <c r="B35" i="6"/>
  <c r="B36" i="6"/>
  <c r="B37" i="6"/>
  <c r="B38" i="6"/>
  <c r="B39" i="6"/>
  <c r="B40" i="6"/>
  <c r="B41" i="6"/>
  <c r="B34" i="6"/>
  <c r="B3" i="14"/>
  <c r="B4" i="14"/>
  <c r="B5" i="14"/>
  <c r="B14" i="14"/>
  <c r="B15" i="14"/>
  <c r="B16" i="14"/>
  <c r="B18" i="14"/>
  <c r="B19" i="14"/>
  <c r="B20" i="14"/>
  <c r="B21" i="14"/>
  <c r="B29" i="14"/>
  <c r="B37" i="14"/>
  <c r="B53" i="14"/>
  <c r="B57" i="14"/>
  <c r="B61" i="14"/>
  <c r="B62" i="14"/>
  <c r="B63" i="14"/>
  <c r="B64" i="14"/>
  <c r="B65" i="14"/>
  <c r="B67" i="14"/>
  <c r="B68" i="14"/>
  <c r="B71" i="14"/>
  <c r="B72" i="14"/>
  <c r="B73" i="14"/>
  <c r="B74" i="14"/>
  <c r="B75" i="14"/>
  <c r="B77" i="14"/>
  <c r="B78" i="14"/>
  <c r="B79" i="14"/>
  <c r="B80" i="14"/>
  <c r="B81" i="14"/>
  <c r="B82" i="14"/>
  <c r="B83" i="14"/>
  <c r="B84" i="14"/>
  <c r="B85" i="14"/>
  <c r="B86" i="14"/>
  <c r="B87" i="14"/>
  <c r="B88" i="14"/>
  <c r="B89" i="14"/>
  <c r="B90" i="14"/>
  <c r="B91" i="14"/>
  <c r="B92" i="14"/>
  <c r="B93" i="14"/>
  <c r="B94" i="14"/>
  <c r="B95" i="14"/>
  <c r="B96" i="14"/>
  <c r="B103" i="14"/>
  <c r="B104" i="14"/>
  <c r="B105" i="14"/>
  <c r="B106" i="14"/>
  <c r="B107" i="14"/>
  <c r="B108" i="14"/>
  <c r="B109" i="14"/>
  <c r="B110" i="14"/>
  <c r="B111" i="14"/>
  <c r="B112" i="14"/>
  <c r="B113" i="14"/>
  <c r="B114"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9" i="14"/>
  <c r="B170" i="14"/>
  <c r="B171" i="14"/>
  <c r="B172" i="14"/>
  <c r="B173" i="14"/>
  <c r="B177" i="14"/>
  <c r="B178" i="14"/>
  <c r="B179" i="14"/>
  <c r="B183" i="14"/>
  <c r="B184" i="14"/>
  <c r="B185" i="14"/>
  <c r="B186" i="14"/>
  <c r="B190" i="14"/>
  <c r="B194" i="14"/>
  <c r="B198" i="14"/>
  <c r="B199" i="14"/>
  <c r="B201" i="14"/>
  <c r="B202" i="14"/>
  <c r="B203" i="14"/>
  <c r="B205" i="14"/>
  <c r="B206" i="14"/>
  <c r="B211" i="14"/>
  <c r="B227" i="14"/>
  <c r="B233" i="14"/>
  <c r="B234" i="14"/>
  <c r="B238" i="14"/>
  <c r="B267" i="14"/>
  <c r="B268" i="14"/>
  <c r="B269" i="14"/>
  <c r="B270" i="14"/>
  <c r="B271" i="14"/>
  <c r="B272" i="14"/>
  <c r="B276" i="14"/>
  <c r="B280" i="14"/>
  <c r="B284" i="14"/>
  <c r="B288" i="14"/>
  <c r="B292" i="14"/>
  <c r="B293" i="14"/>
  <c r="B294" i="14"/>
  <c r="B295" i="14"/>
  <c r="B296" i="14"/>
  <c r="B297" i="14"/>
  <c r="B298" i="14"/>
  <c r="B299" i="14"/>
  <c r="B300" i="14"/>
  <c r="B301" i="14"/>
  <c r="B302" i="14"/>
  <c r="B303" i="14"/>
  <c r="B2" i="14"/>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2" i="13"/>
  <c r="B141" i="10"/>
  <c r="B139" i="10"/>
  <c r="B138" i="10"/>
  <c r="B87" i="10"/>
  <c r="B86" i="10"/>
  <c r="B85" i="10"/>
  <c r="B84" i="10"/>
  <c r="B83" i="10"/>
  <c r="B82" i="10"/>
  <c r="B81" i="10"/>
  <c r="B80" i="10"/>
  <c r="B79" i="10"/>
  <c r="B71" i="10"/>
  <c r="B67" i="10"/>
  <c r="B52" i="10"/>
  <c r="B28" i="10"/>
  <c r="B24" i="10"/>
  <c r="B20" i="10"/>
  <c r="B19" i="10"/>
  <c r="B16" i="10"/>
  <c r="B15" i="10"/>
  <c r="B14" i="10"/>
  <c r="B6" i="10"/>
  <c r="B5" i="10"/>
  <c r="B4" i="10"/>
  <c r="B3" i="10"/>
  <c r="B2" i="10"/>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11" i="6"/>
  <c r="B12" i="6"/>
  <c r="B13" i="6"/>
  <c r="B10" i="6"/>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21" i="5"/>
  <c r="B3" i="5"/>
  <c r="B4" i="5"/>
  <c r="B5" i="5"/>
  <c r="B6" i="5"/>
  <c r="B7" i="5"/>
  <c r="B8" i="5"/>
  <c r="B9" i="5"/>
  <c r="B10" i="5"/>
  <c r="B11" i="5"/>
  <c r="B12" i="5"/>
  <c r="B13" i="5"/>
  <c r="B14" i="5"/>
  <c r="B15" i="5"/>
  <c r="B16" i="5"/>
  <c r="B17" i="5"/>
  <c r="B18" i="5"/>
  <c r="B19" i="5"/>
  <c r="B20" i="5"/>
  <c r="B2" i="5"/>
  <c r="J14" i="4"/>
  <c r="J7" i="4"/>
  <c r="J5" i="4"/>
  <c r="J4" i="4"/>
  <c r="B19" i="4"/>
  <c r="B18" i="4"/>
  <c r="B17" i="4"/>
  <c r="B16" i="4"/>
  <c r="B15" i="4"/>
  <c r="B14" i="4"/>
  <c r="B12" i="4"/>
  <c r="B13" i="4"/>
  <c r="B5" i="4"/>
  <c r="B6" i="4"/>
  <c r="B7" i="4"/>
  <c r="B8" i="4"/>
  <c r="B9" i="4"/>
  <c r="B10" i="4"/>
  <c r="B11" i="4"/>
  <c r="B3" i="4"/>
  <c r="B4" i="4"/>
  <c r="B2" i="4"/>
  <c r="B2" i="8"/>
  <c r="D12" i="1"/>
  <c r="D11" i="1"/>
  <c r="D10" i="1"/>
  <c r="D9" i="1"/>
  <c r="D6" i="1"/>
  <c r="D4" i="1"/>
  <c r="D3" i="1"/>
  <c r="D13" i="1" l="1"/>
  <c r="D18" i="1"/>
  <c r="D17" i="1"/>
  <c r="D16" i="1"/>
  <c r="D15" i="1"/>
  <c r="D5" i="1"/>
  <c r="D19" i="1" l="1"/>
  <c r="D7" i="1"/>
  <c r="D2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tc={8DDC1EA8-838E-4DFA-8045-6FD5FD670E05}</author>
    <author>tc={8189F749-7DAC-4F8E-9304-EB9AF70491AD}</author>
    <author>tc={09EA743A-B0F0-4B3D-A25E-0119506FAEAB}</author>
    <author>tc={F8605205-9702-482F-BE04-4F1DB2F78862}</author>
    <author>tc={C884FD59-AD05-4F8F-9ECC-3F4D0C0C0814}</author>
    <author>tc={90BBB762-607F-4E77-ABF8-BE7F19013EE7}</author>
    <author>tc={BDCA01C6-ABC7-4B96-BA57-0C118666CEF1}</author>
    <author>tc={C503B3EA-84A1-4C1F-B15A-C36BABD43DD7}</author>
    <author>tc={308E38F8-3F1D-4A6F-A0A9-84F504381E11}</author>
    <author>tc={F0511950-9721-4752-80AB-07DC311B03C9}</author>
    <author>tc={1CD7A5AE-646E-4BF9-96B5-494AED867DB3}</author>
    <author>tc={F1A2AEB8-8DA0-4D1F-BE96-A598893C509D}</author>
    <author>tc={EA011FA4-3759-4603-9B71-10048E460BC4}</author>
    <author>tc={94B26C2B-54C8-4646-9C2C-DFBF563E6942}</author>
    <author>tc={C4279C71-C967-4850-80C1-E59AE0F8FCCD}</author>
  </authors>
  <commentList>
    <comment ref="C121" authorId="0" shapeId="0" xr:uid="{8DDC1EA8-838E-4DFA-8045-6FD5FD670E05}">
      <text>
        <t>[Threaded comment]
Your version of Excel allows you to read this threaded comment; however, any edits to it will get removed if the file is opened in a newer version of Excel. Learn more: https://go.microsoft.com/fwlink/?linkid=870924
Comment:
    Non-Core</t>
      </text>
    </comment>
    <comment ref="C122" authorId="1" shapeId="0" xr:uid="{8189F749-7DAC-4F8E-9304-EB9AF70491AD}">
      <text>
        <t>[Threaded comment]
Your version of Excel allows you to read this threaded comment; however, any edits to it will get removed if the file is opened in a newer version of Excel. Learn more: https://go.microsoft.com/fwlink/?linkid=870924
Comment:
    Non-Core</t>
      </text>
    </comment>
    <comment ref="C123" authorId="2" shapeId="0" xr:uid="{09EA743A-B0F0-4B3D-A25E-0119506FAEAB}">
      <text>
        <t>[Threaded comment]
Your version of Excel allows you to read this threaded comment; however, any edits to it will get removed if the file is opened in a newer version of Excel. Learn more: https://go.microsoft.com/fwlink/?linkid=870924
Comment:
    Non-Core</t>
      </text>
    </comment>
    <comment ref="C124" authorId="3" shapeId="0" xr:uid="{F8605205-9702-482F-BE04-4F1DB2F78862}">
      <text>
        <t>[Threaded comment]
Your version of Excel allows you to read this threaded comment; however, any edits to it will get removed if the file is opened in a newer version of Excel. Learn more: https://go.microsoft.com/fwlink/?linkid=870924
Comment:
    Non-Core</t>
      </text>
    </comment>
    <comment ref="C125" authorId="4" shapeId="0" xr:uid="{C884FD59-AD05-4F8F-9ECC-3F4D0C0C0814}">
      <text>
        <t>[Threaded comment]
Your version of Excel allows you to read this threaded comment; however, any edits to it will get removed if the file is opened in a newer version of Excel. Learn more: https://go.microsoft.com/fwlink/?linkid=870924
Comment:
    Non-Core</t>
      </text>
    </comment>
    <comment ref="C126" authorId="5" shapeId="0" xr:uid="{90BBB762-607F-4E77-ABF8-BE7F19013EE7}">
      <text>
        <t>[Threaded comment]
Your version of Excel allows you to read this threaded comment; however, any edits to it will get removed if the file is opened in a newer version of Excel. Learn more: https://go.microsoft.com/fwlink/?linkid=870924
Comment:
    Non-Core</t>
      </text>
    </comment>
    <comment ref="C127" authorId="6" shapeId="0" xr:uid="{BDCA01C6-ABC7-4B96-BA57-0C118666CEF1}">
      <text>
        <t>[Threaded comment]
Your version of Excel allows you to read this threaded comment; however, any edits to it will get removed if the file is opened in a newer version of Excel. Learn more: https://go.microsoft.com/fwlink/?linkid=870924
Comment:
    Non-Core</t>
      </text>
    </comment>
    <comment ref="C128" authorId="7" shapeId="0" xr:uid="{C503B3EA-84A1-4C1F-B15A-C36BABD43DD7}">
      <text>
        <t>[Threaded comment]
Your version of Excel allows you to read this threaded comment; however, any edits to it will get removed if the file is opened in a newer version of Excel. Learn more: https://go.microsoft.com/fwlink/?linkid=870924
Comment:
    Non-Core</t>
      </text>
    </comment>
    <comment ref="C129" authorId="8" shapeId="0" xr:uid="{308E38F8-3F1D-4A6F-A0A9-84F504381E11}">
      <text>
        <t>[Threaded comment]
Your version of Excel allows you to read this threaded comment; however, any edits to it will get removed if the file is opened in a newer version of Excel. Learn more: https://go.microsoft.com/fwlink/?linkid=870924
Comment:
    Non-Core</t>
      </text>
    </comment>
    <comment ref="C130" authorId="9" shapeId="0" xr:uid="{F0511950-9721-4752-80AB-07DC311B03C9}">
      <text>
        <t>[Threaded comment]
Your version of Excel allows you to read this threaded comment; however, any edits to it will get removed if the file is opened in a newer version of Excel. Learn more: https://go.microsoft.com/fwlink/?linkid=870924
Comment:
    Non-Core</t>
      </text>
    </comment>
    <comment ref="C131" authorId="10" shapeId="0" xr:uid="{1CD7A5AE-646E-4BF9-96B5-494AED867DB3}">
      <text>
        <t>[Threaded comment]
Your version of Excel allows you to read this threaded comment; however, any edits to it will get removed if the file is opened in a newer version of Excel. Learn more: https://go.microsoft.com/fwlink/?linkid=870924
Comment:
    Non-Core</t>
      </text>
    </comment>
    <comment ref="C132" authorId="11" shapeId="0" xr:uid="{F1A2AEB8-8DA0-4D1F-BE96-A598893C509D}">
      <text>
        <t>[Threaded comment]
Your version of Excel allows you to read this threaded comment; however, any edits to it will get removed if the file is opened in a newer version of Excel. Learn more: https://go.microsoft.com/fwlink/?linkid=870924
Comment:
    Non-Core</t>
      </text>
    </comment>
    <comment ref="C171" authorId="12" shapeId="0" xr:uid="{EA011FA4-3759-4603-9B71-10048E460BC4}">
      <text>
        <t>[Threaded comment]
Your version of Excel allows you to read this threaded comment; however, any edits to it will get removed if the file is opened in a newer version of Excel. Learn more: https://go.microsoft.com/fwlink/?linkid=870924
Comment:
    Non-Core</t>
      </text>
    </comment>
    <comment ref="C219" authorId="13" shapeId="0" xr:uid="{94B26C2B-54C8-4646-9C2C-DFBF563E6942}">
      <text>
        <t>[Threaded comment]
Your version of Excel allows you to read this threaded comment; however, any edits to it will get removed if the file is opened in a newer version of Excel. Learn more: https://go.microsoft.com/fwlink/?linkid=870924
Comment:
    Non-Core</t>
      </text>
    </comment>
    <comment ref="C228" authorId="14" shapeId="0" xr:uid="{C4279C71-C967-4850-80C1-E59AE0F8FCCD}">
      <text>
        <t>[Threaded comment]
Your version of Excel allows you to read this threaded comment; however, any edits to it will get removed if the file is opened in a newer version of Excel. Learn more: https://go.microsoft.com/fwlink/?linkid=870924
Comment:
    Non-Core</t>
      </text>
    </comment>
  </commentList>
</comments>
</file>

<file path=xl/sharedStrings.xml><?xml version="1.0" encoding="utf-8"?>
<sst xmlns="http://schemas.openxmlformats.org/spreadsheetml/2006/main" count="20357" uniqueCount="2659">
  <si>
    <t>SandBox</t>
  </si>
  <si>
    <t>AuthAPI</t>
  </si>
  <si>
    <t>BankList</t>
  </si>
  <si>
    <t>CheckStatus</t>
  </si>
  <si>
    <t>LFT</t>
  </si>
  <si>
    <t>Test</t>
  </si>
  <si>
    <t>Live</t>
  </si>
  <si>
    <t>Overall Count</t>
  </si>
  <si>
    <t xml:space="preserve">Legend: </t>
  </si>
  <si>
    <t>Not Applicable</t>
  </si>
  <si>
    <t>hemPVxAxU8QC6QlJuS5GQoPiP0dFdBzP</t>
  </si>
  <si>
    <t>Client ID</t>
  </si>
  <si>
    <t>Valid Test Data Value</t>
  </si>
  <si>
    <t>pLRFPZKifoRD00dj761QToHciekWqbbh</t>
  </si>
  <si>
    <t>Client Secret</t>
  </si>
  <si>
    <t>Invalid Headers/Body</t>
  </si>
  <si>
    <t>KPEgf6fjIHDaT0HByFjWD49cQWdphJMM</t>
  </si>
  <si>
    <t>API Key</t>
  </si>
  <si>
    <t>Blocked TC</t>
  </si>
  <si>
    <t>Partner ID</t>
  </si>
  <si>
    <t xml:space="preserve">Undecided </t>
  </si>
  <si>
    <t>3TaenF9h5d9FCEEIZRVPc4AxdFggPaxA</t>
  </si>
  <si>
    <t>wE4n0CYiVOdJ9m8EfKuMhxm0m4kOaUOr</t>
  </si>
  <si>
    <t>K6y28Ks1TyrwjONU0PatZ6BhOWfTAuHo</t>
  </si>
  <si>
    <t>#</t>
  </si>
  <si>
    <t>ExecutionFlag</t>
  </si>
  <si>
    <t>CORE</t>
  </si>
  <si>
    <t>TC_ID</t>
  </si>
  <si>
    <t>Description</t>
  </si>
  <si>
    <t>StepAction</t>
  </si>
  <si>
    <t>ExpectedResult</t>
  </si>
  <si>
    <t>ExpectedStatus</t>
  </si>
  <si>
    <t>IN_EndPoint</t>
  </si>
  <si>
    <t>IN_HeadAccept</t>
  </si>
  <si>
    <t>IN_HeadClientID</t>
  </si>
  <si>
    <t>IN_HeadClientSecret</t>
  </si>
  <si>
    <t>IN_HeadPartnerID</t>
  </si>
  <si>
    <t>IN_HeadAPIKey</t>
  </si>
  <si>
    <t>IN_HeadContentType</t>
  </si>
  <si>
    <t>IN_AccountNumber</t>
  </si>
  <si>
    <t>IN_Scope</t>
  </si>
  <si>
    <t>OUT_RequestHeaders</t>
  </si>
  <si>
    <t>OUT_RequestBody</t>
  </si>
  <si>
    <t>OUT_ResponseHeaders</t>
  </si>
  <si>
    <t>OUT_ResponseBody</t>
  </si>
  <si>
    <t>Y</t>
  </si>
  <si>
    <t>TS-EB-SB-PRODUCTS-0102</t>
  </si>
  <si>
    <t>TS-EB-SB-PRODUCTS-0102: Account Authentication via Access Token v1.0_Generate Account Access Token API_Verify Token generation for Client-Owned Account</t>
  </si>
  <si>
    <t>Send POST Request using Client-Owned Account</t>
  </si>
  <si>
    <t>Successful Request Status 200 OK
Response Body contains:
- access_token [Token is valid and usable]
- token_type
- expires_in
-authId
Request logged in API Portal DB</t>
  </si>
  <si>
    <t>/auth/token/v1/generate</t>
  </si>
  <si>
    <t>application/json</t>
  </si>
  <si>
    <t>1VjIqTcMCJ8tIv8bMpv9l9x01ebYQd88</t>
  </si>
  <si>
    <t>cnfKqb1Q53rmlS8HifRZf7zvtGZOSlUQ</t>
  </si>
  <si>
    <t xml:space="preserve">GsG5c0UhuhXUPj4XlY8G1kcjKioiFrqI </t>
  </si>
  <si>
    <t>send-funds.initiate</t>
  </si>
  <si>
    <t>TS-EB-SB-PRODUCTS-0103_1</t>
  </si>
  <si>
    <t>TS-EB-SB-PRODUCTS-0103_1: Account Authentication via Access Token v1.0_Generate Account Access Token API_Verify send request with missing mandatory parameters.</t>
  </si>
  <si>
    <t>Send POST Request with missing mandatory parameters</t>
  </si>
  <si>
    <t>Failed 400 (Bad Request)
Error details for missing fields</t>
  </si>
  <si>
    <t>GsG5c0UhuhXUPj4XlY8G1kcjKioiFrqI</t>
  </si>
  <si>
    <t>TS-EB-SB-PRODUCTS-0103_2</t>
  </si>
  <si>
    <t>TS-EB-SB-PRODUCTS-0103_2: Account Authentication via Access Token v1.0_Generate Account Access Token API_Verify send request with missing mandatory parameters.</t>
  </si>
  <si>
    <t>TS-EB-SB-PRODUCTS-0105</t>
  </si>
  <si>
    <t>TS-EB-SB-PRODUCTS-0105: Account Authentication via Access Token v1.0_Generate Account Access Token API_Verify successful POST Authentication using Client Owned Account with ACTIVE status and with valid client-id, client-secret, and partner-id</t>
  </si>
  <si>
    <t>Send POST Request using valid ACTIVE Client Owned Account wiht valid client-credentials</t>
  </si>
  <si>
    <t>Successful Status 200 OK
Response Body: within 300 ms.  
accessToken, 
tokenType: Bearer, 
expiresIn,
authId 
Token is bound to the exact account,</t>
  </si>
  <si>
    <t>TS-EB-SB-PRODUCTS-0107</t>
  </si>
  <si>
    <t>TS-EB-SB-PRODUCTS-0107: Account Authentication via Access Token v1.0_Generate Account Access Token API_Verify authentication token is usable in the next account-based API call within the expiry window</t>
  </si>
  <si>
    <t>Send POST Request using valid ACTIVE Client Owned Account with valid client-credentials using same authentication token</t>
  </si>
  <si>
    <t>Token generated is usable in the nexy account-based transactional API call within expiry (3600s)</t>
  </si>
  <si>
    <t>TS-EB-SB-PRODUCTS-0108_1</t>
  </si>
  <si>
    <t>TS-EB-SB-PRODUCTS-0108_1: Account Authentication via Access Token v1.0_Generate Account Access Token API_Verify POST request using Invalid client credentials</t>
  </si>
  <si>
    <t>Send POST Request using valid ACTIVE Client Owned Account with invalid client-credentials</t>
  </si>
  <si>
    <t>Failed/ Rejected Request 401 Unauthorized
No token generated, authid, redirectUrl are returned
Invalid credential attempts are rejected within 300 ms.</t>
  </si>
  <si>
    <t>1VjIqTcMCJ8tIv8bMpv9i9x01ebYQd32</t>
  </si>
  <si>
    <t>TS-EB-SB-PRODUCTS-0108_2</t>
  </si>
  <si>
    <t>TS-EB-SB-PRODUCTS-0108_2: Account Authentication via Access Token v1.0_Generate Account Access Token API_Verify POST request using Invalid client credentials</t>
  </si>
  <si>
    <t>cnfKqj1Q53rmlS8HifRZf7zvtGZOSlUW</t>
  </si>
  <si>
    <t>TS-EB-SB-PRODUCTS-0108_3</t>
  </si>
  <si>
    <t>TS-EB-SB-PRODUCTS-0108_3: Account Authentication via Access Token v1.0_Generate Account Access Token API_Verify POST request using Invalid client credentials</t>
  </si>
  <si>
    <t>TS-EB-SB-PRODUCTS-0108_4</t>
  </si>
  <si>
    <t>TS-EB-SB-PRODUCTS-0108_4: Account Authentication via Access Token v1.0_Generate Account Access Token API_Verify POST request using Invalid client credentials</t>
  </si>
  <si>
    <t>TS-EB-SB-PRODUCTS-0109</t>
  </si>
  <si>
    <t>TS-EB-SB-PRODUCTS-0109: Account Authentication via Access Token v1.0_Generate Account Access Token API_Verify if POST request with Invalid Client credentials is logged in API Portal Database</t>
  </si>
  <si>
    <t>Send POST Request using valid ACTIVE Client Owned Account with invalid client-credentials. Validate DB</t>
  </si>
  <si>
    <t>Security event is logged in the API Portal Database.</t>
  </si>
  <si>
    <t>TS-EB-SB-PRODUCTS-0110_1</t>
  </si>
  <si>
    <t>TS-EB-SB-PRODUCTS-0110_1: Account Authentication via Access Token v1.0_Generate Account Access Token API_Verify Send Request using Invalid Account Number</t>
  </si>
  <si>
    <t>Send POST Request using Invalid Client Owned Account with valid client-credentials.</t>
  </si>
  <si>
    <t>Failed / Rejected Request 400 Bad Request
- error code invalid_account 
- clear errorDescription. 
No token or redirectUrl is issued. 
Core banking validation completes and rejects within 300 ms.</t>
  </si>
  <si>
    <t>TS-EB-SB-PRODUCTS-0110_2</t>
  </si>
  <si>
    <t>TS-EB-SB-PRODUCTS-0110_2: Account Authentication via Access Token v1.0_Generate Account Access Token API_Verify Send Request using Invalid Account Number</t>
  </si>
  <si>
    <t>TS-EB-SB-PRODUCTS-0111</t>
  </si>
  <si>
    <t>TS-EB-SB-PRODUCTS-0111: Account Authentication via Access Token v1.0_Generate Account Access Token API_Verify Send Request using Inactive Account Number</t>
  </si>
  <si>
    <t>Send POST Request using INACTIVE Client Owned Account with valid client-credentials.</t>
  </si>
  <si>
    <t>Failed / Rejected Request 400 Bad Request
- error code account_inactive 
- clear errorDescription. 
No token or redirectUrl is issued. 
Core banking validation completes and rejects within 300 ms.</t>
  </si>
  <si>
    <t>TS-EB-SB-PRODUCTS-0112</t>
  </si>
  <si>
    <t>TS-EB-SB-PRODUCTS-0112: Account Authentication via Access Token v1.0_Generate Account Access Token API_Verify Send Request using Not Existing Account Number</t>
  </si>
  <si>
    <t>Send POST Request using NOT EXISTING Client Owned Account with valid client-credentials.</t>
  </si>
  <si>
    <t>TS-EB-SB-PRODUCTS-0113</t>
  </si>
  <si>
    <t>TS-EB-SB-PRODUCTS-0113: Account Authentication via Access Token v1.0_Generate Account Access Token API_Verify Send Request using Malformed Account Number</t>
  </si>
  <si>
    <t>Send POST Request using MALFORMED Client Owned Account with valid client-credentials.</t>
  </si>
  <si>
    <t>20006IU77902</t>
  </si>
  <si>
    <t>TS-EB-SB-PRODUCTS-0114</t>
  </si>
  <si>
    <t>TS-EB-SB-PRODUCTS-0114: Account Authentication via Access Token v1.0_Generate Account Access Token API_Validate POST Request using Valid values in Scope</t>
  </si>
  <si>
    <t>Send POST Request using Valid Scope value with valid client-credentials.</t>
  </si>
  <si>
    <t>Successful Status 200 OK 
- Valid scope indicated in Request Body Parameters
contains [send-funds.initiate, receive-funds.generate, manage-funds.balance]  (subscribed capabilities)</t>
  </si>
  <si>
    <t>TS-EB-SB-PRODUCTS-0115</t>
  </si>
  <si>
    <t>TS-EB-SB-PRODUCTS-0115: Account Authentication via Access Token v1.0_Generate Account Access Token API_Validate POST Request using Invalid values in Scope</t>
  </si>
  <si>
    <t>Send POST Request using Invalid Scope value with valid client-credentials.</t>
  </si>
  <si>
    <t>Failed / Rejected Request 400 Bad Request
-invalid_scope with clear errorDescription.
contains unknown or disallowed values [send-funds.initiate,  , manage-funds.balance] (not subscribed capabilities)</t>
  </si>
  <si>
    <t>send-funds.invalid</t>
  </si>
  <si>
    <t>N</t>
  </si>
  <si>
    <t>TS-EB-SB-PRODUCTS-0001</t>
  </si>
  <si>
    <t>TS-EB-SB-PRODUCTS-0001: Account Authentication via Access Token v1.0_Generate Account Access Token API_Verify Successful API call with Valid Account Access Token</t>
  </si>
  <si>
    <t>Send POST Request using Valid Account Access Token</t>
  </si>
  <si>
    <t>Successful Status 200 OK
API request successfully processed
Ownership and consent verified
Token validation executes in p99 latency &lt; 30 ms.</t>
  </si>
  <si>
    <t>TS-EB-SB-PRODUCTS-0002</t>
  </si>
  <si>
    <t>TS-EB-SB-PRODUCTS-0002: Account Authentication via Access Token v1.0_Generate Account Access Token API_Verify API Call using Expired Account Access Token</t>
  </si>
  <si>
    <t>Send POST Request using Expired Account Access Token</t>
  </si>
  <si>
    <t>Failed/Rejected Status 401 Unauthorized
- clear error message. 
-Token validation executes in p99 latency &lt; 30 ms.</t>
  </si>
  <si>
    <t>TS-EB-SB-PRODUCTS-0003</t>
  </si>
  <si>
    <t>TS-EB-SB-PRODUCTS-0003: Account Authentication via Access Token v1.0_Generate Account Access Token API_Verify API Call using Exceeding / FewerAccount Access Token</t>
  </si>
  <si>
    <t>Send POST Request using Exceeding/Fewer Account Access Token</t>
  </si>
  <si>
    <t>Failed/Rejected Status 401 Unauthorized
- clear error message. 
- Token validation executes in p99 latency &lt; 30 ms.</t>
  </si>
  <si>
    <t>TS-EB-SB-PRODUCTS-0004</t>
  </si>
  <si>
    <t>TS-EB-SB-PRODUCTS-0004: Account Authentication via Access Token v1.0_Generate Account Access Token API_Verify API Call without Valid Account Access Token</t>
  </si>
  <si>
    <t>Send POST Request without VALID Account Access Token</t>
  </si>
  <si>
    <t>TS-EB-SB-PRODUCTS-0005</t>
  </si>
  <si>
    <t>TS-EB-SB-PRODUCTS-0005: Account Authentication via Access Token v1.0_Generate Account Access Token API_Verify API Call using malformed Account Access Token</t>
  </si>
  <si>
    <t>Send POST Request using Malformed Account Access Token</t>
  </si>
  <si>
    <t>TS-EB-SB-PRODUCTS-0006</t>
  </si>
  <si>
    <t>TS-EB-SB-PRODUCTS-0006: Account Authentication via Access Token v1.0_Generate Account Access Token API_Verify API Call using Token used with different client credentials</t>
  </si>
  <si>
    <t>Send POST Request using Valid Account Access Token but different client credentials</t>
  </si>
  <si>
    <t>Failed/Rejected Status 401 Unauthorized
- clear error message. 
Error: Token does not match client credentials
- Token validation executes in p99 latency &lt; 30 ms.</t>
  </si>
  <si>
    <t>1VjIqTcMCJ8tIv8bMpv9l9x01ebYQd89</t>
  </si>
  <si>
    <t>cnfKqb1Q53rmlS8HifRZf7zvtGZOSlUI</t>
  </si>
  <si>
    <t>TS-EB-SB-PRODUCTS-0007</t>
  </si>
  <si>
    <t>TS-EB-SB-PRODUCTS-0007: Account Authentication via Access Token v1.0_Generate Account Access Token API_Token used with different Partner-ID</t>
  </si>
  <si>
    <t>Send POST Request using Valid Account Access Token but different Partner-ID</t>
  </si>
  <si>
    <t>Failed/Rejected Status 401 Unauthorized
- clear error message. 
Enforcement failure due to Partner-ID mismatch
- Token validation executes in p99 latency &lt; 30 ms.</t>
  </si>
  <si>
    <t>TS-EB-SB-PRODUCTS-0104</t>
  </si>
  <si>
    <t>TS-EB-SB-PRODUCTS-0104: Account Authentication via Access Token v1.0_Generate Account Access Token API_Verify send request from an IP not whitelisted for the application.</t>
  </si>
  <si>
    <t>Send POST Request using Not Whitelisted IP</t>
  </si>
  <si>
    <t>Failed Request 403 (Forbidden)
No token generated</t>
  </si>
  <si>
    <t>TS-EB-SB-PRODUCTS-0106</t>
  </si>
  <si>
    <t>TS-EB-SB-PRODUCTS-0106: Account Authentication via Access Token v1.0_Generate Account Access Token API_Verify status in Database of successful Client Owned Account Authentication</t>
  </si>
  <si>
    <t>Send POST Request using valid ACTIVE Client Owned Account with valid client-credentials. Validate DB</t>
  </si>
  <si>
    <t>Status in DB is COMPLETED</t>
  </si>
  <si>
    <t>IN_ParamChannel</t>
  </si>
  <si>
    <t>IN_HeadCorrelationID</t>
  </si>
  <si>
    <t>TS-EB-SB-PRODUCTS-0088</t>
  </si>
  <si>
    <t>TS-EB-SB-PRODUCTS-0088: Send Funds via Local Fund Transfer v1.0 _Get Supported Banks and Wallets API_Verify successful GET request of Get Supported Banks and Wallets API</t>
  </si>
  <si>
    <t>Send GET Request of Get Supported Banks and Wallets API</t>
  </si>
  <si>
    <t>Status HTTP 200 OK 
Response Body: Complete and accurate list of Supported Receiving Financial Institutions (banks and e‑wallets) available for disbursements under the Send Funds via Local Fund Transfer product.
{
    "data": [
        {
            "bankName": "Alipay / Lazada Wallet",
            "pesonet": {
                "status": false,
                "brstn": ""
            },
            "instapay": {
                "status": true,
                "brstn": "7021"
            },
            "enable": true
        },    
        {
            "bankName": "Zybi Tech Inc. / JuanCash",
            "pesonet": {
                "status": true,
                "brstn": "18080012"
            },
            "instapay": {
                "status": true,
                "brstn": "7012"
            },
            "enable": true
        }
    ]
}
Institutioin Entries: Institution name, enablement flag, and supported settlement rails with corresponding Bank Identification Codes (BICs) where applicable.</t>
  </si>
  <si>
    <t>/send-funds/localft/v1/list/institutions</t>
  </si>
  <si>
    <t>1042346954</t>
  </si>
  <si>
    <t>TS-EB-SB-PRODUCTS-0089</t>
  </si>
  <si>
    <t>TS-EB-SB-PRODUCTS-0089: Send Funds via Local Fund Transfer v1.0 _Get Supported Banks and Wallets API_Verify when Optional field "Transfer Network" (channel) is not provided to filter Financial Institutions</t>
  </si>
  <si>
    <t>Send GET Request of Get Supported Banks and Wallets API when channel is empty</t>
  </si>
  <si>
    <t>When list channel parameter is not provided, the API returns institutions across all supported transfer networks
channel: Intrabank, Instapay, PESONet)
Sample Response Body: 
    "data": [
        {
            "bankName": "Alipay / Lazada Wallet",
            "pesonet": {
                "status": false,
                "brstn": ""
            },
            "instapay": {
                "status": true,
                "brstn": "7021"
            },
            "enable": true
        },    
        {
            "bankName": "Zybi Tech Inc. / JuanCash",
            "pesonet": {
                "status": true,
                "brstn": "18080012"
            },
            "instapay": {
                "status": true,
                "brstn": "7012"
            },
            "enable": true
        }
    ]
}</t>
  </si>
  <si>
    <t>TS-EB-SB-PRODUCTS-0090</t>
  </si>
  <si>
    <t>TS-EB-SB-PRODUCTS-0090: Send Funds via Local Fund Transfer v1.0 _Get Supported Banks and Wallets API_Verify when the “Transfer Network” (channel) is set to Instapay, the API returns only Financial Institutions that support Instapay transfers</t>
  </si>
  <si>
    <t>Send GET Request of Get Supported Banks and Wallets API when channel = InstaPay</t>
  </si>
  <si>
    <t>When list channel parameter is provided, the API returns only Financial institutions that support the Intrabank Transfer Network 
channel: Instapay
"data": [
        {
            "bankName": "Alipay / Lazada Wallet",
            "pesonet": {
                "status": false,
                "brstn": ""
            },
            "instapay": {
                "status": true,
                "brstn": "7021"
            },
            "enable": true
        },    
        {
            "bankName": "Zybi Tech Inc. / JuanCash",
            "pesonet": {
                "status": true,
                "brstn": "18080012"
            },
            "instapay": {
                "status": true,
                "brstn": "7012"
            },
            "enable": true
        }
    ]
}</t>
  </si>
  <si>
    <t>Instapay</t>
  </si>
  <si>
    <t>TS-EB-SB-PRODUCTS-0091</t>
  </si>
  <si>
    <t>TS-EB-SB-PRODUCTS-0091: Send Funds via Local Fund Transfer v1.0 _Get Supported Banks and Wallets API_Verify when the “Transfer Network” (channel) is set to PESONet, the API returns only Financial Institutions that support PESONet transfers</t>
  </si>
  <si>
    <t>Send GET Request of Get Supported Banks and Wallets API when channel = PESONet</t>
  </si>
  <si>
    <t>When list channel parameter is provided, the API returns only Financial institutions that support the PESONet Transfer Network 
channel: PESONet
"data": [   
        {
            "bankName": "Zybi Tech Inc. / JuanCash",
            "pesonet": {
                "status": true,
                "brstn": "18080012"
            },
            "instapay": {
                "status": true,
                "brstn": "7012"
            },
            "enable": true
        }
    ]
}</t>
  </si>
  <si>
    <t>PESONET</t>
  </si>
  <si>
    <t>TS-EB-SB-PRODUCTS-0092</t>
  </si>
  <si>
    <t>TS-EB-SB-PRODUCTS-0092: Send Funds via Local Fund Transfer v1.0 _Get Supported Banks and Wallets API_Verify when the “Transfer Network” (channel) is set to specific and API returns only Financial Institutions that support both transfers</t>
  </si>
  <si>
    <t>Send GET Request of Get Supported Banks and Wallets API when channel is set to specific and API returns only Financial Institutions that support both transfers</t>
  </si>
  <si>
    <t>The API should display both enable for both transfers (Ex: pesonet and instapay)
Sample Response Body:
 "data": [ 
        {
            "bankName": "Zybi Tech Inc. / JuanCash",
            "pesonet": {
                "status": true,
                "brstn": "18080012"
            },
            "instapay": {
                "status": true,
                "brstn": "7012"
            },
            "enable": true
        }
    ]
}</t>
  </si>
  <si>
    <t>TS-EB-SB-PRODUCTS-0093</t>
  </si>
  <si>
    <t>TS-EB-SB-PRODUCTS-0093: Send Funds via Local Fund Transfer v1.0 _Get Supported Banks and Wallets API_Verify failed GET request when an unsupported channel value is provided</t>
  </si>
  <si>
    <t>Send GET Request of Get Supported Banks and Wallets API when channel is set to unsupported channel</t>
  </si>
  <si>
    <t>HTTP 400 Bad Request
Clear error message indicating invalid or unsupported channel value
(e.g., channel=ABC) (responseDescription)</t>
  </si>
  <si>
    <t>TS-EB-SB-PRODUCTS-0094</t>
  </si>
  <si>
    <t>TS-EB-SB-PRODUCTS-0094: Send Funds via Local Fund Transfer v1.0_Get Supported Banks and Wallets API_Verify failed GET request when api-key is null/missing</t>
  </si>
  <si>
    <t>Send GET Request of Get Supported Banks and Wallets API but api k-key is not provided/missing</t>
  </si>
  <si>
    <t>TS-EB-SB-PRODUCTS-0095</t>
  </si>
  <si>
    <t>TS-EB-SB-PRODUCTS-0095: Send Funds via Local Fund Transfer v1.0_Get Supported Banks and Wallets API_Verify failed GET request when partnerID is null/missing</t>
  </si>
  <si>
    <t>Send GET Request of Get Supported Banks and Wallets API but partnerId is not provided/missing</t>
  </si>
  <si>
    <t>TS-EB-SB-PRODUCTS-0096</t>
  </si>
  <si>
    <t>TS-EB-SB-PRODUCTS-0096: Send Funds via Local Fund Transfer v1.0_Get Supported Banks and Wallets API_Verify failed GET request when api-key is incorrect</t>
  </si>
  <si>
    <t>Send GET Request of Get Supported Banks and Wallets API but api-key is incorrect or not existing</t>
  </si>
  <si>
    <t>HTTP 401 Unauthorized
Clear authentication error message (responseDescription)</t>
  </si>
  <si>
    <t>GsG5c0UhuhXUPj4XliKG1kcjKioiT5qI</t>
  </si>
  <si>
    <t>TS-EB-SB-PRODUCTS-0097</t>
  </si>
  <si>
    <t>TS-EB-SB-PRODUCTS-0097: Send Funds via Local Fund Transfer v1.0_Get Supported Banks and Wallets API_Verify failed GET request when partnerid is incorrect</t>
  </si>
  <si>
    <t>Send GET Request of Get Supported Banks and Wallets API but partnerId is incorrect or not existing</t>
  </si>
  <si>
    <t>1042346054</t>
  </si>
  <si>
    <t>TS-EB-SB-PRODUCTS-0099</t>
  </si>
  <si>
    <t>TS-EB-SB-PRODUCTS-0099: Send Funds via Local Fund Transfer v1.0_Get Supported Banks and Wallets API_Verify disabled institutions are clearly indicated and not misrepresented as available</t>
  </si>
  <si>
    <t>Disabled institutions are marked correctly
They are not shown as valid disbursement destinations</t>
  </si>
  <si>
    <t>TS-EB-SB-PRODUCTS-0100</t>
  </si>
  <si>
    <t>TS-EB-SB-PRODUCTS-0100: Send Funds via Local Fund Transfer v1.0_Get Supported Banks and Wallets API_Verify response processsing time of successful GET request of Get Supported Banks and Wallets API</t>
  </si>
  <si>
    <t>Send Successful GET Request of Get Supported Banks and Wallets API. Check processing time.</t>
  </si>
  <si>
    <t>200 OK response within ≤ 1 second (1000 ms) for 95% of calls.</t>
  </si>
  <si>
    <t>TS-EB-SB-PRODUCTS-0101_1</t>
  </si>
  <si>
    <t>TS-EB-SB-PRODUCTS-0101_1: Send Funds via Local Fund Transfer v1.0_Get Supported Banks and Wallets API_Verify response processsing time of failed GET request of Get Supported Banks and Wallets API</t>
  </si>
  <si>
    <t>400 status with descriptive error message within ≤ 1 second</t>
  </si>
  <si>
    <t>TS-EB-SB-PRODUCTS-0101_2</t>
  </si>
  <si>
    <t>TS-EB-SB-PRODUCTS-0101_2: Send Funds via Local Fund Transfer v1.0_Get Supported Banks and Wallets API_Verify response processsing time of failed GET request of Get Supported Banks and Wallets API</t>
  </si>
  <si>
    <t>401 status with descriptive error message within ≤ 1 second</t>
  </si>
  <si>
    <t>TS-EB-SB-PRODUCTS-0101_3</t>
  </si>
  <si>
    <t>TS-EB-SB-PRODUCTS-0101_3: Send Funds via Local Fund Transfer v1.0_Get Supported Banks and Wallets API_Verify response processsing time of failed GET request of Get Supported Banks and Wallets API</t>
  </si>
  <si>
    <t>TS-EB-SB-PRODUCTS-0101_4</t>
  </si>
  <si>
    <t>TS-EB-SB-PRODUCTS-0101_4: Send Funds via Local Fund Transfer v1.0_Get Supported Banks and Wallets API_Verify response processsing time of failed GET request of Get Supported Banks and Wallets API</t>
  </si>
  <si>
    <t>TS-EB-SB-PRODUCTS-0101_5</t>
  </si>
  <si>
    <t>TS-EB-SB-PRODUCTS-0101_5: Send Funds via Local Fund Transfer v1.0_Get Supported Banks and Wallets API_Verify response processsing time of failed GET request of Get Supported Banks and Wallets API</t>
  </si>
  <si>
    <t>TS-EB-SB-PRODUCTS-0098</t>
  </si>
  <si>
    <t>TS-EB-SB-PRODUCTS-0098: Send Funds via Local Fund Transfer v1.0_Get Supported Banks and Wallets API_Verify failed GET request when application is not subscribed to the API product</t>
  </si>
  <si>
    <t>Send GET Request of Get Supported Banks and Wallets API but application is not subscribed to API Product</t>
  </si>
  <si>
    <t>HTTP 403 Forbidden
Clear subscription or authorization error message (responseDescription)</t>
  </si>
  <si>
    <t>IN_ParamAPITxnID</t>
  </si>
  <si>
    <t>IN_ParamAPITxnRef</t>
  </si>
  <si>
    <t>IN_ParamIdempotencyKey</t>
  </si>
  <si>
    <t>TS-EB-PRODUCTS-0205</t>
  </si>
  <si>
    <t>TS-EB-PRODUCTS-0205: Send Funds via Local Fund Transfer v1.0 _Check Local Funds Transfer Details and Status API_Verify failed GET request of Local Fund Transfer (Transaction Details) upon providing Exceeding to 23 digits of API-Txn-Ref via Intrabank</t>
  </si>
  <si>
    <t>Send GET Request of Check Local Fund Transfer Details and Status API using exceeding to 23-digits Transaction ID (API-Txn-Ref) via Intrabank</t>
  </si>
  <si>
    <t>The API returns an error message as the transaction details of provided transaction reference is persistent 23-digit transaction reference 
Status: 400 Bad RequeststatusDescription</t>
  </si>
  <si>
    <t>/send-funds/localft/v1/status</t>
  </si>
  <si>
    <t>111111854000000000000628</t>
  </si>
  <si>
    <t>TS-EB-PRODUCTS-0206</t>
  </si>
  <si>
    <t>TS-EB-PRODUCTS-0206: Send Funds via Local Fund Transfer v1.0 _Check Local Funds Transfer Details and Status API_Verify failed GET request of Local Fund Transfer (Transaction Details) upon providing fewer than 23 digits of API-Txn-Ref via Intrabank</t>
  </si>
  <si>
    <t>Send GET Request of Check Local Fund Transfer Details and Status API using fewer than 23-digits Transaction ID (API-Txn-Ref) via Intrabank</t>
  </si>
  <si>
    <t>1111118540000000000006</t>
  </si>
  <si>
    <t>TS-EB-PRODUCTS-0286</t>
  </si>
  <si>
    <t>TS-EB-PRODUCTS-0286: Send Funds via Local Fund Transfer v1.0 _Check Local Funds Transfer Details and Status API_Verify failed GET request of Local Fund Transfer (Transaction Details) upon providing Exceeding to 23 digits of API-Txn-Ref via InstaPay</t>
  </si>
  <si>
    <t>Send GET Request of Check Local Fund Transfer Details and Status API using exceeding to 23-digits Transaction Ref (API-Txn-Ref) via InstaPay</t>
  </si>
  <si>
    <t>The API returns an error message as the transaction details of provided transaction reference is persistent 23-digit transaction reference 
Status: 400 Bad Request
statusDescription</t>
  </si>
  <si>
    <t>111111773000000000000625</t>
  </si>
  <si>
    <t>TS-EB-PRODUCTS-0287</t>
  </si>
  <si>
    <t>TS-EB-PRODUCTS-0287: Send Funds via Local Fund Transfer v1.0 _Check Local Funds Transfer Details and Status API_Verify failed GET request of Local Fund Transfer (Transaction Details) upon providing Exceeding to 23 digits of API-Txn-Ref via PESONet</t>
  </si>
  <si>
    <t>Send GET Request of Check Local Fund Transfer Details and Status API using exceeding to 23-digits Transaction ID (API-Txn-Ref) via PESONet</t>
  </si>
  <si>
    <t>1111117730000000000006</t>
  </si>
  <si>
    <t>TS-EB-PRODUCTS-0288</t>
  </si>
  <si>
    <t>TS-EB-PRODUCTS-0288: Send Funds via Local Fund Transfer v1.0 _Check Local Funds Transfer Details and Status API_Verify failed GET request of Local Fund Transfer (Transaction Details) upon providing fewer than 23 digits of API-Txn-Ref via InstaPay</t>
  </si>
  <si>
    <t>Send GET Request of Check Local Fund Transfer Details and Status API using fewer than 23-digits Transaction Ref (API-Txn-Ref) via InstaPay</t>
  </si>
  <si>
    <t>1111117750000000000006289</t>
  </si>
  <si>
    <t>TS-EB-PRODUCTS-0289</t>
  </si>
  <si>
    <t>TS-EB-PRODUCTS-0289: Send Funds via Local Fund Transfer v1.0 _Check Local Funds Transfer Details and Status API_Verify failed GET request of Local Fund Transfer (Transaction Details) upon providing fewer than 23 digits of API-Txn-Ref via PESONet</t>
  </si>
  <si>
    <t>Send GET Request of Check Local Fund Transfer Details and Status API using fewer than 23-digits Transaction Ref (API-Txn-Ref) via PESONet</t>
  </si>
  <si>
    <t>111111775000000000000</t>
  </si>
  <si>
    <t>TS-EB-PRODUCTS-0187</t>
  </si>
  <si>
    <t>TS-EB-PRODUCTS-0187: Send Funds via Local Fund Transfer v1.0 _Check Local Funds Transfer Details and Status API_Verify successful GET request of Check Local Fund Transfer Details and Status API for Intrabank</t>
  </si>
  <si>
    <t>Send GET Request of Check Local Fund Transfer Details and Status API</t>
  </si>
  <si>
    <r>
      <t xml:space="preserve">Status HTTP 200 OK [within ≤ 1 second (1000 ms)]
</t>
    </r>
    <r>
      <rPr>
        <b/>
        <sz val="11"/>
        <color rgb="FF000000"/>
        <rFont val="Aptos Narrow"/>
        <family val="2"/>
      </rPr>
      <t xml:space="preserve">Response Body: </t>
    </r>
    <r>
      <rPr>
        <sz val="11"/>
        <color rgb="FF000000"/>
        <rFont val="Aptos Narrow"/>
        <family val="2"/>
      </rPr>
      <t>apiTxnId</t>
    </r>
    <r>
      <rPr>
        <sz val="11"/>
        <color rgb="FF000000"/>
        <rFont val="Aptos Narrow"/>
        <family val="2"/>
      </rPr>
      <t xml:space="preserve">apiTxnRef </t>
    </r>
    <r>
      <rPr>
        <sz val="11"/>
        <color rgb="FF000000"/>
        <rFont val="Aptos Narrow"/>
        <family val="2"/>
      </rPr>
      <t>ewbCoreReference</t>
    </r>
    <r>
      <rPr>
        <sz val="11"/>
        <color rgb="FF000000"/>
        <rFont val="Aptos Narrow"/>
        <family val="2"/>
      </rPr>
      <t>status = always "</t>
    </r>
    <r>
      <rPr>
        <sz val="11"/>
        <color rgb="FF000000"/>
        <rFont val="Aptos Narrow"/>
        <family val="2"/>
      </rPr>
      <t>RECEIVED</t>
    </r>
    <r>
      <rPr>
        <sz val="11"/>
        <color rgb="FF000000"/>
        <rFont val="Aptos Narrow"/>
        <family val="2"/>
      </rPr>
      <t>"</t>
    </r>
    <r>
      <rPr>
        <sz val="11"/>
        <color rgb="FF000000"/>
        <rFont val="Aptos Narrow"/>
        <family val="2"/>
      </rPr>
      <t>responseCode</t>
    </r>
    <r>
      <rPr>
        <sz val="11"/>
        <color rgb="FF000000"/>
        <rFont val="Aptos Narrow"/>
        <family val="2"/>
      </rPr>
      <t>responseDescription</t>
    </r>
    <r>
      <rPr>
        <sz val="11"/>
        <color rgb="FF000000"/>
        <rFont val="Aptos Narrow"/>
        <family val="2"/>
      </rPr>
      <t>createdTimestamp</t>
    </r>
    <r>
      <rPr>
        <sz val="11"/>
        <color rgb="FF000000"/>
        <rFont val="Aptos Narrow"/>
        <family val="2"/>
      </rPr>
      <t>updatedTimestamp</t>
    </r>
  </si>
  <si>
    <t xml:space="preserve">11111185400000000000062 </t>
  </si>
  <si>
    <t>TS-EB-PRODUCTS-0192</t>
  </si>
  <si>
    <t>TS-EB-PRODUCTS-0192: Send Funds via Local Fund Transfer v1.0 _Check Local Funds Transfer Details and Status API_VVerify failed GET request of Check Local Fund Transfer Details and Status API due to invalid partner-id parameters via Intrabank transfer</t>
  </si>
  <si>
    <t>Send GET Request of Check Local Fund Transfer Details and Status API using invalid partner-id parameter for Intrabank Transfer</t>
  </si>
  <si>
    <t>responseCode (Status HTTP 401 Unauthorized[within ≤ 1 second (1000 ms)]}and responseDescription
- must be included in API Portal Database</t>
  </si>
  <si>
    <t>1042346950</t>
  </si>
  <si>
    <t>TS-EB-PRODUCTS-0195_2</t>
  </si>
  <si>
    <t>TS-EB-PRODUCTS-0195_2: Send Funds via Local Fund Transfer v1.0 _Check Local Funds Transfer Details and Status API_Verify Check Local Fund Transfer Details and Status API when transaction is not yet in its final status (COMPLETED/FAILED)</t>
  </si>
  <si>
    <t>Send GET Request of Check Local Fund Transfer Details and Status API when created transaction is not yet in final status (COMPLETE/FAILED)</t>
  </si>
  <si>
    <t>API should trigger a status check with the core/downstream systems when invoked</t>
  </si>
  <si>
    <t>TS-EB-PRODUCTS-0195_3</t>
  </si>
  <si>
    <t>TS-EB-PRODUCTS-0195_3: Send Funds via Local Fund Transfer v1.0 _Check Local Funds Transfer Details and Status API_Verify Check Local Fund Transfer Details and Status API when transaction is not yet in its final status (COMPLETED/FAILED)</t>
  </si>
  <si>
    <t>TS-EB-PRODUCTS-0196</t>
  </si>
  <si>
    <t>TS-EB-PRODUCTS-0196: Send Funds via Local Fund Transfer v1.0 _Check Local Funds Transfer Details and Status API_Verify successful retrieval of local funds transfer details using a valid idempotency key Intrabank</t>
  </si>
  <si>
    <t>Send GET Request of Check Local Fund Transfer Details and Status API using valid idempotency-key via Intrabank</t>
  </si>
  <si>
    <t>API returns 200 OK statusFull transaction details and latest status are returned
Response Body: apiTxnIdapiTxnRef ewbCoreReferencestatus = always "RECEIVED"responseCoderesponseDescriptioncreatedTimestampupdatedTimestamp</t>
  </si>
  <si>
    <t>3300000000000</t>
  </si>
  <si>
    <t>TS-EB-PRODUCTS-0197</t>
  </si>
  <si>
    <t>TS-EB-PRODUCTS-0197: Send Funds via Local Fund Transfer v1.0 _Check Local Funds Transfer Details and Status API_Verify failed retrieval of local funds transfer details using a non‑existing idempotency key via Intrabank</t>
  </si>
  <si>
    <t>Send GET Request of Check Local Fund Transfer Details and Status API using not existing idempotency-key via Intabank</t>
  </si>
  <si>
    <t>Error response is returned 404 Not Found / 400 Bad RequestTransaction details are not found
responseCoderesponseDescription</t>
  </si>
  <si>
    <t>5500000000000</t>
  </si>
  <si>
    <t>TS-EB-PRODUCTS-0198</t>
  </si>
  <si>
    <t>TS-EB-PRODUCTS-0198: Send Funds via Local Fund Transfer v1.0 _Check Local Funds Transfer Details and Status API_Verify failed retrieval of local funds transfer details using an invalid idempotency key format via Intrabank</t>
  </si>
  <si>
    <t>Send GET Request of Check Local Fund Transfer Details and Status API using invalid idempotency-key format via Intrabank</t>
  </si>
  <si>
    <t>TS-EB-PRODUCTS-0200</t>
  </si>
  <si>
    <t>TS-EB-PRODUCTS-0200: Send Funds via Local Fund Transfer v1.0 _Check Local Funds Transfer Details and Status API_Verify successful GET request of Local Fund Transfer (Transaction Details) upon providing Valid API-Txn-ID via Intrabank</t>
  </si>
  <si>
    <t>Send GET Request of Check Local Fund Transfer Details and Status API using Valid Transaction ID (API-Txn-ID) via Intrabank</t>
  </si>
  <si>
    <t>Status HTTP 200 OK [within ≤ 1 second (1000 ms)]
Response Body: apiTxnIdapiTxnRef ewbCoreReferencestatus = always "RECEIVED"responseCoderesponseDescriptioncreatedTimestampupdatedTimestamp</t>
  </si>
  <si>
    <t>TS-EB-PRODUCTS-0201</t>
  </si>
  <si>
    <t>TS-EB-PRODUCTS-0201: Send Funds via Local Fund Transfer v1.0 _Check Local Funds Transfer Details and Status API_Verify failed GET request of Local Fund Transfer (Transaction Details) upon providing Invalid format API-Txn-ID via Intrabank</t>
  </si>
  <si>
    <t>Send GET Request of Check Local Fund Transfer Details and Status API using Invalid Format Transaction ID (API-Txn-ID) via Intrabank</t>
  </si>
  <si>
    <t>The API returns an error message:
Status 400 Bad Request / 404 Not FoundstatusDescription</t>
  </si>
  <si>
    <t>TS-EB-PRODUCTS-0202</t>
  </si>
  <si>
    <t>TS-EB-PRODUCTS-0202: Send Funds via Local Fund Transfer v1.0 _Check Local Funds Transfer Details and Status API_Verify failed GET request of Local Fund Transfer (Transaction Details) upon providing Not Existing API-Txn-ID via Intrabank</t>
  </si>
  <si>
    <t>Send GET Request of Check Local Fund Transfer Details and Status API using Not Existing Transaction ID (API-Txn-ID) via Intrabank</t>
  </si>
  <si>
    <t>The API returns an error message:
Status 400 Bad RequeststatusDescription</t>
  </si>
  <si>
    <t>TS-EB-PRODUCTS-0203</t>
  </si>
  <si>
    <t>TS-EB-PRODUCTS-0203: Send Funds via Local Fund Transfer v1.0 _Check Local Funds Transfer Details and Status API_Verify successful GET request of Local Fund Transfer (Transaction Details) upon providing valid API-Txn-Ref via Intrabank</t>
  </si>
  <si>
    <t>Send GET Request of Check Local Fund Transfer Details and Status API using Valid Transaction ID (API-Txn-Ref)</t>
  </si>
  <si>
    <t>TS-EB-PRODUCTS-0204</t>
  </si>
  <si>
    <t>TS-EB-PRODUCTS-0204: Send Funds via Local Fund Transfer v1.0 _Check Local Funds Transfer Details and Status API_Verify failed GET request of Local Fund Transfer (Transaction Details) upon providing Not Existing API-Txn-Ref via Intrabank</t>
  </si>
  <si>
    <t>Send GET Request of Check Local Fund Transfer Details and Status API using Not Existing Transaction ID (API-Txn-Ref) via Intrabank</t>
  </si>
  <si>
    <t>The API returns an error message as the transaction details of provided transaction reference is not existing. 
Status: 400 Bad RequeststatusDescription</t>
  </si>
  <si>
    <t>11111177400000000000062</t>
  </si>
  <si>
    <t>TS-EB-PRODUCTS-0207</t>
  </si>
  <si>
    <t>TS-EB-PRODUCTS-0207: Send Funds via Local Fund Transfer v1.0 _Check Local Funds Transfer Details and Status API_Verify failed GET request of Local Fund Transfer (Transaction Details) upon not providing API-Txn-Ref (Blank) via Intrabank</t>
  </si>
  <si>
    <t>Send GET Request of Check Local Fund Transfer Details and Status API using blank/empty Transaction ID (API-Txn-Ref) via Intrabank</t>
  </si>
  <si>
    <t>The API returns an error message as the transaction reference is not given but the query parameter is present. 
Status: 400 Bad RequeststatusDescription</t>
  </si>
  <si>
    <t>TS-EB-PRODUCTS-0262</t>
  </si>
  <si>
    <t>TS-EB-PRODUCTS-0262: Send Funds via Local Fund Transfer v1.0 _Check Local Funds Transfer Details and Status API_Verify successful GET request of Check Local Fund Transfer Details and Status API for PESONet</t>
  </si>
  <si>
    <t>Send GET Request of Check Local Fund Transfer Details and Status API of InstaPay transaction</t>
  </si>
  <si>
    <t>Status HTTP 200 OK [within ≤ 1 second (1000 ms)]
Response Body: 
apiTxnId
apiTxnRef 
ewbCoreReference
externalRailreference (InstaPay)
status = always "RECEIVED"
responseCode
responseDescription
createdTimestamp
updatedTimestamp</t>
  </si>
  <si>
    <t xml:space="preserve">11111177300000000000062 </t>
  </si>
  <si>
    <t>TS-EB-PRODUCTS-0263</t>
  </si>
  <si>
    <t>TS-EB-PRODUCTS-0263: Send Funds via Local Fund Transfer v1.0 _Check Local Funds Transfer Details and Status API_Verify successful GET request of Check Local Fund Transfer Details and Status API for PESONet</t>
  </si>
  <si>
    <t>Send GET Request of Check Local Fund Transfer Details and Status API of PESONet transaction</t>
  </si>
  <si>
    <t>Status HTTP 200 OK [within ≤ 1 second (1000 ms)]
Response Body: 
apiTxnId
apiTxnRef 
ewbCoreReference
externalRailreference (PESONet)
status = always "RECEIVED"
responseCode
responseDescription
createdTimestamp
updatedTimestamp</t>
  </si>
  <si>
    <t xml:space="preserve">11111177500000000000062 </t>
  </si>
  <si>
    <t>TS-EB-PRODUCTS-0264</t>
  </si>
  <si>
    <t>TS-EB-PRODUCTS-0264: Send Funds via Local Fund Transfer v1.0 _Check Local Funds Transfer Details and Status API_Verify failed GET request of Check Local Fund Transfer Details and Status API due to invalid partner-id parameters via InstaPay transfer</t>
  </si>
  <si>
    <t>Send GET Request of Check Local Fund Transfer Details and Status API using invalid partner-id parameter for InstaPay Transfer</t>
  </si>
  <si>
    <t>responseCode (Status HTTP 401 Unauthorized/403 Forbidden Error [within ≤ 1 second (1000 ms)]}and responseDescription
- must be included in API Portal Database</t>
  </si>
  <si>
    <t>TS-EB-PRODUCTS-0265</t>
  </si>
  <si>
    <t>TS-EB-PRODUCTS-0265: Send Funds via Local Fund Transfer v1.0 _Check Local Funds Transfer Details and Status API_Verify failed GET request of Check Local Fund Transfer Details and Status API due to invalid partner-id parameters via PESONet transfer</t>
  </si>
  <si>
    <t>Send GET Request of Check Local Fund Transfer Details and Status API using invalid partner-id parameter for PESONet Transfer</t>
  </si>
  <si>
    <t>responseCode (Status HTTP 401 Unauthorized[within ≤ 1 second (1000 ms)]}and responseDescription
- must be included in API Portal Database</t>
  </si>
  <si>
    <t>TS-EB-PRODUCTS-0270</t>
  </si>
  <si>
    <t>TS-EB-PRODUCTS-0270: Send Funds via Local Fund Transfer v1.0 _Check Local Funds Transfer Details and Status API_Verify successful retrieval of local funds transfer details using a valid idempotency key InstaPay</t>
  </si>
  <si>
    <t>Send GET Request of Check Local Fund Transfer Details and Status API using valid idempotency-key via InstaPay</t>
  </si>
  <si>
    <t>API returns 200 OK status
Full transaction details and latest status are returned
Response Body: 
apiTxnId
apiTxnRef 
ewbCoreReference
externalRailReference (InstaPay)
status = always "RECEIVED"
responseCode
responseDescription
createdTimestamp
updatedTimestamp</t>
  </si>
  <si>
    <t xml:space="preserve">1100000000000 </t>
  </si>
  <si>
    <t>TS-EB-PRODUCTS-0271</t>
  </si>
  <si>
    <t>TS-EB-PRODUCTS-0271: Send Funds via Local Fund Transfer v1.0 _Check Local Funds Transfer Details and Status API_Verify successful retrieval of local funds transfer details using a valid idempotency key PESONet</t>
  </si>
  <si>
    <t>Send GET Request of Check Local Fund Transfer Details and Status API using valid idempotency-key via PESONet</t>
  </si>
  <si>
    <t>API returns 200 OK status
Full transaction details and latest status are returned
Response Body: 
apiTxnId
apiTxnRef 
ewbCoreReference
externelRailReference (PESONet)
status = always "RECEIVED"
responseCode
responseDescription
createdTimestamp
updatedTimestamp</t>
  </si>
  <si>
    <t xml:space="preserve">2200000000000 </t>
  </si>
  <si>
    <t>TS-EB-PRODUCTS-0272</t>
  </si>
  <si>
    <t>TS-EB-PRODUCTS-0272: Send Funds via Local Fund Transfer v1.0 _Check Local Funds Transfer Details and Status API_Verify failed retrieval of local funds transfer details using a non‑existent idempotency key via InstaPay</t>
  </si>
  <si>
    <t>Send GET Request of Check Local Fund Transfer Details and Status API using not existing idempotency-key via InstaPay</t>
  </si>
  <si>
    <t>Error response is returned 404 Not Found / 400 Bad Request
Transaction details are not found
responseCode
responseDescription</t>
  </si>
  <si>
    <t>TS-EB-PRODUCTS-0273</t>
  </si>
  <si>
    <t>TS-EB-PRODUCTS-0273: Send Funds via Local Fund Transfer v1.0 _Check Local Funds Transfer Details and Status API_Verify failed retrieval of local funds transfer details using a non‑existent idempotency key via PESONet</t>
  </si>
  <si>
    <t>Send GET Request of Check Local Fund Transfer Details and Status API using not existing idempotency-key via PESONet</t>
  </si>
  <si>
    <t>TS-EB-PRODUCTS-0274</t>
  </si>
  <si>
    <t>TS-EB-PRODUCTS-0274: Send Funds via Local Fund Transfer v1.0 _Check Local Funds Transfer Details and Status API_Verify failed retrieval of local funds transfer details using an invalid idempotency key format via instaPay</t>
  </si>
  <si>
    <t>Send GET Request of Check Local Fund Transfer Details and Status API using invalid idempotency-key format via InstaPay</t>
  </si>
  <si>
    <t>5500000000O00</t>
  </si>
  <si>
    <t>TS-EB-PRODUCTS-0275</t>
  </si>
  <si>
    <t>TS-EB-PRODUCTS-0275: Send Funds via Local Fund Transfer v1.0 _Check Local Funds Transfer Details and Status API_Verify failed retrieval of local funds transfer details using an invalid idempotency key format via PESONet</t>
  </si>
  <si>
    <t>Send GET Request of Check Local Fund Transfer Details and Status API using invalid idempotency-key format via PESONEt</t>
  </si>
  <si>
    <t>TS-EB-PRODUCTS-0278</t>
  </si>
  <si>
    <t>TS-EB-PRODUCTS-0278: Send Funds via Local Fund Transfer v1.0 _Check Local Funds Transfer Details and Status API_Verify failed GET request of Local Fund Transfer (Transaction Details) upon providing Invalid format API-Txn-ID via InstaPay</t>
  </si>
  <si>
    <t>Send GET Request of Check Local Fund Transfer Details and Status API using Invalid Format Transaction ID (API-Txn-ID) via InstaPay</t>
  </si>
  <si>
    <t>The API returns an error message:
Status 400 Bad Request
statusDescription</t>
  </si>
  <si>
    <t>TS-EB-PRODUCTS-0279</t>
  </si>
  <si>
    <t>TS-EB-PRODUCTS-0279: Send Funds via Local Fund Transfer v1.0 _Check Local Funds Transfer Details and Status API_Verify failed GET request of Local Fund Transfer (Transaction Details) upon providing Invalid format API-Txn-ID via PESONet</t>
  </si>
  <si>
    <t>Send GET Request of Check Local Fund Transfer Details and Status API using Invalid Format Transaction ID (API-Txn-ID) via PESONet</t>
  </si>
  <si>
    <t>TS-EB-PRODUCTS-0280</t>
  </si>
  <si>
    <t>TS-EB-PRODUCTS-0280: Send Funds via Local Fund Transfer v1.0 _Check Local Funds Transfer Details and Status API_Verify failed GET request of Local Fund Transfer (Transaction Details) upon providing Not Existing API-Txn-ID via InstaPay</t>
  </si>
  <si>
    <t>Send GET Request of Check Local Fund Transfer Details and Status API using Not Existing Transaction ID (API-Txn-ID) via InstaPay</t>
  </si>
  <si>
    <t>TS-EB-PRODUCTS-0281</t>
  </si>
  <si>
    <t>TS-EB-PRODUCTS-0281: Send Funds via Local Fund Transfer v1.0 _Check Local Funds Transfer Details and Status API_Verify failed GET request of Local Fund Transfer (Transaction Details) upon providing Not Existing API-Txn-ID via PESONet</t>
  </si>
  <si>
    <t>Send GET Request of Check Local Fund Transfer Details and Status API using Not Existing Transaction ID (API-Txn-ID) via PESONet</t>
  </si>
  <si>
    <t>TS-EB-PRODUCTS-0284</t>
  </si>
  <si>
    <t>TS-EB-PRODUCTS-0284: Send Funds via Local Fund Transfer v1.0 _Check Local Funds Transfer Details and Status API_Verify failed GET request of Local Fund Transfer (Transaction Details) upon providing Not Existing API-Txn-Ref via InstaPay</t>
  </si>
  <si>
    <t>Send GET Request of Check Local Fund Transfer Details and Status API using Not Existing Transaction Ref (API-Txn-Ref) via InstaPay</t>
  </si>
  <si>
    <t>The API returns an error message as the transaction details of provided transaction reference is not existing. 
Status: 400 Bad Request
statusDescription</t>
  </si>
  <si>
    <t>TS-EB-PRODUCTS-0285</t>
  </si>
  <si>
    <t>TS-EB-PRODUCTS-0285: Send Funds via Local Fund Transfer v1.0 _Check Local Funds Transfer Details and Status API_Verify failed GET request of Local Fund Transfer (Transaction Details) upon providing Not Existing API-Txn-Ref via PESONet</t>
  </si>
  <si>
    <t>Send GET Request of Check Local Fund Transfer Details and Status API using Not Existing Transaction Ref (API-Txn-Ref) via PESONet</t>
  </si>
  <si>
    <t>TS-EB-PRODUCTS-0290</t>
  </si>
  <si>
    <t>TS-EB-PRODUCTS-0290: Send Funds via Local Fund Transfer v1.0 _Check Local Funds Transfer Details and Status API_Verify failed GET request of Local Fund Transfer (Transaction Details) upon not providing API-Txn-Ref (Blank) via InstaPay</t>
  </si>
  <si>
    <t>Send GET Request of Check Local Fund Transfer Details and Status API using blank/empty Transaction Ref (API-Txn-Ref) via InstaPay</t>
  </si>
  <si>
    <t>The API returns an error message as the transaction reference is not given but the query parameter is present. 
Status: 400 Bad Request
statusDescription</t>
  </si>
  <si>
    <t>TS-EB-PRODUCTS-0291</t>
  </si>
  <si>
    <t>TS-EB-PRODUCTS-0291: Send Funds via Local Fund Transfer v1.0 _Check Local Funds Transfer Details and Status API_Verify failed GET request of Local Fund Transfer (Transaction Details) upon not providing API-Txn-Ref (Blank) via PESONet</t>
  </si>
  <si>
    <t>Send GET Request of Check Local Fund Transfer Details and Status API using blank/empty Transaction Ref (API-Txn-Ref) via PESONet</t>
  </si>
  <si>
    <t>TS-EB-PRODUCTS-0188</t>
  </si>
  <si>
    <t>TS-EB-PRODUCTS-0188: Send Funds via Local Fund Transfer v1.0 _Check Local Funds Transfer Details and Status API_Verify successful GET request of Check Local Fund Transfer Details and Status API but failed transaction due to Inactive receiving EWB Account</t>
  </si>
  <si>
    <t>Send GET Request of Check Local Fund Transfer Details and Status API when transaction is failed due to Inactive Receiving EWB Account</t>
  </si>
  <si>
    <t>HTTP Code = 200
STATUS = FAILED_REJECTEDResponse Code = 403 Response Description = The transaction was rejected by the payment rail. This usually means there is an issue with the target bank account.Transaction Handling = No action needed since this is already the final state
- must be included in API Portal Database</t>
  </si>
  <si>
    <t>11111185450000000000062</t>
  </si>
  <si>
    <t>TS-EB-PRODUCTS-0189</t>
  </si>
  <si>
    <t>TS-EB-PRODUCTS-0189: Send Funds via Local Fund Transfer v1.0 _Check Local Funds Transfer Details and Status API_Verify successful GET request of Check Local Fund Transfer Details and Status API but failed transaction due to rejection by Instapay</t>
  </si>
  <si>
    <t>Send GET Request of Check Local Fund Transfer Details and Status API when transaction is failed due to Rejection by Instapay</t>
  </si>
  <si>
    <t>HTTP Code = 200
STATUS = FAILED_REJECTEDResponse Code = The rejection code from the Payment RailResponse Description = The transaction was rejected by the payment rail. This usually means there is an issue with the target bank or wallet account.Transaction Handling = No action needed since this is already the final state
- must be included in API Portal Database</t>
  </si>
  <si>
    <t>11111177320000000000062</t>
  </si>
  <si>
    <t>TS-EB-PRODUCTS-0191</t>
  </si>
  <si>
    <t>TS-EB-PRODUCTS-0191: Send Funds via Local Fund Transfer v1.0 _Check Local Funds Transfer Details and Status API_Verify successful GET request of Check Local Fund Transfer Details and Status API but failed transaction due to rejection by Receiving Bank/eWa</t>
  </si>
  <si>
    <t>Send GET Request of Check Local Fund Transfer Details and Status API when transaction is failed due to Rejection by receiving Bank/eWallet</t>
  </si>
  <si>
    <t>11111185440000000000062</t>
  </si>
  <si>
    <t>TS-EB-PRODUCTS-0193</t>
  </si>
  <si>
    <t>TS-EB-PRODUCTS-0193: Send Funds via Local Fund Transfer v1.0 _Check Local Funds Transfer Details and Status API_Verify failed GET request of Check Local Fund Transfer Details and Status API due to invalid client-credentials parameters via Intrabank</t>
  </si>
  <si>
    <t>Send GET Request of Check Local Fund Transfer Details and Status API using invalid client-credentials parameter via Intrabank transfer</t>
  </si>
  <si>
    <t>responseCode (Status HTTP 400 Bad Request / 403 Forbidden [within ≤ 1 second (1000 ms)]}and responseDescription
- must be included in API Portal Database</t>
  </si>
  <si>
    <t>TS-EB-PRODUCTS-0208</t>
  </si>
  <si>
    <t>TS-EB-PRODUCTS-0208: Send Funds via Local Fund Transfer v1.0 _Check Local Funds Transfer Details and Status API_Verify successful GET request of Local Fund Transfer (Transaction Details) upon providing Application ID linked with Partner ID via Intrabank</t>
  </si>
  <si>
    <t>Send GET Request of Check Local Fund Transfer Details and Status API using valid Application ID linked with Partner ID via Intrabank</t>
  </si>
  <si>
    <t>The API Portal that passes the ownership validation request using Application ID linked with Partner ID should dispplay the Transaction Details matches:
apiTxnId
apiTxnRef
ewbCoreReference
externalRailReference(if available)
Status 200 OK
statusDescription
timestamps</t>
  </si>
  <si>
    <t>TS-EB-PRODUCTS-0210</t>
  </si>
  <si>
    <t>TS-EB-PRODUCTS-0210: Send Funds via Local Fund Transfer v1.0 _Check Local Funds Transfer Details and Status API_Verify the latest reconciled status of Transaction existing</t>
  </si>
  <si>
    <t>Send GET Request of Check Local Fund Transfer Details and Status API. Check mismatch statuses</t>
  </si>
  <si>
    <t>Status returned is latest reconciled status with no mismatches
Backend reconciliation runs continuously via automated jobs, executing every 5 minutes for real‑time rails and according to scheduled cut‑offs for batch rails, ensuring the API Portal Database always reflects the current state of EWB Core and payment rails.
All transaction data and references are kept strictly consistent across all systems, with zero tolerance for floating, pending, unknown, or mismatched statuses at any time.</t>
  </si>
  <si>
    <t>TS-EB-PRODUCTS-0266</t>
  </si>
  <si>
    <t>TS-EB-PRODUCTS-0266: Send Funds via Local Fund Transfer v1.0 _Check Local Funds Transfer Details and Status API_Verify failed GET request of Check Local Fund Transfer Details and Status API due to invalid client-credentials parameters via InstaPay</t>
  </si>
  <si>
    <t>Send GET Request of Check Local Fund Transfer Details and Status API using invalid client-credentials parameter via InstaPay</t>
  </si>
  <si>
    <t>TS-EB-PRODUCTS-0267</t>
  </si>
  <si>
    <t>TS-EB-PRODUCTS-0267: Send Funds via Local Fund Transfer v1.0 _Check Local Funds Transfer Details and Status API_Verify failed GET request of Check Local Fund Transfer Details and Status API due to invalid client-credentials parameters via PESONet</t>
  </si>
  <si>
    <t>Send GET Request of Check Local Fund Transfer Details and Status API using invalid client-credentials parameter via PESONet</t>
  </si>
  <si>
    <t>TS-EB-PRODUCTS-0276</t>
  </si>
  <si>
    <t>TS-EB-PRODUCTS-0276: Send Funds via Local Fund Transfer v1.0 _Check Local Funds Transfer Details and Status API_Verify successful GET request of Local Fund Transfer (Transaction Details) upon providing Valid API-Txn-ID via InstaPay</t>
  </si>
  <si>
    <t>Send GET Request of Check Local Fund Transfer Details and Status API using Valid Transaction ID (API-Txn-ID) via InstaPay</t>
  </si>
  <si>
    <t>Status HTTP 200 OK [within ≤ 1 second (1000 ms)]
Response Body: 
apiTxnId
apiTxnRef 
ewbCoreReference
externalRailReference(InstaPay)
status = "COMPLETED/FAILED"
responseCode
responseDescription
createdTimestamp
updatedTimestamp</t>
  </si>
  <si>
    <t>TS-EB-PRODUCTS-0277</t>
  </si>
  <si>
    <t>TS-EB-PRODUCTS-0277: Send Funds via Local Fund Transfer v1.0 _Check Local Funds Transfer Details and Status API_Verify successful GET request of Local Fund Transfer (Transaction Details) upon providing Valid API-Txn-ID via PESONet</t>
  </si>
  <si>
    <t>Send GET Request of Check Local Fund Transfer Details and Status API using Valid Transaction ID (API-Txn-ID) via PESONet</t>
  </si>
  <si>
    <t>Status HTTP 200 OK [within ≤ 1 second (1000 ms)]
Response Body: 
apiTxnId
apiTxnRef 
ewbCoreReference
externalRailReference(PESONet)
status = COMPLETE/FAILED
responseCode
responseDescription
createdTimestamp
updatedTimestamp</t>
  </si>
  <si>
    <t>TS-EB-PRODUCTS-0282</t>
  </si>
  <si>
    <t>TS-EB-PRODUCTS-0282: Send Funds via Local Fund Transfer v1.0 _Check Local Funds Transfer Details and Status API_Verify successful GET request of Local Fund Transfer (Transaction Details) upon providing valid API-Txn-Ref via InstaPay</t>
  </si>
  <si>
    <t>Send GET Request of Check Local Fund Transfer Details and Status API using Valid Transaction ID (API-Txn-Ref) via InstaPay</t>
  </si>
  <si>
    <t>Status HTTP 200 OK [within ≤ 1 second (1000 ms)]
Response Body: 
apiTxnId
apiTxnRef 
ewbCoreReference
externalRailReference (InstaPay)
status = "COMPLETED/FAILED"
responseCode
responseDescription
createdTimestamp
updatedTimestamp</t>
  </si>
  <si>
    <t>TS-EB-PRODUCTS-0283</t>
  </si>
  <si>
    <t>TS-EB-PRODUCTS-0283: Send Funds via Local Fund Transfer v1.0 _Check Local Funds Transfer Details and Status API_Verify successful GET request of Local Fund Transfer (Transaction Details) upon providing valid API-Txn-Ref via PESONet</t>
  </si>
  <si>
    <t>Send GET Request of Check Local Fund Transfer Details and Status API using Valid Transaction ID (API-Txn-Ref) via PESONet</t>
  </si>
  <si>
    <t>Status HTTP 200 OK [within ≤ 1 second (1000 ms)]
Response Body: 
apiTxnId
apiTxnRef 
ewbCoreReference
externalRailReference (PESONet)
status = COMPLETE/FAILED
responseCode
responseDescription
createdTimestamp
updatedTimestamp</t>
  </si>
  <si>
    <t>TS-EB-PRODUCTS-0292</t>
  </si>
  <si>
    <t>TS-EB-PRODUCTS-0292: Send Funds via Local Fund Transfer v1.0 _Check Local Funds Transfer Details and Status API_Verify successful GET request of Local Fund Transfer (Transaction Details) upon providing Application ID linked with Partner ID via InstaPay</t>
  </si>
  <si>
    <t>Send GET Request of Check Local Fund Transfer Details and Status API using valid Application ID linked with Partner ID via InstaPay</t>
  </si>
  <si>
    <t>The API Portal that passes the ownership validation request using Application ID linked with Partner ID should dispplay the Transaction Details matches:
HTTP 200 OK Status
Response Body: 
apiTxnId
apiTxnRef 
ewbCoreReference
externalRailReference (InstaPay)
status = "COMPLETE/FAILED"
responseCode
responseDescription
createdTimestamp
updatedTimestamp</t>
  </si>
  <si>
    <t>TS-EB-PRODUCTS-0293</t>
  </si>
  <si>
    <t>TS-EB-PRODUCTS-0293: Send Funds via Local Fund Transfer v1.0 _Check Local Funds Transfer Details and Status API_Verify successful GET request of Local Fund Transfer (Transaction Details) upon providing Application ID linked with Partner ID via PESONet</t>
  </si>
  <si>
    <t>Send GET Request of Check Local Fund Transfer Details and Status API using valid Application ID linked with Partner ID via PESONet</t>
  </si>
  <si>
    <t>The API Portal that passes the ownership validation request using Application ID linked with Partner ID should dispplay the Transaction Details matches:
HTTP 200 OK Status
Response Body: 
apiTxnId
apiTxnRef 
ewbCoreReference
externalRailReference (PESONet)
status = "COMPLETE/FAILED"
responseCode
responseDescription
createdTimestamp
updatedTimestamp</t>
  </si>
  <si>
    <t>TS-EB-PRODUCTS-0336</t>
  </si>
  <si>
    <t>TS-EB-PRODUCTS-0336: Send Funds via Local Fund Transfer v1.0 _Check Local Funds Transfer Details and Status API_Verify API Response upon using 2-3 parameters</t>
  </si>
  <si>
    <t>Send failed GET Request of Check Local Fund Transfer Details and Status API</t>
  </si>
  <si>
    <t>1. The api returns 400 Bad Request
2. Sample Request URL.: https://proxy-apim-external-test.eastwestbanker.com/test/send-funds/localft/v1/status?apiTxnId=351&amp;apiTxnRef=0D84887734626740593296V
3. Sample Response Body
{
    "status": "400",
    "errors": [
        {
            "errorCode": "INVALID_ARGUMENT",
            "errorDescription": "Exactly one of idempotencyKey, apiTxnId, or apiTxnRef must be provided"
        }
    ],
    "authId": "auth-48c6926e-799d-4cb8-b81f-11b20bf2b18b",
    "responseCode": "400",
    "responseDescription": "Exactly one of idempotencyKey, apiTxnId, or apiTxnRef must be provided"
}</t>
  </si>
  <si>
    <t>TS-EB-PRODUCTS-0194</t>
  </si>
  <si>
    <t>TS-EB-PRODUCTS-0194: Send Funds via Local Fund Transfer v1.0 _Check Local Funds Transfer Details and Status API_Verify failed GET request of Check Local Fund Transfer Details and Status API due to wrong scope or ownership via Intrabank</t>
  </si>
  <si>
    <t>Send GET Request of Check Local Fund Transfer Details and Status API using wrong scope or ownership via Intrabank</t>
  </si>
  <si>
    <t>responseCode (Status HTTP 403 Forbidden [within ≤ 1 second (1000 ms)]}and responseDescription
- must be included in API Portal Database</t>
  </si>
  <si>
    <t>46249877312345168969213</t>
  </si>
  <si>
    <t>TS-EB-PRODUCTS-0199</t>
  </si>
  <si>
    <t>TS-EB-PRODUCTS-0199: Send Funds via Local Fund Transfer v1.0 _Check Local Funds Transfer Details and Status API_Verify failed retrieval of local funds transfer details due to ownership validation failure</t>
  </si>
  <si>
    <t>Send GET Request of Check Local Fund Transfer Details and Status API when set parameter has failed the testing for account ownership</t>
  </si>
  <si>
    <t>API returns 403 Forbidden
Transaction details are not exposed</t>
  </si>
  <si>
    <t>400/401/403</t>
  </si>
  <si>
    <t>TS-EB-PRODUCTS-0209</t>
  </si>
  <si>
    <t>TS-EB-PRODUCTS-0209: Send Funds via Local Fund Transfer v1.0 _Check Local Funds Transfer Details and Status API_Verify failed GET request of upon providing Application ID linked with Partner ID but didn't pass the ownership validation via Intrabank</t>
  </si>
  <si>
    <t>Send GET Request of Check Local Fund Transfer Details and Status API using valid Application ID linked with Partner ID but doesn't match during ownership validation via Intrabank</t>
  </si>
  <si>
    <t>Status 403 Forbidden is returned with clear error message.</t>
  </si>
  <si>
    <t>TS-EB-PRODUCTS-0268</t>
  </si>
  <si>
    <t>TS-EB-PRODUCTS-0268: Send Funds via Local Fund Transfer v1.0 _Check Local Funds Transfer Details and Status API_Verify failed GET request of Check Local Fund Transfer Details and Status API due to wrong scope or ownership via InstaPay</t>
  </si>
  <si>
    <t>Send GET Request of Check Local Fund Transfer Details and Status API using wrong scope or ownership via InstaPay</t>
  </si>
  <si>
    <t>responseCode (Status HTTP 403 Forbidden [within ≤ 1 second (1000 ms)]}and responseDescription
- must be included in API Portal Database</t>
  </si>
  <si>
    <t>TS-EB-PRODUCTS-0269</t>
  </si>
  <si>
    <t>TS-EB-PRODUCTS-0269: Send Funds via Local Fund Transfer v1.0 _Check Local Funds Transfer Details and Status API_Verify failed GET request of Check Local Fund Transfer Details and Status API due to wrong scope or ownership via PESONet</t>
  </si>
  <si>
    <t>Send GET Request of Check Local Fund Transfer Details and Status API using wrong scope or ownership via PESONet</t>
  </si>
  <si>
    <t>TS-EB-PRODUCTS-0294</t>
  </si>
  <si>
    <t>TS-EB-PRODUCTS-0294: Send Funds via Local Fund Transfer v1.0 _Check Local Funds Transfer Details and Status API_Verify failed GET request of upon providing Application ID linked with Partner ID but didn't pass the ownership validation via InstaPay</t>
  </si>
  <si>
    <t>Send GET Request of Check Local Fund Transfer Details and Status API using valid Application ID linked with Partner ID but doesn't match during ownership validation via InstaPay</t>
  </si>
  <si>
    <t>TS-EB-PRODUCTS-0295</t>
  </si>
  <si>
    <t>TS-EB-PRODUCTS-0295: Send Funds via Local Fund Transfer v1.0 _Check Local Funds Transfer Details and Status API_Verify failed GET request of upon providing Application ID linked with Partner ID but didn't pass the ownership validation via PESONet</t>
  </si>
  <si>
    <t>Send GET Request of Check Local Fund Transfer Details and Status API using valid Application ID linked with Partner ID but doesn't match during ownership validation via PESONet</t>
  </si>
  <si>
    <t>TS-EB-PRODUCTS-0351</t>
  </si>
  <si>
    <t>TS-EB-PRODUCTS-0351: Send Funds via Local Fund Transfer v1.0 _Check Local Funds Transfer Details and Status API_Verify Instapay transaction status upon using incorrect swiftCode (bankCode)</t>
  </si>
  <si>
    <t>Send GET Request of transaction with incorrect swiftCode (bankCode)</t>
  </si>
  <si>
    <t>{
    "apiTxnId": 201,
    "apiTxnRef": "FT3DNQA1GJ261NC6NC4636U",
    "channel": "INSTAPAY",
    "ewbCoreReference": null,
    "externalRailReference": null,
    "externalRailCode": "404",
    "transferAmount": 7.00,
    "transferCurrency": "PHP",
    "responseCode": "404",
    "status": "FAILED",
    "responseDescription": "Unable to retrieve swift code. [E0001: ]",
    "createdTimestamp": 1781061302.605000000,
    "completedTimestamp": null,
    "updatedTimestamp": 1781090102.564000000
}</t>
  </si>
  <si>
    <t>IN_EndPointBearer</t>
  </si>
  <si>
    <t>IN_Channel</t>
  </si>
  <si>
    <t>IN_SourceAccountNumber</t>
  </si>
  <si>
    <t>IN_UltimateSenderName</t>
  </si>
  <si>
    <t>IN_BankCode</t>
  </si>
  <si>
    <t>IN_TargetAccountNumber</t>
  </si>
  <si>
    <t>IN_UltimateBeneficiaryName</t>
  </si>
  <si>
    <t>IN_Amount</t>
  </si>
  <si>
    <t>IN_IPAddress</t>
  </si>
  <si>
    <t>IN_GeoLongitude</t>
  </si>
  <si>
    <t>IN_DeviceId</t>
  </si>
  <si>
    <t>IN_UserAgent</t>
  </si>
  <si>
    <t>IN_Country</t>
  </si>
  <si>
    <t>IN_ApplicationType</t>
  </si>
  <si>
    <t>IN_IPCity</t>
  </si>
  <si>
    <t>OUT_TxnID</t>
  </si>
  <si>
    <t>OUT_TxnRef</t>
  </si>
  <si>
    <t>TS-EB-SB-PRODUCTS-0008</t>
  </si>
  <si>
    <t>TS-EB-SB-PRODUCTS-0008-Verify Successful initiation of a Local funds transfer via Intrabank (EWB to EWB)</t>
  </si>
  <si>
    <t>Send POST Request of Send Funds via Local Fund Transfer via EWB to EWB</t>
  </si>
  <si>
    <t>DB Initial Status = RECEIVED with (full 13-digit idempotency-key stored (with 48-hour TTL for duplicate checks)
apiTxnId, apiTxnRef, ewbCoreReference, externalRailReference (if available), status(RECEIVED), statusDescription, and createdTimestamp.
EWB API PORTAL
Status  = COMPLETED
Response Code = 200
Response Description = The transaction has been successfully received and credited.
Transaction Handling = No action needed since this is already the final state
apiTxnRef is correctly constructed (Application-ID + Product-ID + Idempotency-Key + wildcard) and propagated to EWB Core Banking System, payment rails, logs, reconciliation files, and audit trails.</t>
  </si>
  <si>
    <t>/send-funds/localft/v1/initiate</t>
  </si>
  <si>
    <t>924fdda7-26f7-414b-ac56-9214ff796881</t>
  </si>
  <si>
    <t>INTRABANK</t>
  </si>
  <si>
    <t>Lorence Ecle</t>
  </si>
  <si>
    <t>EWBCPHMMXXX</t>
  </si>
  <si>
    <t>Pao Casipe</t>
  </si>
  <si>
    <t>203.0.113.42</t>
  </si>
  <si>
    <t>14.599500</t>
  </si>
  <si>
    <t>120.984200</t>
  </si>
  <si>
    <t>device-abc123</t>
  </si>
  <si>
    <t>AcmePayrollApp/2.1</t>
  </si>
  <si>
    <t>Philippines</t>
  </si>
  <si>
    <t>Desktop</t>
  </si>
  <si>
    <t>Mandaluyong</t>
  </si>
  <si>
    <t>TS-EB-SB-PRODUCTS-0009</t>
  </si>
  <si>
    <t>TS-EB-SB-PRODUCTS-0009-Verify Successful initiation of a Local funds transfer via Intrabank (EWB to EWRB)</t>
  </si>
  <si>
    <t>Send POST Request of Send Funds via Local Fund Transfer via EWB to EWRB</t>
  </si>
  <si>
    <t xml:space="preserve">
DB Initial Status = RECEIVED with (full 13-digit idempotency-key stored (with 48-hour TTL for duplicate checks)
apiTxnId, apiTxnRef, ewbCoreReference, externalRailReference (if available), status(RECEIVED), statusDescription, and createdTimestamp.
EWB API PORTAL
Status  = COMPLETED
Response Code = 200
Response Description = The transaction has been successfully received and credited.
Transaction Handling = No action needed since this is already the final state
apiTxnRef is correctly constructed (Application-ID + Product-ID + Idempotency-Key + wildcard) and propagated to EWB Core Banking System, payment rails, logs, reconciliation files, and audit trails.</t>
  </si>
  <si>
    <t>TS-EB-SB-PRODUCTS-0010</t>
  </si>
  <si>
    <t>TS-EB-SB-PRODUCTS-0010-Verify Successful initiation of a local funds transfer via InstaPay</t>
  </si>
  <si>
    <t>Send POST Request of Send Funds via Local Fund Transfer via EWB to InstaPay</t>
  </si>
  <si>
    <t>DB Initial Status = RECEIVED with (full 13-digit idempotency-key stored (with 48-hour TTL for duplicate checks)
apiTxnId, apiTxnRef, ewbCoreReference, externalRailReference (if available), status (RECEIVED), statusDescription, and createdTimestamp.
EWB API PORTAL
Status  = COMPLETED
Response Code = 200
Response Description = The transaction has been successfully received by the receiving bank/wallet.
Transaction Handling = No action needed since this is already the final state
apiTxnRef is correctly constructed (Application-ID + Product-ID + Idempotency-Key + wildcard) and propagated to EWB Core Banking System, payment rails, logs, reconciliation files, and audit trails.</t>
  </si>
  <si>
    <t>TS-EB-SB-PRODUCTS-0011</t>
  </si>
  <si>
    <t>TS-EB-SB-PRODUCTS-0011-Verify Successful initiation of a local funds transfer via PESONet</t>
  </si>
  <si>
    <t>Send POST Request of Send Funds via Local Fund Transfer via EWB to PESONet</t>
  </si>
  <si>
    <t xml:space="preserve">DB Initial Status = RECEIVED with (full 13-digit idempotency-key stored (with 48-hour TTL for duplicate checks)
apiTxnId, apiTxnRef, ewbCoreReference, externalRailReference (if available), status (RECIEVED), statusDescription, and createdTimestamp.
EWB API PORTAL
Status  = COMPLETED
Response Code = 200
Response Description = The transaction has been successfully received by the receiving bank/wallet.
Transaction Handling = No action needed since this is already the final state
apiTxnRef is correctly constructed (Application-ID + Product-ID + Idempotency-Key + wildcard) and propagated to EWB Core Banking System, payment rails, logs, reconciliation files, and audit trails.
</t>
  </si>
  <si>
    <t>7902f971-6452-469f-85c5-b0d8379edf39</t>
  </si>
  <si>
    <t>CUOBPHM2XXX</t>
  </si>
  <si>
    <t>001080000029</t>
  </si>
  <si>
    <t>TS-EB-SB-PRODUCTS-0012_1</t>
  </si>
  <si>
    <t>TS-EB-SB-PRODUCTS-0012_1-Transfer with No Amount</t>
  </si>
  <si>
    <t>Send POST Request of Send Funds via Local Fund Transfer using No Amount</t>
  </si>
  <si>
    <t>Failed Status 400 Bad Request</t>
  </si>
  <si>
    <t>TS-EB-SB-PRODUCTS-0012_2</t>
  </si>
  <si>
    <t>TS-EB-SB-PRODUCTS-0012_2-Transfer with No Amount</t>
  </si>
  <si>
    <t>EAWRPHM2XXX</t>
  </si>
  <si>
    <t>TS-EB-SB-PRODUCTS-0012_3</t>
  </si>
  <si>
    <t>TS-EB-SB-PRODUCTS-0012_3-Transfer with No Amount</t>
  </si>
  <si>
    <t>INSTAPAY</t>
  </si>
  <si>
    <t>TS-EB-SB-PRODUCTS-0012_4</t>
  </si>
  <si>
    <t>TS-EB-SB-PRODUCTS-0012_4-Transfer with No Amount</t>
  </si>
  <si>
    <t>TS-EB-SB-PRODUCTS-0013_1</t>
  </si>
  <si>
    <t>TS-EB-SB-PRODUCTS-0013_1-Verify if Missing Access Token is use in Local Fund Transfer</t>
  </si>
  <si>
    <t>Send POST Request of Send Funds via Local Fund Transfer without/missing Access Token</t>
  </si>
  <si>
    <t>Failed Status 401 Unauthorized</t>
  </si>
  <si>
    <t>TS-EB-SB-PRODUCTS-0013_2</t>
  </si>
  <si>
    <t>TS-EB-SB-PRODUCTS-0013_2-Verify if Missing Access Token is use in Local Fund Transfer</t>
  </si>
  <si>
    <t>TS-EB-SB-PRODUCTS-0013_3</t>
  </si>
  <si>
    <t>TS-EB-SB-PRODUCTS-0013_3-Verify if Missing Access Token is use in Local Fund Transfer</t>
  </si>
  <si>
    <t>TS-EB-SB-PRODUCTS-0013_4</t>
  </si>
  <si>
    <t>TS-EB-SB-PRODUCTS-0013_4-Verify if Missing Access Token is use in Local Fund Transfer</t>
  </si>
  <si>
    <t>TS-EB-SB-PRODUCTS-0014</t>
  </si>
  <si>
    <t>TS-EB-SB-PRODUCTS-0014-Verify Local Fund Transfer if Source Account is Not Registered as Client Owned Account - Source Account via EWB to EWB</t>
  </si>
  <si>
    <t>Send POST Request of Send Funds via Local Fund Transfer via EWB to EWB using Not Registered as Client Owned Account - Source Account</t>
  </si>
  <si>
    <t>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</si>
  <si>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TS-EB-SB-PRODUCTS-0015</t>
  </si>
  <si>
    <t>TS-EB-SB-PRODUCTS-0015-Verify Local Fund Transfer if Source Account is Not Registered as Client Owned Account - Source Account via EWB to EWRB</t>
  </si>
  <si>
    <t>Send POST Request of Send Funds via Local Fund Transfer via EWB to EWRB using Not Registered as Client Owned Account - Source Account</t>
  </si>
  <si>
    <t>DB Initial Status = RECEIVED with (full 13-digit idempotency-key stored (with 48-hour TTL for duplicate checks)
apiTxnId, apiTxnRef, ewbCoreReference, externalRailReference (if available, Instapay/PESONet applicable), status (PENDING), statusDescription, and createdTimestamp.
apiTxnRef is correctly constructed (Application-ID + Product-ID + Idempotency-Key + wildcard) and propagated to EWB Core Banking System, payment rails, logs, reconciliation files, and audit trails.</t>
  </si>
  <si>
    <t>TS-EB-SB-PRODUCTS-0016</t>
  </si>
  <si>
    <t>TS-EB-SB-PRODUCTS-0016-Verify Local Fund Transfer if Source Account is Not Registered as Client Owned Account - Source Account via EWB to InstaPay</t>
  </si>
  <si>
    <t>Send POST Request of Send Funds via Local Fund Transfer via EWB to InstaPay using Not Registered as Client Owned Account - Source Account</t>
  </si>
  <si>
    <t xml:space="preserve">DB Initial Status = RECEIVED with (full 13-digit idempotency-key stored (with 48-hour TTL for duplicate checks)
apiTxnId, apiTxnRef, ewbCoreReference, externalRailReference (if available, Instapay/PESONet applicable), status (PENDING), statusDescription, and createdTimestamp.
apiTxnRef is correctly constructed (Application-ID + Product-ID + Idempotency-Key + wildcard) and propagated to EWB Core Banking System, payment rails, logs, reconciliation files, and audit trails.
</t>
  </si>
  <si>
    <t>TS-EB-SB-PRODUCTS-0017</t>
  </si>
  <si>
    <t>TS-EB-SB-PRODUCTS-0017-Verify Local Fund Transfer if Source Account is Not Registered as Client Owned Account - Source Account via EWB to PESONet</t>
  </si>
  <si>
    <t>Send POST Request of Send Funds via Local Fund Transfer via EWB to PESOnet using Not Registered as Client Owned Account - Source Account</t>
  </si>
  <si>
    <t>TS-EB-SB-PRODUCTS-0018</t>
  </si>
  <si>
    <t>TS-EB-SB-PRODUCTS-0018-Verify Initiation of Local Funds Transfer with Non-Existing Source Account via EWB to EWB</t>
  </si>
  <si>
    <t>Send POST Request of Send Funds via Local Fund Transfer via EWB to EWB using Not Existing Source Account</t>
  </si>
  <si>
    <t>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</si>
  <si>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TS-EB-SB-PRODUCTS-0019</t>
  </si>
  <si>
    <t>TS-EB-SB-PRODUCTS-0019-Verify Initiation of Local Funds Transfer with Non-Existing Source Account via EWB to EWRB</t>
  </si>
  <si>
    <t>Send POST Request of Send Funds via Local Fund Transfer via EWB to EWRB using Not Existing Source Account</t>
  </si>
  <si>
    <t>TS-EB-SB-PRODUCTS-0020</t>
  </si>
  <si>
    <t>TS-EB-SB-PRODUCTS-0020-Verify Initiation of Local Funds Transfer with Non-Existing Source Account via EWB to InstaPay</t>
  </si>
  <si>
    <t>Send POST Request of Send Funds via Local Fund Transfer via EWB to InstaPay using Not Existing Source Account</t>
  </si>
  <si>
    <t>TS-EB-SB-PRODUCTS-0021</t>
  </si>
  <si>
    <t>TS-EB-SB-PRODUCTS-0021-Verify Initiation of Local Funds Transfer with Non-Existing Source Account via EWB to PESONet</t>
  </si>
  <si>
    <t>Send POST Request of Send Funds via Local Fund Transfer via EWB to PESONet using Not Existing Source Account</t>
  </si>
  <si>
    <t>TS-EB-SB-PRODUCTS-0022</t>
  </si>
  <si>
    <t>TS-EB-SB-PRODUCTS-0022: Send Funds via Local Fund Transfer v1.0_Initiate Local Funds Transfer API_Verify Initiation of Local Funds Transfer via EWB to EWB with Blank Source Account Number</t>
  </si>
  <si>
    <t>Send POST Request of Send Funds via Local Fund Transfer via EWB to EWB using Blank Source Account Number</t>
  </si>
  <si>
    <t>Status: FAILED
responseCode: 400 Bad Request
responseDescription</t>
  </si>
  <si>
    <t>TS-EB-SB-PRODUCTS-0023</t>
  </si>
  <si>
    <t>Send POST Request of Send Funds via Local Fund Transfer via EWB to EWRB using Blank Source Account Number</t>
  </si>
  <si>
    <t>TS-EB-SB-PRODUCTS-0024</t>
  </si>
  <si>
    <t>TS-EB-SB-PRODUCTS-0024: Send Funds via Local Fund Transfer v1.0_Initiate Local Funds Transfer API_Verify Initiation of Local Funds Transfer via EWB to Instapay with Blank Source Account Number</t>
  </si>
  <si>
    <t>Send POST Request of Send Funds via Local Fund Transfer via EWB to InstaPay using Blank Source Account Number</t>
  </si>
  <si>
    <t>TS-EB-SB-PRODUCTS-0025</t>
  </si>
  <si>
    <t>TS-EB-SB-PRODUCTS-0025: Send Funds via Local Fund Transfer v1.0_Initiate Local Funds Transfer API_Verify Initiation of Local Funds Transfer via EWB to PESONet with Blank Source Account Number</t>
  </si>
  <si>
    <t>Send POST Request of Send Funds via Local Fund Transfer via EWB to PEOSNet using Blank Source Account Number</t>
  </si>
  <si>
    <t>TS-EB-SB-PRODUCTS-0026</t>
  </si>
  <si>
    <t>TS-EB-SB-PRODUCTS-0026: Send Funds via Local Fund Transfer v1.0_Initiate Local Funds Transfer API_Verify Initiation of Local Funds Transfer via EWB to EWB with Blank Beneficiary Account Number</t>
  </si>
  <si>
    <t>Send POST Request of Send Funds via Local Fund Transfer via EWB to EWB using Blank Beneficiary Account Number</t>
  </si>
  <si>
    <t>TS-EB-SB-PRODUCTS-0027</t>
  </si>
  <si>
    <t>TS-EB-SB-PRODUCTS-0027: Send Funds via Local Fund Transfer v1.0_Initiate Local Funds Transfer API_Verify Initiation of Local Funds Transfer via EWB to EWRB with Blank Beneficiary Account Number</t>
  </si>
  <si>
    <t>Send POST Request of Send Funds via Local Fund Transfer EWB to EWRB using Blank Beneficiary Account Number</t>
  </si>
  <si>
    <t>TS-EB-SB-PRODUCTS-0028</t>
  </si>
  <si>
    <t>TS-EB-SB-PRODUCTS-0028: Send Funds via Local Fund Transfer v1.0_Initiate Local Funds Transfer API_Verify Initiation of Local Funds Transfer via EWB to InstaPay with Blank Beneficiary Account Number</t>
  </si>
  <si>
    <t>Send POST Request of Send Funds via Local Fund Transfer via EWB to InstaPay using Blank Beneficiary Account Number</t>
  </si>
  <si>
    <t>TS-EB-SB-PRODUCTS-0029</t>
  </si>
  <si>
    <t>TS-EB-SB-PRODUCTS-0029: Send Funds via Local Fund Transfer v1.0_Initiate Local Funds Transfer API_Verify Initiation of Local Funds Transfervia EWB to PESONet with Blank Beneficiary Account Number</t>
  </si>
  <si>
    <t>Send POST Request of Send Funds via Local Fund Transfer via EWB to PESONet using Blank Beneficiary Account Number</t>
  </si>
  <si>
    <t>TS-EB-SB-PRODUCTS-0030</t>
  </si>
  <si>
    <t>TS-EB-SB-PRODUCTS-0030: Send Funds via Local Fund Transfer v1.0_Initiate Local Funds Transfer API_Verify Initiation of Local Funds Transfer via EWB to EWB with Blank Both Source Account and Beneficiary Account Number</t>
  </si>
  <si>
    <t>Send POST Request of Send Funds via Local Fund Transfer via EWB to EWB using Blank Source Account and Beneficiary Account Number</t>
  </si>
  <si>
    <t>TS-EB-SB-PRODUCTS-0031</t>
  </si>
  <si>
    <t>TS-EB-SB-PRODUCTS-0031: Send Funds via Local Fund Transfer v1.0_Initiate Local Funds Transfer API_Verify Initiation of Local Funds Transfer via EWB to EWRB with Blank Both Source Account and Beneficiary Account Number</t>
  </si>
  <si>
    <t>Send POST Request of Send Funds via Local Fund Transfer via EWB to EWRB using Blank Source Account and Beneficiary Account Number</t>
  </si>
  <si>
    <t>TS-EB-SB-PRODUCTS-0032</t>
  </si>
  <si>
    <t>TS-EB-SB-PRODUCTS-0032: Send Funds via Local Fund Transfer v1.0_Initiate Local Funds Transfer API_Verify Initiation of Local Funds Transfer via EWB to InstaPay with Blank Both Source Account and Beneficiary Account Number</t>
  </si>
  <si>
    <t>Send POST Request of Send Funds via Local Fund Transfer via EWB to InstaPay using Blank Source Account and Beneficiary Account Number</t>
  </si>
  <si>
    <t>TS-EB-SB-PRODUCTS-0033</t>
  </si>
  <si>
    <t>TS-EB-SB-PRODUCTS-0033: Send Funds via Local Fund Transfer v1.0_Initiate Local Funds Transfer API_Verify Initiation of Local Funds Transfer via EWB to PESONet with Blank Both Source Account and Beneficiary Account Number</t>
  </si>
  <si>
    <t>Send POST Request of Send Funds via Local Fund Transfer via EWB to PESONet using Blank Source Account and Beneficiary Account Number</t>
  </si>
  <si>
    <t>TS-EB-SB-PRODUCTS-0034</t>
  </si>
  <si>
    <t>TS-EB-SB-PRODUCTS-0034-Verify Initiation of Local Funds Transfer via EWB to EWB with Source Account with Exceeding to 20 characters</t>
  </si>
  <si>
    <t>Send POST Request of Send Funds via Local Fund Transfer via EWB to EWB using Source Account Number with Exceeding to 20 characters</t>
  </si>
  <si>
    <t>TS-EB-SB-PRODUCTS-0035</t>
  </si>
  <si>
    <t>TS-EB-SB-PRODUCTS-0035-Verify Initiation of Local Funds Transfer via EWB to EWRB with Source Account with Exceeding to 20 characters</t>
  </si>
  <si>
    <t>Send POST Request of Send Funds via Local Fund Transfer via EWB to EWRB using Source Account Number with Exceeding to 20 characters</t>
  </si>
  <si>
    <t>TS-EB-SB-PRODUCTS-0036</t>
  </si>
  <si>
    <t>TS-EB-SB-PRODUCTS-0036-Verify Initiation of Local Funds Transfer via EWB to InstaPaywith Source Account with Exceeding to 20 characters</t>
  </si>
  <si>
    <t>Send POST Request of Send Funds via Local Fund Transfer via EWB to Instapay using Source Account Number with Exceeding to 20 characters</t>
  </si>
  <si>
    <t>TS-EB-SB-PRODUCTS-0037</t>
  </si>
  <si>
    <t>TS-EB-SB-PRODUCTS-0037-Verify Initiation of Local Funds Transfer via EWB to PESONet with Source Account with Exceeding to 20 characters</t>
  </si>
  <si>
    <t>Send POST Request of Send Funds via Local Fund Transfer via EWB to PESONet using Source Account Number with Exceeding to 20 characters</t>
  </si>
  <si>
    <t>TS-EB-SB-PRODUCTS-0038</t>
  </si>
  <si>
    <t>TS-EB-SB-PRODUCTS-0038-Verify Initiation of Local Funds Transfer via EWB to EWB with Source Account Fewer than 10 characters</t>
  </si>
  <si>
    <t>Send POST Request of Send Funds via Local Fund Transfer via EWB to EWB using Source Account Number Fewer than 10 characters</t>
  </si>
  <si>
    <t>TS-EB-SB-PRODUCTS-0039</t>
  </si>
  <si>
    <t>TS-EB-SB-PRODUCTS-0039-Verify Initiation of Local Funds Transfer via EWB to EWRB with Source Account Fewer than 10 characters</t>
  </si>
  <si>
    <t>Send POST Request of Send Funds via Local Fund Transfer via EWB to EWRB using Source Account Number Fewer than 10 characters</t>
  </si>
  <si>
    <t>TS-EB-SB-PRODUCTS-0040</t>
  </si>
  <si>
    <t>TS-EB-SB-PRODUCTS-0040-Verify Initiation of Local Funds Transfer via EWB to InstaPay with Source Account Fewer than 10 characters</t>
  </si>
  <si>
    <t>Send POST Request of Send Funds via Local Fund Transfer via EWB to InstaPay using Source Account Number Fewer than 10 characters</t>
  </si>
  <si>
    <t>TS-EB-SB-PRODUCTS-0041</t>
  </si>
  <si>
    <t>TS-EB-SB-PRODUCTS-0041-Verify Initiation of Local Funds Transfer via EWB to PESONet with Source Account Fewer than 10 characters</t>
  </si>
  <si>
    <t>Send POST Request of Send Funds via Local Fund Transfer via EWB to PESONet using Source Account Number Fewer than 10 characters</t>
  </si>
  <si>
    <t>TS-EB-SB-PRODUCTS-0042</t>
  </si>
  <si>
    <t>TS-EB-SB-PRODUCTS-0042-Verify Initiation of Local Funds Transfer via EWB to EWB with Source Account not linked to provided access token</t>
  </si>
  <si>
    <t>Send POST Request of Send Funds via Local Fund Transfer via EWB to EWB using Source Account not linked to the provided to access token</t>
  </si>
  <si>
    <t>TS-EB-SB-PRODUCTS-0043</t>
  </si>
  <si>
    <t>TS-EB-SB-PRODUCTS-0043-Verify Initiation of Local Funds Transfer via EWB to EWRB with Source Account not linked to provided access token</t>
  </si>
  <si>
    <t>Send POST Request of Send Funds via Local Fund Transfer via EWB to EWRB using Source Account not linked to the provided to access token</t>
  </si>
  <si>
    <t>TS-EB-SB-PRODUCTS-0044</t>
  </si>
  <si>
    <t>TS-EB-SB-PRODUCTS-0044-Verify Initiation of Local Funds Transfer via EWB to InstaPay with Source Account not linked to provided access token</t>
  </si>
  <si>
    <t>Send POST Request of Send Funds via Local Fund Transfer via EWB to InstaPay using Source Account not linked to the provided to access token</t>
  </si>
  <si>
    <t>TS-EB-SB-PRODUCTS-0045</t>
  </si>
  <si>
    <t>TS-EB-SB-PRODUCTS-0045-Verify Initiation of Local Funds Transfer via EWB to PESONet with Source Account not linked to provided access token</t>
  </si>
  <si>
    <t>Send POST Request of Send Funds via Local Fund Transfer via EWB to PESONet using Source Account not linked to the provided to access token</t>
  </si>
  <si>
    <t>TS-EB-SB-PRODUCTS-0046</t>
  </si>
  <si>
    <t>TS-EB-SB-PRODUCTS-0046-Verify Initiation of Local Funds Transfer via EWB to EWB with FDS Receiver Beneficiary Account</t>
  </si>
  <si>
    <t>Send POST Request of Send Funds via Local Fund Transfer via EWB to EWB using FDS Receiver Beneficiary Account</t>
  </si>
  <si>
    <t>TS-EB-SB-PRODUCTS-0047</t>
  </si>
  <si>
    <t>TS-EB-SB-PRODUCTS-0047-Verify Initiation of Local Funds Transfer via EWB to EWRB with FDS Receiver Beneficiary Account</t>
  </si>
  <si>
    <t>Send POST Request of Send Funds via Local Fund Transfer via EWB to EWrB using FDS Receiver Beneficiary Account</t>
  </si>
  <si>
    <t>TS-EB-SB-PRODUCTS-0048</t>
  </si>
  <si>
    <t>TS-EB-SB-PRODUCTS-0048-Verify Initiation of Local Funds Transfer via EWB to InstaPay with FDS Receiver Beneficiary Account</t>
  </si>
  <si>
    <t>Send POST Request of Send Funds via Local Fund Transfer via EWB to InstaPay using FDS Receiver Beneficiary Account</t>
  </si>
  <si>
    <t>TS-EB-SB-PRODUCTS-0049</t>
  </si>
  <si>
    <t>TS-EB-SB-PRODUCTS-0049-Verify Initiation of Local Funds Transfer via EWB to PESONet with FDS Receiver Beneficiary Account</t>
  </si>
  <si>
    <t>Send POST Request of Send Funds via Local Fund Transfer via EWB to PESONet using FDS Receiver Beneficiary Account</t>
  </si>
  <si>
    <t>Success Status 200 OK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</si>
  <si>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TS-EB-SB-PRODUCTS-0050</t>
  </si>
  <si>
    <t>TS-EB-SB-PRODUCTS-0050-Validate that all required body parameters are present and correctly formatted as per API specification via EWB to EWB</t>
  </si>
  <si>
    <t>Send POST Request of Send Funds via Local Fund Transfer via EWB to EWB using proper Required Body Parameters</t>
  </si>
  <si>
    <t>API returns HTTP 200 OK</t>
  </si>
  <si>
    <t>TS-EB-SB-PRODUCTS-0051</t>
  </si>
  <si>
    <t>TS-EB-SB-PRODUCTS-0051-Validate that all required body parameters are present and correctly formatted as per API specification via EWB to EWRB</t>
  </si>
  <si>
    <t>Send POST Request of Send Funds via Local Fund Transfer via EWB to EWRB using proper Required Body Parameters</t>
  </si>
  <si>
    <t>TS-EB-SB-PRODUCTS-0052</t>
  </si>
  <si>
    <t>TS-EB-SB-PRODUCTS-0052-Validate that all required body parameters are present and correctly formatted as per API specification via EWB to InstaPay</t>
  </si>
  <si>
    <t>Send POST Request of Send Funds via Local Fund Transfer via EWB to InstaPay using proper Required Body Parameters</t>
  </si>
  <si>
    <t>TS-EB-SB-PRODUCTS-0053</t>
  </si>
  <si>
    <t>TS-EB-SB-PRODUCTS-0053-Validate that all required body parameters are present and correctly formatted as per API specification via EWB to PESONet</t>
  </si>
  <si>
    <t>Send POST Request of Send Funds via Local Fund Transfer via EWB to PESONet using proper Required Body Parameters</t>
  </si>
  <si>
    <t>TS-EB-SB-PRODUCTS-0054</t>
  </si>
  <si>
    <t>TS-EB-SB-PRODUCTS-0054-Verify if required body parameters validation/notes are enforced as per API specification via EWB to EWB upon using invalid values</t>
  </si>
  <si>
    <t>Send POST Request of Send Funds via Local Fund Transfer via EWB to EWB using invalid values on Required Body Parameters</t>
  </si>
  <si>
    <t>TS-EB-SB-PRODUCTS-0055</t>
  </si>
  <si>
    <t>TS-EB-SB-PRODUCTS-0055-Verify if required body parameters validation/notes are enforced as per API specification via EWB to EWRB upon using invalid values</t>
  </si>
  <si>
    <t>Send POST Request of Send Funds via Local Fund Transfer via EWB to EWRB using invalid values on Required Body Parameters</t>
  </si>
  <si>
    <t>TS-EB-SB-PRODUCTS-0056</t>
  </si>
  <si>
    <t>TS-EB-SB-PRODUCTS-0056-Verify if required body parameters validation/notes are enforced as per API specification via EWB to InstaPay upon using invalid values</t>
  </si>
  <si>
    <t>Send POST Request of Send Funds via Local Fund Transfer via EWB to InstaPay using invalid values on Required Body Parameters</t>
  </si>
  <si>
    <t>TS-EB-SB-PRODUCTS-0057</t>
  </si>
  <si>
    <t>TS-EB-SB-PRODUCTS-0057-Verify if required body parameters validation/notes are enforced as per API specification via EWB to PESONet upon using invalid values</t>
  </si>
  <si>
    <t>Send POST Request of Send Funds via Local Fund Transfer via EWB to PESONet using invalid values on Required Body Parameters</t>
  </si>
  <si>
    <t>TS-EB-SB-PRODUCTS-0058</t>
  </si>
  <si>
    <t>TS-EB-SB-PRODUCTS-0058-Validate that all Not Required body parameters are present and correctly formatted as per API specification via EWB to EWB</t>
  </si>
  <si>
    <t>Send POST Request of Send Funds via Local Fund Transfer via EWB to EWB using valid values on Not Required Body Parameters</t>
  </si>
  <si>
    <t>TS-EB-SB-PRODUCTS-0059</t>
  </si>
  <si>
    <t>TS-EB-SB-PRODUCTS-0059-Validate that all optional body parameters are present and correctly formatted as per API specification via EWB to EWRB</t>
  </si>
  <si>
    <t>Send POST Request of Send Funds via Local Fund Transfer via EWB to EWRB using valid values on Not Required Body Parameters</t>
  </si>
  <si>
    <t>TS-EB-SB-PRODUCTS-0060</t>
  </si>
  <si>
    <t>TS-EB-SB-PRODUCTS-0060-Validate that all optional body parameters are present and correctly formatted as per API specification via EWB to InstaPay</t>
  </si>
  <si>
    <t>Send POST Request of Send Funds via Local Fund Transfer via EWB to InstaPay using valid values on Not Required Body Parameters</t>
  </si>
  <si>
    <t>TS-EB-SB-PRODUCTS-0061</t>
  </si>
  <si>
    <t>TS-EB-SB-PRODUCTS-0061-Validate that all optional body parameters are present and correctly formatted as per API specification via EWB to PESONet</t>
  </si>
  <si>
    <t>Send POST Request of Send Funds via Local Fund Transfer via EWB to PESONet using valid values on Not Required Body Parameters</t>
  </si>
  <si>
    <t>TS-EB-SB-PRODUCTS-0062</t>
  </si>
  <si>
    <t>TS-EB-SB-PRODUCTS-0062-Validate that all optional body parameters are present and correctly formatted as per API specification via EWB to EWB</t>
  </si>
  <si>
    <t>Send POST Request of Send Funds via Local Fund Transfer via EWB to EWB using invalid values on Not Required Body Parameters</t>
  </si>
  <si>
    <t>TS-EB-SB-PRODUCTS-0063</t>
  </si>
  <si>
    <t>TS-EB-SB-PRODUCTS-0063-Verify if not required body parameters validation/notes are enforced as per API specification via EWB to EWRB upon using invalid values</t>
  </si>
  <si>
    <t>Send POST Request of Send Funds via Local Fund Transfer via EWB to EWRB using invalid values on Not Required Body Parameters</t>
  </si>
  <si>
    <t>TS-EB-SB-PRODUCTS-0064</t>
  </si>
  <si>
    <t>TS-EB-SB-PRODUCTS-0064-Verify if not required body parameters validation/notes are enforced as per API specification via EWB to InstaPay upon using invalid values</t>
  </si>
  <si>
    <t>Send POST Request of Send Funds via Local Fund Transfer via EWB to InstaPay using invalid values on Not Required Body Parameters</t>
  </si>
  <si>
    <t>TS-EB-SB-PRODUCTS-0065</t>
  </si>
  <si>
    <t>TS-EB-SB-PRODUCTS-0065-Verify if not required body parameters validation/notes are enforced as per API specification via EWB to PESONet upon using invalid values</t>
  </si>
  <si>
    <t>Send POST Request of Send Funds via Local Fund Transfer via EWB to PESONet using invalid values on Not Required Body Parameters</t>
  </si>
  <si>
    <t>TS-EB-SB-PRODUCTS-0066_1</t>
  </si>
  <si>
    <t>TS-EB-SB-PRODUCTS-0066_1-Verify that resending the same request with the same 13‑digit idempotency key returns the original response</t>
  </si>
  <si>
    <t>Resend POST Request of Send Funds via Local Fund Transfer using the same request with same 13‑digit idempotency key</t>
  </si>
  <si>
    <t>The API Portal detects the existing record and skips re‑processing, returning the original response within ≤ 500 ms. 
The API returns the original successful response with the same apiTxnRef, status, and references.
Sample Response Body: 
200 OK
{
    "apiTxnId": 20,
    "apiTxnRef": "60000000000010156580823",
    "ewbCoreReference": null,
    "externalRailReference": null,
    "responseCode": "ACCEPTED",
    "status": "PENDING",
    "responseDescription": null,
    "createdTimestamp": "2026-06-01T14:50:41.0068888"
}</t>
  </si>
  <si>
    <t>TS-EB-SB-PRODUCTS-0066_2</t>
  </si>
  <si>
    <t>TS-EB-SB-PRODUCTS-0066_2-Verify that resending the same request with the same 13‑digit idempotency key returns the original response</t>
  </si>
  <si>
    <t>TS-EB-SB-PRODUCTS-0066_3</t>
  </si>
  <si>
    <t>TS-EB-SB-PRODUCTS-0066_3-Verify that resending the same request with the same 13‑digit idempotency key returns the original response</t>
  </si>
  <si>
    <t>TS-EB-SB-PRODUCTS-0066_4</t>
  </si>
  <si>
    <t>TS-EB-SB-PRODUCTS-0066_4-Verify that resending the same request with the same 13‑digit idempotency key returns the original response</t>
  </si>
  <si>
    <t>TS-EB-SB-PRODUCTS-0067_1</t>
  </si>
  <si>
    <t>TS-EB-SB-PRODUCTS-0067_1-Verify Different payload with the same idempotency-key response</t>
  </si>
  <si>
    <t>Send POST Request of Send Funds via Local Fund Transfer using the different payload with same 13‑digit idempotency key</t>
  </si>
  <si>
    <t>Different payload with same idempotency-key returns HTTP 409 Conflict with clear error message. 
Sample Response Body:
409 Conflict
{
    "status": "FAILED",
    "authId": null,
    "errors": null,
    "responseCode": "409",
    "responseDescription": "Idempotency key already used with a different request payload"
}</t>
  </si>
  <si>
    <t>TS-EB-SB-PRODUCTS-0067_2</t>
  </si>
  <si>
    <t>TS-EB-SB-PRODUCTS-0067_2-Verify Different payload with the same idempotency-key response</t>
  </si>
  <si>
    <t>TS-EB-SB-PRODUCTS-0067_3</t>
  </si>
  <si>
    <t>TS-EB-SB-PRODUCTS-0067_3-Verify Different payload with the same idempotency-key response</t>
  </si>
  <si>
    <t>TS-EB-SB-PRODUCTS-0067_4</t>
  </si>
  <si>
    <t>TS-EB-SB-PRODUCTS-0067_4-Verify Different payload with the same idempotency-key response</t>
  </si>
  <si>
    <t>TS-EB-SB-PRODUCTS-0068: Send Funds via Local Fund Transfer v1.0_Initiate Local Funds Transfer API_Verify Different payload with the same idempotency-key response time / processing time</t>
  </si>
  <si>
    <t>Send POST Request of Send Funds via Local Fund Transfer using the different payload with same 13‑digit idempotency key. Observe response/processing time.</t>
  </si>
  <si>
    <t>Different payload with same idempotency-key returns HTTP 409 Conflict with clear error message is processed within ≤ 1 second.</t>
  </si>
  <si>
    <t>TS-EB-SB-PRODUCTS-0069_1</t>
  </si>
  <si>
    <t>TS-EB-SB-PRODUCTS-0069_1-Verify that Transaction ID is generated on successful Intrabank transaction</t>
  </si>
  <si>
    <t>Send POST Request of valid Send Funds Local Fund Transfer via Intrabank</t>
  </si>
  <si>
    <t>apitxnID and apitxnRef are visible with correct formats in the Response Body</t>
  </si>
  <si>
    <t>TS-EB-SB-PRODUCTS-0069_2</t>
  </si>
  <si>
    <t>TS-EB-SB-PRODUCTS-0069_2-Verify that Transaction ID is generated on successful Intrabank transaction</t>
  </si>
  <si>
    <t>TS-EB-SB-PRODUCTS-0070</t>
  </si>
  <si>
    <t>TS-EB-SB-PRODUCTS-0070-Verify that Transaction ID is generated on successful Instapay transaction</t>
  </si>
  <si>
    <t>Send POST Request of valid Send Funds Local Fund Transfer via InstaPay</t>
  </si>
  <si>
    <t>TS-EB-SB-PRODUCTS-0071</t>
  </si>
  <si>
    <t>TS-EB-SB-PRODUCTS-0071-Verify that Transaction ID is generated on successful PESONet transaction</t>
  </si>
  <si>
    <t>Send POST Request of valid Send Funds Local Fund Transfer via PESONet</t>
  </si>
  <si>
    <t>TS-EB-SB-PRODUCTS-0072_1</t>
  </si>
  <si>
    <t>TS-EB-SB-PRODUCTS-0072_1-Verify that apiTxnId format containts 36 BIGINT auto-increment primary key of Intrabank transaction</t>
  </si>
  <si>
    <t>TS-EB-SB-PRODUCTS-0072_2</t>
  </si>
  <si>
    <t>TS-EB-SB-PRODUCTS-0072_2-Verify that apiTxnId format containts 36 BIGINT auto-increment primary key of Intrabank transaction</t>
  </si>
  <si>
    <t>API Portal generates internal apiTxnId (Up to 36 digits (BIGINT) auto-increment primary key).</t>
  </si>
  <si>
    <t>TS-EB-SB-PRODUCTS-0073</t>
  </si>
  <si>
    <t>TS-EB-SB-PRODUCTS-0073-Verify that apiTxnId format containts 36 BIGINT auto-increment primary key of Instapay transaction</t>
  </si>
  <si>
    <t>TS-EB-SB-PRODUCTS-0074</t>
  </si>
  <si>
    <t>TS-EB-SB-PRODUCTS-0074-Verify that apiTxnId format containts 36 BIGINT auto-increment primary key of PESONet transaction</t>
  </si>
  <si>
    <t>TS-EB-SB-PRODUCTS-0075_1</t>
  </si>
  <si>
    <t>TS-EB-SB-PRODUCTS-0075_1-Verify that apiTxnRef has correct format of Intrabank transaction</t>
  </si>
  <si>
    <t>apiTxnRef is correctly constructed 23 digits (Application-ID + Product-ID + Idempotency-Key + wildcard)</t>
  </si>
  <si>
    <t>TS-EB-SB-PRODUCTS-0075_2</t>
  </si>
  <si>
    <t>TS-EB-SB-PRODUCTS-0075_2-Verify that apiTxnRef has correct format of Intrabank transaction</t>
  </si>
  <si>
    <t>TS-EB-SB-PRODUCTS-0076</t>
  </si>
  <si>
    <t>TS-EB-SB-PRODUCTS-0076-Verify that apiTxnRef has correct format of Instapay transaction</t>
  </si>
  <si>
    <t>TS-EB-SB-PRODUCTS-0077</t>
  </si>
  <si>
    <t>TS-EB-SB-PRODUCTS-0077-Verify that apiTxnRef has correct format of PESONet transaction</t>
  </si>
  <si>
    <t>TS-EB-SB-PRODUCTS-0078_1</t>
  </si>
  <si>
    <t>TS-EB-SB-PRODUCTS-0078_1-Verify that apiTxnRef has propagated to downstream system upon doing Intrabank transaction</t>
  </si>
  <si>
    <t>apiTxnRef is propagated to downstream systems, payment rails, logs, reconciliation files, and audit trails.</t>
  </si>
  <si>
    <t>TS-EB-SB-PRODUCTS-0078_2</t>
  </si>
  <si>
    <t>TS-EB-SB-PRODUCTS-0078_2-Verify that apiTxnRef has propagated to downstream system upon doing Intrabank transaction</t>
  </si>
  <si>
    <t>TS-EB-SB-PRODUCTS-0079</t>
  </si>
  <si>
    <t>TS-EB-SB-PRODUCTS-0079-Verify that apiTxnRef has propagated to downstream system Instapay transaction</t>
  </si>
  <si>
    <t>TS-EB-SB-PRODUCTS-0080</t>
  </si>
  <si>
    <t>TS-EB-SB-PRODUCTS-0080-Verify that apiTxnRef has propagated to downstream system PESONet transaction</t>
  </si>
  <si>
    <t>TS-EB-SB-PRODUCTS-0081_1</t>
  </si>
  <si>
    <t>TS-EB-SB-PRODUCTS-0081_1-Verify Intrabank/InstaPay/PESONETrail Initial Status</t>
  </si>
  <si>
    <t>Send POST Request of valid Send Funds Local Fund Transfer via Intrabank/InstaPay/PESONet</t>
  </si>
  <si>
    <t>TS-EB-SB-PRODUCTS-0081_2</t>
  </si>
  <si>
    <t>TS-EB-SB-PRODUCTS-0081_2-Verify Intrabank/InstaPay/PESONETrail Initial Status</t>
  </si>
  <si>
    <t>TS-EB-SB-PRODUCTS-0081_3</t>
  </si>
  <si>
    <t>TS-EB-SB-PRODUCTS-0081_3-Verify Intrabank/InstaPay/PESONETrail Initial Status</t>
  </si>
  <si>
    <t>TS-EB-SB-PRODUCTS-0081_4</t>
  </si>
  <si>
    <t>TS-EB-SB-PRODUCTS-0081_4-Verify Intrabank/InstaPay/PESONETrail Initial Status</t>
  </si>
  <si>
    <t>TS-EB-SB-PRODUCTS-0082: Send Funds via Local Fund Transfer v1.0_Initiate Local Funds Transfer API_Verify Intrabank/InstaPay/PESONET rail Initial Status processing time</t>
  </si>
  <si>
    <t>Status "RECEIVE" in response and database within ≤ 1 second upon successful validation of the API call</t>
  </si>
  <si>
    <t>TS-EB-SB-PRODUCTS-0083_1</t>
  </si>
  <si>
    <t>TS-EB-SB-PRODUCTS-0083_1-Verify strict reconciliation between API Portal, Core Banking, and payment rails</t>
  </si>
  <si>
    <t>TS-EB-SB-PRODUCTS-0083_2</t>
  </si>
  <si>
    <t>TS-EB-SB-PRODUCTS-0083_2-Verify strict reconciliation between API Portal, Core Banking, and payment rails</t>
  </si>
  <si>
    <t>TS-EB-SB-PRODUCTS-0083_3</t>
  </si>
  <si>
    <t>TS-EB-SB-PRODUCTS-0083_3-Verify strict reconciliation between API Portal, Core Banking, and payment rails</t>
  </si>
  <si>
    <t>TS-EB-SB-PRODUCTS-0083_4</t>
  </si>
  <si>
    <t>TS-EB-SB-PRODUCTS-0083_4-Verify strict reconciliation between API Portal, Core Banking, and payment rails</t>
  </si>
  <si>
    <t>TS-EB-SB-PRODUCTS-0084_1</t>
  </si>
  <si>
    <t>TS-EB-SB-PRODUCTS-0084_1-Verify all transaction status transitions are logged and auditable in the Dedicated External API Portal Database</t>
  </si>
  <si>
    <t>Send POST Request of valid Send Funds Local Fund Transfer via Intrabank/Instapay/PESONet</t>
  </si>
  <si>
    <t>TS-EB-SB-PRODUCTS-0084_2</t>
  </si>
  <si>
    <t>TS-EB-SB-PRODUCTS-0084_2-Verify all transaction status transitions are logged and auditable in the Dedicated External API Portal Database</t>
  </si>
  <si>
    <t>TS-EB-SB-PRODUCTS-0084_3</t>
  </si>
  <si>
    <t>TS-EB-SB-PRODUCTS-0084_3-Verify all transaction status transitions are logged and auditable in the Dedicated External API Portal Database</t>
  </si>
  <si>
    <t>TS-EB-SB-PRODUCTS-0084_4</t>
  </si>
  <si>
    <t>TS-EB-SB-PRODUCTS-0084_4-Verify all transaction status transitions are logged and auditable in the Dedicated External API Portal Database</t>
  </si>
  <si>
    <t>TS-EB-SB-PRODUCTS-0085_1</t>
  </si>
  <si>
    <t>TS-EB-SB-PRODUCTS-0085_1-Verify successful retry of a timed‑out local funds transfer request using the same idempotency key</t>
  </si>
  <si>
    <t>Resend Successful POST Request of Send Funds Local Fund Transfer via Intrabank/Instapay/PESONet using same idempotency key</t>
  </si>
  <si>
    <t>TS-EB-SB-PRODUCTS-0085_2</t>
  </si>
  <si>
    <t>TS-EB-SB-PRODUCTS-0085_2-Verify successful retry of a timed‑out local funds transfer request using the same idempotency key</t>
  </si>
  <si>
    <t>TS-EB-SB-PRODUCTS-0085_3</t>
  </si>
  <si>
    <t>TS-EB-SB-PRODUCTS-0085_3-Verify successful retry of a timed‑out local funds transfer request using the same idempotency key</t>
  </si>
  <si>
    <t>TS-EB-SB-PRODUCTS-0085_4</t>
  </si>
  <si>
    <t>TS-EB-SB-PRODUCTS-0085_4-Verify successful retry of a timed‑out local funds transfer request using the same idempotency key</t>
  </si>
  <si>
    <t>TS-EB-SB-PRODUCTS-0086_1</t>
  </si>
  <si>
    <t>TS-EB-SB-PRODUCTS-0086_1-Verify failed retry of a timed‑out local funds transfer request using the same idepotency key with a different payload</t>
  </si>
  <si>
    <t>Resend Failed POST Request of Send Funds Local Fund Transfer via Intrabank/Instapay/PESONet using same idempotency key with a different payload.</t>
  </si>
  <si>
    <t>TS-EB-SB-PRODUCTS-0086_2</t>
  </si>
  <si>
    <t>TS-EB-SB-PRODUCTS-0086_2-Verify failed retry of a timed‑out local funds transfer request using the same idepotency key with a different payload</t>
  </si>
  <si>
    <t>TS-EB-SB-PRODUCTS-0086_3</t>
  </si>
  <si>
    <t>TS-EB-SB-PRODUCTS-0086_3-Verify failed retry of a timed‑out local funds transfer request using the same idepotency key with a different payload</t>
  </si>
  <si>
    <t>TS-EB-SB-PRODUCTS-0086_4</t>
  </si>
  <si>
    <t>TS-EB-SB-PRODUCTS-0086_4-Verify failed retry of a timed‑out local funds transfer request using the same idepotency key with a different payload</t>
  </si>
  <si>
    <t>TS-EB-SB-PRODUCTS-0087_1</t>
  </si>
  <si>
    <t>TS-EB-SB-PRODUCTS-0087_1-Verify retry behavior when attempting to resend an already completed local funds transfer request</t>
  </si>
  <si>
    <t>Resend Successful POST Request of Send Funds Local Fund Transfer via Intrabank/Instapay/PESONet using same idempotency key of already completed transaction</t>
  </si>
  <si>
    <t>TS-EB-SB-PRODUCTS-0087_2</t>
  </si>
  <si>
    <t>TS-EB-SB-PRODUCTS-0087_2-Verify retry behavior when attempting to resend an already completed local funds transfer request</t>
  </si>
  <si>
    <t>TS-EB-SB-PRODUCTS-0087_3</t>
  </si>
  <si>
    <t>TS-EB-SB-PRODUCTS-0087_3-Verify retry behavior when attempting to resend an already completed local funds transfer request</t>
  </si>
  <si>
    <t>TS-EB-SB-PRODUCTS-0087_4</t>
  </si>
  <si>
    <t>TS-EB-SB-PRODUCTS-0087_4-Verify retry behavior when attempting to resend an already completed local funds transfer request</t>
  </si>
  <si>
    <t>Core</t>
  </si>
  <si>
    <t>TS-EB-PRODUCTS-0296</t>
  </si>
  <si>
    <t>TS-EB-PRODUCTS-0296: Account Authentication via Access Token v1.0_Generate Account Access Token API_Verify Token generation for Client-Owned Account</t>
  </si>
  <si>
    <t>Successful Request Status 200 OK Response Body contains: - access_token [Token is valid and usable] - token_type - expires_in -authId Request logged in API Portal DB</t>
  </si>
  <si>
    <t>263677df68</t>
  </si>
  <si>
    <t>TS-EB-PRODUCTS-0006_1</t>
  </si>
  <si>
    <t>TS-EB-PRODUCTS-0006_1: Account Authentication via Access Token v1.0_Generate Account Access Token API_Verify API Call using Token used with different client credentials</t>
  </si>
  <si>
    <t xml:space="preserve">Failed/Rejected Status 401 Unauthorized
- clear error message. 
Error: Token does not match client credentials
- Token validation executes in p99 latency &lt; 30 ms. </t>
  </si>
  <si>
    <t>wE4n0CYiVOdJ9m8EfILMhxm0m4kOaUOr</t>
  </si>
  <si>
    <t>TS-EB-PRODUCTS-0006_2</t>
  </si>
  <si>
    <t>TS-EB-PRODUCTS-0006_2: Account Authentication via Access Token v1.0_Generate Account Access Token API_Verify API Call using Token used with different client credentials</t>
  </si>
  <si>
    <t>3TaenF9h5d9FCEEUYZRVPc4AxdFggPaxA</t>
  </si>
  <si>
    <t>TS-EB-PRODUCTS-0007</t>
  </si>
  <si>
    <t>TS-EB-PRODUCTS-0007: Account Authentication via Access Token v1.0_Generate Account Access Token API_Token used with different Partner-ID</t>
  </si>
  <si>
    <t xml:space="preserve">Failed/Rejected Status 401 Unauthorized
- clear error message. 
Enforcement failure due to Partner-ID mismatch
- Token validation executes in p99 latency &lt; 30 ms. </t>
  </si>
  <si>
    <t>263847df68</t>
  </si>
  <si>
    <t>TS-EB-PRODUCTS-0297_1</t>
  </si>
  <si>
    <t>TS-EB-PRODUCTS-0297_1: Account Authentication via Access Token v1.0_Generate Account Access Token API_Verify send request with missing mandatory parameters.</t>
  </si>
  <si>
    <t>Failed 400 (Bad Request) Error details for missing fields</t>
  </si>
  <si>
    <t>TS-EB-PRODUCTS-0297_2</t>
  </si>
  <si>
    <t>TS-EB-PRODUCTS-0297_2: Account Authentication via Access Token v1.0_Generate Account Access Token API_Verify send request with missing mandatory parameters.</t>
  </si>
  <si>
    <t>TS-EB-PRODUCTS-0299</t>
  </si>
  <si>
    <t>TS-EB-PRODUCTS-0299: Account Authentication via Access Token v1.0_Generate Account Access Token API_Verify successful POST Authentication using Client Owned Account with ACTIVE status and with valid client-id, client-secret, and partner-id</t>
  </si>
  <si>
    <t xml:space="preserve">Successful Status 200 OK Response Body: within 300 ms. accessToken, tokenType: Bearer, expiresIn, authId Token is bound to the exact account, </t>
  </si>
  <si>
    <t>TS-EB-PRODUCTS-0300_1</t>
  </si>
  <si>
    <t>TS-EB-PRODUCTS-0300_1: Account Authentication via Access Token v1.0_Generate Account Access Token API_Verify authentication token is usable in the next account-based API call within the expiry window</t>
  </si>
  <si>
    <t>TS-EB-PRODUCTS-0301_1</t>
  </si>
  <si>
    <t>TS-EB-PRODUCTS-0301_1: Account Authentication via Access Token v1.0_Generate Account Access Token API_Verify POST request using Invalid client credentials</t>
  </si>
  <si>
    <t>Failed/ Rejected Request 401 Unauthorized No token generated, authid, redirectUrl are returned Invalid credential attempts are rejected within 300 ms.</t>
  </si>
  <si>
    <t>TS-EB-PRODUCTS-0301_2</t>
  </si>
  <si>
    <t>TS-EB-PRODUCTS-0301_2: Account Authentication via Access Token v1.0_Generate Account Access Token API_Verify POST request using Invalid client credentials</t>
  </si>
  <si>
    <t>TS-EB-PRODUCTS-0301_3</t>
  </si>
  <si>
    <t>TS-EB-PRODUCTS-0301_3: Account Authentication via Access Token v1.0_Generate Account Access Token API_Verify POST request using Invalid client credentials</t>
  </si>
  <si>
    <t>TS-EB-PRODUCTS-0301_4</t>
  </si>
  <si>
    <t>TS-EB-PRODUCTS-0301_4: Account Authentication via Access Token v1.0_Generate Account Access Token API_Verify POST request using Invalid client credentials</t>
  </si>
  <si>
    <t>TS-EB-PRODUCTS-0302_1</t>
  </si>
  <si>
    <t>TS-EB-PRODUCTS-0302_1: Account Authentication via Access Token v1.0_Generate Account Access Token API_Verify Send Request using Invalid Account Number</t>
  </si>
  <si>
    <t>Failed / Rejected Request 400 Bad Request - error code invalid_account - clear errorDescription. No token or redirectUrl is issued. Core banking validation completes and rejects within 300 ms.</t>
  </si>
  <si>
    <t>TS-EB-PRODUCTS-0302_2</t>
  </si>
  <si>
    <t>TS-EB-PRODUCTS-0302_2: Account Authentication via Access Token v1.0_Generate Account Access Token API_Verify Send Request using Invalid Account Number</t>
  </si>
  <si>
    <t>TS-EB-PRODUCTS-0304</t>
  </si>
  <si>
    <t>TS-EB-PRODUCTS-0304: Account Authentication via Access Token v1.0_Generate Account Access Token API_Verify Send Request using Not Existing Account Number</t>
  </si>
  <si>
    <t>TS-EB-PRODUCTS-0305</t>
  </si>
  <si>
    <t>TS-EB-PRODUCTS-0305: Account Authentication via Access Token v1.0_Generate Account Access Token API_Verify Send Request using Malformed Account Number</t>
  </si>
  <si>
    <t>200P6181781S</t>
  </si>
  <si>
    <t>TS-EB-PRODUCTS-0306</t>
  </si>
  <si>
    <t>TS-EB-PRODUCTS-0306: Account Authentication via Access Token v1.0_Generate Account Access Token API_Validate POST Request using Valid values in Scope</t>
  </si>
  <si>
    <t>Successful Status 200 OK - Valid scope indicated in Request Body Parameters contains [send-funds.initiate, receive-funds.generate, manage-funds.balance] (subscribed capabilities)</t>
  </si>
  <si>
    <t>TS-EB-PRODUCTS-0307</t>
  </si>
  <si>
    <t>TS-EB-PRODUCTS-0307: Account Authentication via Access Token v1.0_Generate Account Access Token API_Validate POST Request using Invalid values in Scope</t>
  </si>
  <si>
    <t>Failed / Rejected Request 400 Bad Request -invalid_scope with clear errorDescription. contains unknown or disallowed values [send-funds.initiate, , manage-funds.balance] (not subscribed capabilities)</t>
  </si>
  <si>
    <t>TS-EB-PRODUCTS-0001</t>
  </si>
  <si>
    <t>TS-EB-PRODUCTS-0001: Account Authentication via Access Token v1.0_Generate Account Access Token API_Send POST Request using Valid Account Access Token</t>
  </si>
  <si>
    <t>Valid Account Access Token issued by Account Authentication API
Token not expired or revoked
Token matches client credentials and Partner-ID</t>
  </si>
  <si>
    <t>TS-EB-PRODUCTS-0002</t>
  </si>
  <si>
    <t>TS-EB-PRODUCTS-0002: Account Authentication via Access Token v1.0_Generate Account Access Token API_Verify API Call using Expired Account Access Token</t>
  </si>
  <si>
    <t>TS-EB-PRODUCTS-0003</t>
  </si>
  <si>
    <t>TS-EB-PRODUCTS-0003: Account Authentication via Access Token v1.0_Generate Account Access Token API_Verify API Call using Revoked Account Access Token</t>
  </si>
  <si>
    <t>Send POST Request using Exceeding / Fewer Account Access Token</t>
  </si>
  <si>
    <t>TS-EB-PRODUCTS-0004</t>
  </si>
  <si>
    <t>TS-EB-PRODUCTS-0005</t>
  </si>
  <si>
    <t>TS-EB-PRODUCTS-0005: Account Authentication via Access Token v1.0_Generate Account Access Token API_Verify API Call using malformed Account Access Token</t>
  </si>
  <si>
    <t>TS-EB-TEST-S7-PRODUCTS-0001</t>
  </si>
  <si>
    <t>TS-EB-TEST-S7-PRODUCTS-0001: Account Authentication via Access Token v1.0_Generate Account Access Token API_Verify if access token generated by specific client partner (A) can also be used by the other partner client (B)</t>
  </si>
  <si>
    <t>1. Generate Access Token using Auth API
2. Use the generated access token against an API request containing a different PartnerId/Application than the one associated with the token.</t>
  </si>
  <si>
    <t>1. Access Token should be generated:
Sample Response:
 {
    "accessToken": "52N8qO9rbr7veEWcEbPWqZ4FSd2YyE2i",
    "tokenType": "bearer",
    "expiresIn": 3600,
    "authId": "auth-18bcfcea-4478-4bba-8810-8bd2a1bd3165"
}
2. The API validates the PartnerId/Application against the claims contained in the access token and rejects the request.
403 Forbidden – Token is valid but does not belong to the requested PartnerId/Application.</t>
  </si>
  <si>
    <t>TS-EB-TEST-S7-PRODUCTS-0003</t>
  </si>
  <si>
    <t>TS-EB-TEST-S7-PRODUCTS-0003: Account Authentication via Access Token v1.0_Generate Account Access Token API_Verify if access token generated by Test can be used on other environments</t>
  </si>
  <si>
    <t>1. Generate Access Token using Auth API via Test environment
2. Use the Access Token to other API's with different environments</t>
  </si>
  <si>
    <t>1. Access token is generated:
{
    "accessToken": "52N8qO9rbr7veEWcEbPWqZ4FSd2YyE2i",
    "tokenType": "bearer",
    "expiresIn": 3600,
    "authId": "auth-18bcfcea-4478-4bba-8810-8bd2a1bd3165"
}
2. Request Action should be restricted. Access token should only be accessible per Environment 
Sample:
Auth API [Test] -&gt; LFT/Check Status [Test]
403 Forbidden</t>
  </si>
  <si>
    <t>TS-EB-PRODUCTS-0298</t>
  </si>
  <si>
    <t>TS-EB-PRODUCTS-0298: Account Authentication via Access Token v1.0_Generate Account Access Token API_Verify send request from an IP not whitelisted for the application.</t>
  </si>
  <si>
    <t>Failed Request 403 (Forbidden) No token generated</t>
  </si>
  <si>
    <t>TS-EB-PRODUCTS-0300</t>
  </si>
  <si>
    <t>TS-EB-PRODUCTS-0300: Account Authentication via Access Token v1.0_Generate Account Access Token API_Verify status in Database of successful Client Owned Account Authentication</t>
  </si>
  <si>
    <t>TS-EB-PRODUCTS-0320</t>
  </si>
  <si>
    <t>TS-EB-PRODUCTS-0320: Send Funds via Local Fund Transfer v1.0 _Get Supported Banks and Wallets API_Verify successful GET request of Get Supported Banks and Wallets API</t>
  </si>
  <si>
    <t>9a29f3f4-c0ca-478f-b7b9-f6d25dcad73a</t>
  </si>
  <si>
    <t>TS-EB-PRODUCTS-0321</t>
  </si>
  <si>
    <t>TS-EB-PRODUCTS-0321: Send Funds via Local Fund Transfer v1.0 _Get Supported Banks and Wallets API_Verify when Optional field "Transfer Network" (channel) is not provided to filter Financial Institutions</t>
  </si>
  <si>
    <t>e6f1bb53-631b-4f25-8c70-c4c4d4d0f9fa</t>
  </si>
  <si>
    <t>TS-EB-PRODUCTS-0322</t>
  </si>
  <si>
    <t>TS-EB-PRODUCTS-0322: Send Funds via Local Fund Transfer v1.0 _Get Supported Banks and Wallets API_Verify when the “Transfer Network” (channel) is set to Instapay, the API returns only Financial Institutions that support Instapay transfers</t>
  </si>
  <si>
    <t>7f95c9d2-482c-4fda-a48c-117b5e6bc6ae</t>
  </si>
  <si>
    <t>TS-EB-PRODUCTS-0323</t>
  </si>
  <si>
    <t>TS-EB-PRODUCTS-0323: Send Funds via Local Fund Transfer v1.0 _Get Supported Banks and Wallets API_Verify when the “Transfer Network” (channel) is set to PESONet, the API returns only Financial Institutions that support PESONet transfers</t>
  </si>
  <si>
    <t>2c7382db-bb3e-4334-a83f-f1b9c4f2d8a4</t>
  </si>
  <si>
    <t>TS-EB-PRODUCTS-0324</t>
  </si>
  <si>
    <t>TS-EB-PRODUCTS-0324: Send Funds via Local Fund Transfer v1.0 _Get Supported Banks and Wallets API_Verify when the “Transfer Network” (channel) is set to specific and API returns only Financial Institutions that support both transfers</t>
  </si>
  <si>
    <t>ab8f6c01-86f0-4a55-a94e-a4c5d947c6d1</t>
  </si>
  <si>
    <t>TS-EB-PRODUCTS-0325</t>
  </si>
  <si>
    <t>TS-EB-PRODUCTS-0325: Send Funds via Local Fund Transfer v1.0 _Get Supported Banks and Wallets API_Verify failed GET request when an unsupported channel value is provided</t>
  </si>
  <si>
    <t>Globe</t>
  </si>
  <si>
    <t>51d4fd13-9fef-44af-b672-f6b9d2c8cbb3</t>
  </si>
  <si>
    <t>TS-EB-PRODUCTS-0326</t>
  </si>
  <si>
    <t>TS-EB-PRODUCTS-0326: Send Funds via Local Fund Transfer v1.0_Get Supported Banks and Wallets API_Verify failed GET request when api-key is null/missing</t>
  </si>
  <si>
    <t>c872aa90-c899-4d31-b0f8-70791a5d4e5b</t>
  </si>
  <si>
    <t>TS-EB-PRODUCTS-0327</t>
  </si>
  <si>
    <t>TS-EB-PRODUCTS-0327: Send Funds via Local Fund Transfer v1.0_Get Supported Banks and Wallets API_Verify failed GET request when partnerID is null/missing</t>
  </si>
  <si>
    <t>d3c14d6d-4f7b-49a3-8bc8-cbe5a9e8732a</t>
  </si>
  <si>
    <t>TS-EB-PRODUCTS-0328</t>
  </si>
  <si>
    <t>TS-EB-PRODUCTS-0328: Send Funds via Local Fund Transfer v1.0_Get Supported Banks and Wallets API_Verify failed GET request when api-key is incorrect</t>
  </si>
  <si>
    <t>K6y28Ks1TyrwjONU0PatZ6BhOWfTAuLo</t>
  </si>
  <si>
    <t>TS-EB-PRODUCTS-0329</t>
  </si>
  <si>
    <t>TS-EB-PRODUCTS-0329: Send Funds via Local Fund Transfer v1.0_Get Supported Banks and Wallets API_Verify failed GET request when partnerid is incorrect</t>
  </si>
  <si>
    <t>263679if68</t>
  </si>
  <si>
    <t>8e26f5fb-0eba-485f-a4c4-3b4c9bb9aee8</t>
  </si>
  <si>
    <t>TS-EB-PRODUCTS-0330</t>
  </si>
  <si>
    <t>TS-EB-PRODUCTS-0330: Send Funds via Local Fund Transfer v1.0_Get Supported Banks and Wallets API_Verify failed GET request when application is not subscribed to the API product</t>
  </si>
  <si>
    <t>iaeh9UMzpYaEfCb4pn6bQVJY5mgAFbBT</t>
  </si>
  <si>
    <t>f4b7f648-7ae7-49f3-8efb-f6f8c3c4a5c7</t>
  </si>
  <si>
    <t>TS-EB-PRODUCTS-0331</t>
  </si>
  <si>
    <t>TS-EB-PRODUCTS-0331: Send Funds via Local Fund Transfer v1.0_Get Supported Banks and Wallets API_Verify disabled institutions are clearly indicated and not misrepresented as available</t>
  </si>
  <si>
    <t>36d9d38d-651f-4661-b407-5814695cbf6a</t>
  </si>
  <si>
    <t>TS-EB-PRODUCTS-0332</t>
  </si>
  <si>
    <t>TS-EB-PRODUCTS-0332: Send Funds via Local Fund Transfer v1.0_Get Supported Banks and Wallets API_Verify response processsing time of successful GET request of Get Supported Banks and Wallets API</t>
  </si>
  <si>
    <t>b9a247e8-1d0d-4c94-91e3-8c3f6d7a2b91</t>
  </si>
  <si>
    <t>TS-EB-PRODUCTS-0333_1</t>
  </si>
  <si>
    <t>TS-EB-PRODUCTS-0333_1: Send Funds via Local Fund Transfer v1.0_Get Supported Banks and Wallets API_Verify response processsing time of failed GET request of Get Supported Banks and Wallets API</t>
  </si>
  <si>
    <t>TS-EB-PRODUCTS-0333_2</t>
  </si>
  <si>
    <t>TS-EB-PRODUCTS-0333_2: Send Funds via Local Fund Transfer v1.0_Get Supported Banks and Wallets API_Verify response processsing time of failed GET request of Get Supported Banks and Wallets API</t>
  </si>
  <si>
    <t>TS-EB-PRODUCTS-0333_3</t>
  </si>
  <si>
    <t>TS-EB-PRODUCTS-0333_3: Send Funds via Local Fund Transfer v1.0_Get Supported Banks and Wallets API_Verify response processsing time of failed GET request of Get Supported Banks and Wallets API</t>
  </si>
  <si>
    <t>TS-EB-PRODUCTS-0333_4</t>
  </si>
  <si>
    <t>TS-EB-PRODUCTS-0333_4: Send Funds via Local Fund Transfer v1.0_Get Supported Banks and Wallets API_Verify response processsing time of failed GET request of Get Supported Banks and Wallets API</t>
  </si>
  <si>
    <t>TS-EB-PRODUCTS-0333_5</t>
  </si>
  <si>
    <t>TS-EB-PRODUCTS-0333_5: Send Funds via Local Fund Transfer v1.0_Get Supported Banks and Wallets API_Verify response processsing time of failed GET request of Get Supported Banks and Wallets API</t>
  </si>
  <si>
    <t>TS-EB-PRODUCTS-0333_6</t>
  </si>
  <si>
    <t>TS-EB-PRODUCTS-0333_6: Send Funds via Local Fund Transfer v1.0_Get Supported Banks and Wallets API_Verify response processsing time of failed GET request of Get Supported Banks and Wallets API</t>
  </si>
  <si>
    <t>403  status with descriptive error message within ≤ 1 second</t>
  </si>
  <si>
    <t>404,400</t>
  </si>
  <si>
    <t>TS-EB-PRODUCTS-0195</t>
  </si>
  <si>
    <t>TS-EB-PRODUCTS-0195: Send Funds via Local Fund Transfer v1.0 _Check Local Funds Transfer Details and Status API_Verify Check Local Fund Transfer Details and Status API when transaction is not yet in its final status (COMPLETED/FAILED)</t>
  </si>
  <si>
    <t>TS-EB-PRODUCTS-0262: Send Funds via Local Fund Transfer v1.0 _Check Local Funds Transfer Details and Status API_Verify successful GET request of Check Local Fund Transfer Details and Status API for InstaPay</t>
  </si>
  <si>
    <t>Status HTTP 200 OK [within ≤ 1 second (1000 ms)]
Response Body: 
apiTxnId
apiTxnRef 
ewbCoreReference
externalRailreference (instapay)
status = always "RECEIVED"
responseCode
responseDescription
createdTimestamp
updatedTimestamp</t>
  </si>
  <si>
    <t>401,403</t>
  </si>
  <si>
    <t>400,403</t>
  </si>
  <si>
    <t>TS-EB-PRODUCTS-0008</t>
  </si>
  <si>
    <t>TS-EB-PRODUCTS-0008: Send Funds via Local Fund Transfer v1.0_Initiate Local Funds Transfer API_Verify Successful initiation of a Local funds transfer via Intrabank (EWB to EWB)</t>
  </si>
  <si>
    <t>Success 202 ACCEPTED 
DB Initial Status = RECEIVED with (full 13-digit idempotency-key stored (with 48-hour TTL for duplicate checks)
apiTxnId, apiTxnRef, ewbCoreReference, externalRailReference (if available), status(PENDING), statusDescription, and createdTimestamp.
apiTxnRef is correctly constructed (Application-ID + Product-ID + Idempotency-Key + wildcard) and propagated to EWB Core Banking System, payment rails, logs, reconciliation files, and audit trails.</t>
  </si>
  <si>
    <t>44108637-2df8-4f80-bf5b-53f240d8c502</t>
  </si>
  <si>
    <t>200061817815</t>
  </si>
  <si>
    <t>Lorenzo Ford</t>
  </si>
  <si>
    <t>Zenrick Sartorio</t>
  </si>
  <si>
    <t>TS-EB-PRODUCTS-0009</t>
  </si>
  <si>
    <t>TS-EB-PRODUCTS-0009: Send Funds via Local Fund Transfer v1.0_Initiate Local Funds Transfer API_Verify Successful initiation of a Local funds transfer via Intrabank (EWB to EWRB)</t>
  </si>
  <si>
    <t>Van Dolphh</t>
  </si>
  <si>
    <t>TS-EB-PRODUCTS-0010</t>
  </si>
  <si>
    <t>TS-EB-PRODUCTS-0010: Send Funds via Local Fund Transfer v1.0_Initiate Local Funds Transfer API_Verify Successful initiation of a local funds transfer via InstaPay</t>
  </si>
  <si>
    <t>Success 202 ACCEPTED 
DB Initial Status = RECEIVED with (full 13-digit idempotency-key stored (with 48-hour TTL for duplicate checks).)
apiTxnId, apiTxnRef, ewbCoreReference, externalRailReference (if available), status(PENDING), statusDescription, and createdTimestamp.
apiTxnRef is correctly constructed (Application-ID + Product-ID + Idempotency-Key + wildcard) and propagated to EWB Core Banking System, payment rails, logs, reconciliation files, and audit trails.</t>
  </si>
  <si>
    <t>TS-EB-PRODUCTS-0011</t>
  </si>
  <si>
    <t>TS-EB-PRODUCTS-0011: Send Funds via Local Fund Transfer v1.0_Initiate Local Funds Transfer API_Verify Successful initiation of a local funds transfer via PESONet</t>
  </si>
  <si>
    <t>PHVBPHMMXXX</t>
  </si>
  <si>
    <t>Send POST Request of Send Funds via Local Fund Transfer via Intrabank/InstaPay/PESONet with minimum allowed amount</t>
  </si>
  <si>
    <t>Success 202 ACCEPTED 
Transaction is within Limits</t>
  </si>
  <si>
    <t>Send POST Request of Send Funds via Local Fund Transfer via Intrabank/InstaPay/PESONet with maximum allowed amount</t>
  </si>
  <si>
    <t>TS-EB-PRODUCTS-0014</t>
  </si>
  <si>
    <t>TS-EB-PRODUCTS-0014: Send Funds via Local Fund Transfer v1.0_Initiate Local Funds Transfer API_Validate Status via Transaction Management page in Client Hub</t>
  </si>
  <si>
    <t>On Transaction Management in API Portal Client Hub,  check the status of Send POST Request of Send Funds via Local Fund Transfer via Intrabank/InstaPay/PESONet.</t>
  </si>
  <si>
    <t>The transaction is ready for status checks via Client Hub Transaction Management Page.
Status = RECEIVED</t>
  </si>
  <si>
    <t>TS-EB-PRODUCTS-0015</t>
  </si>
  <si>
    <t>TS-EB-PRODUCTS-0015: Send Funds via Local Fund Transfer v1.0_Initiate Local Funds Transfer API_Validate Transaction Status via Check Local Funds Transfer Details and Status API</t>
  </si>
  <si>
    <t>On Check Local Fund Transfer Details , check the status of Send POST Request of Send Funds via Local Fund Transfer via Intrabank/InstaPay/PESONet.</t>
  </si>
  <si>
    <t>Success 200 OK 
Status = RECEIVED
Complete rejection code and description must be included into the API response and API Portal Database (for Client Hub viewing and Transaction Inquiry APIs)</t>
  </si>
  <si>
    <t>TS-EB-PRODUCTS-0016</t>
  </si>
  <si>
    <t>TS-EB-PRODUCTS-0016: Send Funds via Local Fund Transfer v1.0_Initiate Local Funds Transfer API_Verify Successful initiation of a local funds transfer via Intrabank but Failed transaction upon using Inactive EWB Beneficiary Account</t>
  </si>
  <si>
    <t>Send POST Request of Send Funds via Local Fund Transfer for Intrabank upon using Inactive EWB Beneficiary Account</t>
  </si>
  <si>
    <t>TS-EB-PRODUCTS-0017</t>
  </si>
  <si>
    <t>TS-EB-PRODUCTS-0017: Send Funds via Local Fund Transfer v1.0_Initiate Local Funds Transfer API_Verify Successful initiation of a local funds transfer via Instapay but Failed transaction upon rejected by Instapay</t>
  </si>
  <si>
    <t>Send POST Request of Send Funds via Local Fund Transfer for Instapay but Failed due to InstaPay rejection</t>
  </si>
  <si>
    <t>TS-EB-PRODUCTS-0018</t>
  </si>
  <si>
    <t>TS-EB-PRODUCTS-0018: Send Funds via Local Fund Transfer v1.0_Initiate Local Funds Transfer API_Verify Successful initiation of a local funds transfer via PESONet but Failed transaction upon rejected by PESONet</t>
  </si>
  <si>
    <t>Send POST Request of Send Funds via Local Fund Transfer for PESONet but Failed due to PEOSNet rejection</t>
  </si>
  <si>
    <t>TS-EB-PRODUCTS-0019</t>
  </si>
  <si>
    <t>TS-EB-PRODUCTS-0019: Send Funds via Local Fund Transfer v1.0_Initiate Local Funds Transfer API_Verify Successful initiation of a local funds transfer but Failed transaction upon rejected by receiving bank/E-Wallet</t>
  </si>
  <si>
    <t>Send POST Request of Send Funds via Local Fund Transfer but Failed due to E-Wallet/Receiving Bank rejection</t>
  </si>
  <si>
    <t>Success 202 ACCEPTED 
Status = RECEIVED
Complete rejection code and description must be included into the API response and API Portal Database (for Client Hub viewing and Transaction Inquiry APIs)</t>
  </si>
  <si>
    <t>Send POST Request of Send Funds via Local Fund Transfer using 0 (Zero) amount</t>
  </si>
  <si>
    <t>Send POST Request of Send Funds via Local Fund Transfer using negative amount</t>
  </si>
  <si>
    <t>Send POST Request of Send Funds via Local Fund Transfer using Source Account with Insufficient Balance</t>
  </si>
  <si>
    <t>Status 200 OK</t>
  </si>
  <si>
    <t>Send POST Request of Send Funds via Local Fund Transfer using alphanumeric amount</t>
  </si>
  <si>
    <t>Send POST Request of Send Funds via Local Fund Transfer using invalid scope in access token</t>
  </si>
  <si>
    <t>Failed Status 403 Forbidden
Invalid Scope Failure</t>
  </si>
  <si>
    <t>Send POST Request of Send Funds via Local Fund Transfer using expired access in Authorization</t>
  </si>
  <si>
    <t>Send POST Request of Send Funds via Local Fund Transfer using invalid Partner ID</t>
  </si>
  <si>
    <t>Send POST Request of Send Funds via Local Fund Transfer without/missing Access Token on Authorization</t>
  </si>
  <si>
    <t>TS-EB-PRODUCTS-0034</t>
  </si>
  <si>
    <t>Send POST Request of Send Funds via Local Fund Transfer via EWB to EWB using Invalid (Pending Closure) Source Account</t>
  </si>
  <si>
    <t>Success 202 ACCEPTED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</si>
  <si>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TS-EB-PRODUCTS-0035</t>
  </si>
  <si>
    <t>TS-EB-PRODUCTS-0035: Send Funds via Local Fund Transfer v1.0_Initiate Local Funds Transfer API_Verify Initiation of Local Funds Transfer with Pending Closure Source Account via EWB to EWRB</t>
  </si>
  <si>
    <t>Send POST Request of Send Funds via Local Fund Transfer via EWB to EWRB using Invalid (Pending Closure) Source Account</t>
  </si>
  <si>
    <t>TS-EB-PRODUCTS-0036</t>
  </si>
  <si>
    <t>TS-EB-PRODUCTS-0036: Send Funds via Local Fund Transfer v1.0_Initiate Local Funds Transfer API_Verify Initiation of Local Funds Transfer with Pending Closure Source Account via EWB to InstaPay</t>
  </si>
  <si>
    <t>Send POST Request of Send Funds via Local Fund Transfer via EWB to InstaPay using Invalid (Pending Closure) Source Account</t>
  </si>
  <si>
    <t>TS-EB-PRODUCTS-0037</t>
  </si>
  <si>
    <t>TS-EB-PRODUCTS-0037: Send Funds via Local Fund Transfer v1.0_Initiate Local Funds Transfer API_Verify Initiation of Local Funds Transfer with Pending Closure Source Account via EWB to PESONet</t>
  </si>
  <si>
    <t>Send POST Request of Send Funds via Local Fund Transfer via EWB to PESONet using Invalid (Pending Closure) Source Account</t>
  </si>
  <si>
    <t>TS-EB-PRODUCTS-0038</t>
  </si>
  <si>
    <t>TS-EB-PRODUCTS-0038: Send Funds via Local Fund Transfer v1.0_Initiate Local Funds Transfer API_Verify Initiation of Local Funds Transfer with Pending Closure Beneficiary Account via Intrabank</t>
  </si>
  <si>
    <t>Send POST Request of Send Funds via Local Fund Transfer across Intrabank using Invalid (Pending Closure) Beneficiary Account</t>
  </si>
  <si>
    <t>TS-EB-PRODUCTS-0039</t>
  </si>
  <si>
    <t>TS-EB-PRODUCTS-0039: Send Funds via Local Fund Transfer v1.0_Initiate Local Funds Transfer API_Verify Local Fund Transfer if Source Account is Closed or Inactive via EWB to EWB</t>
  </si>
  <si>
    <t>Send POST Request of Send Funds via Local Fund Transfer via EWB to EWB using Invalid (Closed) Source Account</t>
  </si>
  <si>
    <t>TS-EB-PRODUCTS-0040</t>
  </si>
  <si>
    <t>TS-EB-PRODUCTS-0040: Send Funds via Local Fund Transfer v1.0_Initiate Local Funds Transfer API_Verify Local Fund Transfer if Source Account is Closed or Inactive via EWB to EWRB</t>
  </si>
  <si>
    <t>Send POST Request of Send Funds via Local Fund Transfer via EWB to EWRB using Invalid (Closed) Source Account</t>
  </si>
  <si>
    <t>TS-EB-PRODUCTS-0041</t>
  </si>
  <si>
    <t>TS-EB-PRODUCTS-0041: Send Funds via Local Fund Transfer v1.0_Initiate Local Funds Transfer API_Verify Local Fund Transfer if Source Account is Closed or Inactive via EWB to InstaPay</t>
  </si>
  <si>
    <t>Send POST Request of Send Funds via Local Fund Transfer via InstaPay using Invalid (Closed) Source Account</t>
  </si>
  <si>
    <t>TS-EB-PRODUCTS-0042</t>
  </si>
  <si>
    <t>TS-EB-PRODUCTS-0042: Send Funds via Local Fund Transfer v1.0_Initiate Local Funds Transfer API_Verify Local Fund Transfer if Source Account is Closed or Inactive via EWB to PESONet</t>
  </si>
  <si>
    <t>Send POST Request of Send Funds via Local Fund Transfer via PESONet using Invalid (Closed) Source Account</t>
  </si>
  <si>
    <r>
      <t xml:space="preserve">Send POST Request of Send Funds via Local Fund Transfer across Intrabank using Invalid (Closed) </t>
    </r>
    <r>
      <rPr>
        <b/>
        <sz val="11"/>
        <color rgb="FF78206E"/>
        <rFont val="Aptos Narrow"/>
        <family val="2"/>
      </rPr>
      <t>Beneficiary Account</t>
    </r>
  </si>
  <si>
    <t>Success 202 ACCEPTED / 200 OK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</si>
  <si>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TS-EB-PRODUCTS-0044</t>
  </si>
  <si>
    <t>TS-EB-PRODUCTS-0044: Send Funds via Local Fund Transfer v1.0_Initiate Local Funds Transfer API_Verify Initiation of Local Funds Transfer with Non-Existing Source Account via EWB to EWB</t>
  </si>
  <si>
    <t>401 Unauthorized
{    "status": "FAILED",    "authId": "auth-3c60ccee-4322-4ba9-904c-1a0976960058",    "errors": [        {            "errorCode": "ACCOUNT_NOT_FOUND",            "errorDescription": "Account not found for accountNumber=200061827815 and partnerId=263677df68"        }    ],    "responseCode": "401",    "responseDescription": "Account not found for accountNumber=200061827815 and partnerId=263677df68"}</t>
  </si>
  <si>
    <t>TS-EB-PRODUCTS-0045</t>
  </si>
  <si>
    <t>TS-EB-PRODUCTS-0045: Send Funds via Local Fund Transfer v1.0_Initiate Local Funds Transfer API_Verify Initiation of Local Funds Transfer with Non-Existing Source Account via EWB to EWRB</t>
  </si>
  <si>
    <t>401 Unauthorized
{    "status": "FAILED",    "authId": "auth-856ac31c-d6f6-4788-90a1-e806c5c1e4a5",    "errors": [        {            "errorCode": "ACCOUNT_NOT_FOUND",            "errorDescription": "Account not found for accountNumber=200064117815 and partnerId=263677df68"        }    ],    "responseCode": "401",    "responseDescription": "Account not found for accountNumber=200064117815 and partnerId=263677df68"}</t>
  </si>
  <si>
    <t>TS-EB-PRODUCTS-0046</t>
  </si>
  <si>
    <t>TS-EB-PRODUCTS-0046: Send Funds via Local Fund Transfer v1.0_Initiate Local Funds Transfer API_Verify Initiation of Local Funds Transfer with Non-Existing Source Account via EWB to InstaPay</t>
  </si>
  <si>
    <t xml:space="preserve">401 Unauthorized{    "status": "FAILED",    "authId": "auth-8fa49c37-7450-497c-81f2-74705ba876cb",    "errors": [        {            "errorCode": "ACCOUNT_NOT_FOUND",            "errorDescription": "Account not found for accountNumber=200091817824 and partnerId=263677df68"        }    ],    "responseCode": "401",    "responseDescription": "Account not found for accountNumber=200091817824 and partnerId=263677df68"}
</t>
  </si>
  <si>
    <t>TS-EB-PRODUCTS-0047</t>
  </si>
  <si>
    <t>TS-EB-PRODUCTS-0047: Send Funds via Local Fund Transfer v1.0_Initiate Local Funds Transfer API_Verify Initiation of Local Funds Transfer with Non-Existing Source Account via EWB to PESONet</t>
  </si>
  <si>
    <t>401 Unauthorized
{    "status": "FAILED",    "authId": "auth-293a7e04-1421-46fe-95ef-5a8c44dd0c95",    "errors": [        {            "errorCode": "ACCOUNT_NOT_FOUND",            "errorDescription": "Account not found for accountNumber=200061817143 and partnerId=263677df68"        }    ],    "responseCode": "401",    "responseDescription": "Account not found for accountNumber=200061817143 and partnerId=263677df68"}</t>
  </si>
  <si>
    <t>TS-EB-PRODUCTS-0048</t>
  </si>
  <si>
    <t>TS-EB-PRODUCTS-0048: Send Funds via Local Fund Transfer v1.0_Initiate Local Funds Transfer API_Verify Initiation of Local Funds Transfer with Non-Existing Beneficiary Account via EWB to EWB</t>
  </si>
  <si>
    <t>Send POST Request of Send Funds via Local Fund Transfer via EWB to EWB using Not Existing Beneficiary Account</t>
  </si>
  <si>
    <t>Success 200 OK/RECEIVED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</si>
  <si>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TS-EB-PRODUCTS-0049</t>
  </si>
  <si>
    <t>TS-EB-PRODUCTS-0049: Send Funds via Local Fund Transfer v1.0_Initiate Local Funds Transfer API_Verify Initiation of Local Funds Transfer with Non-Existing Beneficiary Account via EWB to EWRB</t>
  </si>
  <si>
    <t>Send POST Request of Send Funds via Local Fund Transfer via EWB to EWRB using Not Existing Beneficiary Account</t>
  </si>
  <si>
    <t>Success 200 OK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</si>
  <si>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TS-EB-PRODUCTS-0050</t>
  </si>
  <si>
    <t>TS-EB-PRODUCTS-0050: Send Funds via Local Fund Transfer v1.0_Initiate Local Funds Transfer API_Verify Initiation of Local Funds Transfer with Non-Existing Beneficiary Account EWB to InstaPay</t>
  </si>
  <si>
    <t>Send POST Request of Send Funds via Local Fund Transfer via EWB to InstaPay using Not Existing Beneficiary Account</t>
  </si>
  <si>
    <t>TS-EB-PRODUCTS-0051</t>
  </si>
  <si>
    <t>TS-EB-PRODUCTS-0051: Send Funds via Local Fund Transfer v1.0_Initiate Local Funds Transfer API_Verify Initiation of Local Funds Transfer with Non-Existing Beneficiary Account EWB to PESONet</t>
  </si>
  <si>
    <t>Send POST Request of Send Funds via Local Fund Transfer via EWB to PESONet using Not Existing Beneficiary Account</t>
  </si>
  <si>
    <t>TS-EB-PRODUCTS-0052</t>
  </si>
  <si>
    <t>TS-EB-PRODUCTS-0052: Send Funds via Local Fund Transfer v1.0_Initiate Local Funds Transfer API_Verify Initiation of Local Funds Transfer via EWB to EWB with Post No Debit Source Account Number</t>
  </si>
  <si>
    <t>Send POST Request of Send Funds via Local Fund Transfer via EWB to EWB using Post No Debit Source Account</t>
  </si>
  <si>
    <t>TS-EB-PRODUCTS-0053</t>
  </si>
  <si>
    <t>TS-EB-PRODUCTS-0053: Send Funds via Local Fund Transfer v1.0_Initiate Local Funds Transfer API_Verify Initiation of Local Funds Transfer across via EWB to EWRB with Post No Debit Source Account Number</t>
  </si>
  <si>
    <t>Send POST Request of Send Funds via Local Fund Transfer via EWB to EWRB using Post No Debit Source Account</t>
  </si>
  <si>
    <t>TS-EB-PRODUCTS-0054</t>
  </si>
  <si>
    <t>TS-EB-PRODUCTS-0054: Send Funds via Local Fund Transfer v1.0_Initiate Local Funds Transfer API_Verify Initiation of Local Funds Transfer via EWB to InstaPay with Post No Debit Source Account Number</t>
  </si>
  <si>
    <t>Send POST Request of Send Funds via Local Fund Transfer via EWB to InstaPay using Post No Debit Source Account</t>
  </si>
  <si>
    <t>TS-EB-PRODUCTS-0055</t>
  </si>
  <si>
    <t>TS-EB-PRODUCTS-0055: Send Funds via Local Fund Transfer v1.0_Initiate Local Funds Transfer API_Verify Initiation of Local Funds Transfer via EWB to PESONet with Post No Debit Source Account Number</t>
  </si>
  <si>
    <t>Send POST Request of Send Funds via Local Fund Transfer via EWB to PESONet using Post No Debit Source Account</t>
  </si>
  <si>
    <t>TS-EB-PRODUCTS-0056</t>
  </si>
  <si>
    <t>TS-EB-PRODUCTS-0056: Send Funds via Local Fund Transfer v1.0_Initiate Local Funds Transfer API_Verify Initiation of Local Funds Transfer via EWB to EWB with Post No Credit Source Account Number</t>
  </si>
  <si>
    <t>Send POST Request of Send Funds via Local Fund Transfer via EWB to EWB using Post No Credit Source Account</t>
  </si>
  <si>
    <t>TS-EB-PRODUCTS-0057</t>
  </si>
  <si>
    <t>TS-EB-PRODUCTS-0057: Send Funds via Local Fund Transfer v1.0_Initiate Local Funds Transfer API_Verify Initiation of Local Funds Transfer via EWB to EWRB with Post No Credit Source Account Number</t>
  </si>
  <si>
    <t>Send POST Request of Send Funds via Local Fund Transfer via EWB to EWRB using Post No Credit Source Account</t>
  </si>
  <si>
    <t>TS-EB-PRODUCTS-0058</t>
  </si>
  <si>
    <t>TS-EB-PRODUCTS-0058: Send Funds via Local Fund Transfer v1.0_Initiate Local Funds Transfer API_Verify Initiation of Local Funds Transfer via EWB to InstaPay with Post No Credit Source Account Number</t>
  </si>
  <si>
    <t>Send POST Request of Send Funds via Local Fund Transfer via EWB to InstaPay using Post No Credit Source Account</t>
  </si>
  <si>
    <t>TS-EB-PRODUCTS-0059</t>
  </si>
  <si>
    <t>TS-EB-PRODUCTS-0059: Send Funds via Local Fund Transfer v1.0_Initiate Local Funds Transfer API_Verify Initiation of Local Funds Transfer via EWB to PESONet with Post No Credit Source Account Number</t>
  </si>
  <si>
    <t>Send POST Request of Send Funds via Local Fund Transfer via EWB to PESONet using Post No Credit Source Account</t>
  </si>
  <si>
    <t>TS-EB-PRODUCTS-0060</t>
  </si>
  <si>
    <t>TS-EB-PRODUCTS-0060: Send Funds via Local Fund Transfer v1.0_Initiate Local Funds Transfer API_Verify Initiation of Local Funds Transfer via EWB to EWB with Post No Entries Source Account Number</t>
  </si>
  <si>
    <t>Send POST Request of Send Funds via Local Fund Transfer via EWB to EWB using Post No Entries Source Account</t>
  </si>
  <si>
    <t>TS-EB-PRODUCTS-0061</t>
  </si>
  <si>
    <t>TS-EB-PRODUCTS-0061: Send Funds via Local Fund Transfer v1.0_Initiate Local Funds Transfer API_Verify Initiation of Local Funds Transfer via EWB to EWRB with Post No Entries Source Account Number</t>
  </si>
  <si>
    <t>Send POST Request of Send Funds via Local Fund Transfer via EWB to EWRB using Post No Entries Source Account</t>
  </si>
  <si>
    <t>TS-EB-PRODUCTS-0062</t>
  </si>
  <si>
    <t>TS-EB-PRODUCTS-0062: Send Funds via Local Fund Transfer v1.0_Initiate Local Funds Transfer API_Verify Initiation of Local Funds Transfer via EWB to InstaPay with Post No Entries Source Account Number</t>
  </si>
  <si>
    <t>Send POST Request of Send Funds via Local Fund Transfer via EWB to InstaPay using Post No Entries Source Account</t>
  </si>
  <si>
    <t>TS-EB-PRODUCTS-0063</t>
  </si>
  <si>
    <t>TS-EB-PRODUCTS-0063: Send Funds via Local Fund Transfer v1.0_Initiate Local Funds Transfer API_Verify Initiation of Local Funds Transfer via EWB to PESONet with Post No Entries Source Account Number</t>
  </si>
  <si>
    <t>Send POST Request of Send Funds via Local Fund Transfer via EWB to PESONet using Post No Entries Source Account</t>
  </si>
  <si>
    <t>Send POST Request of Send Funds via Local Fund Transfer across all channels using Post No Debit Beneficiary Account</t>
  </si>
  <si>
    <t>Send POST Request of Send Funds via Local Fund Transfer across all channels using Post No Credit Beneficiary Account</t>
  </si>
  <si>
    <t>Send POST Request of Send Funds via Local Fund Transfer across all channels using Post No Entries Beneficiary Account</t>
  </si>
  <si>
    <t>TS-EB-PRODUCTS-0067</t>
  </si>
  <si>
    <t>TS-EB-PRODUCTS-0067: Send Funds via Local Fund Transfer v1.0_Initiate Local Funds Transfer API_Verify Initiation of Local Funds Transfer via EWB to EWB with Post No Debit Customer CIF / Customer ID</t>
  </si>
  <si>
    <t>Send POST Request of Send Funds via Local Fund Transfer via EWB to EWB using Post No Debit Customer CIF / Customer ID (Source)</t>
  </si>
  <si>
    <t>Success 202 ACCEPTED 
DB Initial Status = RECEIVED with (full 13-digit idempotency-key stored (with 48-hour TTL for duplicate checks)
apiTxnId, apiTxnRef, ewbCoreReference, status, statusDescription, and createdTimestamp.
apiTxnRef is correctly constructed (Application-ID + Product-ID + Idempotency-Key + wildcard) and propagated to EWB Core Banking System, payment rails, logs, reconciliation files, and audit trails.</t>
  </si>
  <si>
    <t>TS-EB-PRODUCTS-0068</t>
  </si>
  <si>
    <t>TS-EB-PRODUCTS-0068: Send Funds via Local Fund Transfer v1.0_Initiate Local Funds Transfer API_Verify Initiation of Local Funds Transfer via EWB to EWRB with Post No Debit Customer CIF / Customer ID</t>
  </si>
  <si>
    <t>Send POST Request of Send Funds via Local Fund Transfer via EWB to EWRB using Post No Debit Customer CIF / Customer ID (Source)</t>
  </si>
  <si>
    <t>TS-EB-PRODUCTS-0069</t>
  </si>
  <si>
    <t>TS-EB-PRODUCTS-0069: Send Funds via Local Fund Transfer v1.0_Initiate Local Funds Transfer API_Verify Initiation of Local Funds Transfer via EWB to Instapay with Post No Debit Customer CIF / Customer ID</t>
  </si>
  <si>
    <t>Send POST Request of Send Funds via Local Fund Transfer via EWB to InstaPay using Post No Debit Customer CIF / Customer ID (Source)</t>
  </si>
  <si>
    <t>TS-EB-PRODUCTS-0070</t>
  </si>
  <si>
    <t>TS-EB-PRODUCTS-0070: Send Funds via Local Fund Transfer v1.0_Initiate Local Funds Transfer API_Verify Initiation of Local Funds Transfer via EWB to PESONet with Post No Debit Customer CIF / Customer ID</t>
  </si>
  <si>
    <t>Send POST Request of Send Funds via Local Fund Transfer via EWB to PESONet using Post No Debit Customer CIF / Customer ID (Source)</t>
  </si>
  <si>
    <t>TS-EB-PRODUCTS-0071</t>
  </si>
  <si>
    <t>TS-EB-PRODUCTS-0071: Send Funds via Local Fund Transfer v1.0_Initiate Local Funds Transfer API_Verify Initiation of Local Funds Transfer via EWB to EWB with Post No Credit Customer CIF / Customer ID</t>
  </si>
  <si>
    <t>Send POST Request of Send Funds via Local Fund Transfer via EWB to EWB using Post No Credit Customer CIF / Customer ID (Source)</t>
  </si>
  <si>
    <t>TS-EB-PRODUCTS-0072</t>
  </si>
  <si>
    <t>TS-EB-PRODUCTS-0072: Send Funds via Local Fund Transfer v1.0_Initiate Local Funds Transfer API_Verify Initiation of Local Funds Transfer via EWB to EWRB with Post No Credit Customer CIF / Customer ID</t>
  </si>
  <si>
    <t>Send POST Request of Send Funds via Local Fund Transfer via EWB to EWRB using Post No Credit Customer CIF / Customer ID (Source)</t>
  </si>
  <si>
    <t>TS-EB-PRODUCTS-0073</t>
  </si>
  <si>
    <t>TS-EB-PRODUCTS-0073: Send Funds via Local Fund Transfer v1.0_Initiate Local Funds Transfer API_Verify Initiation of Local Funds Transfer via EWB to InstaPay with Post No Credit Customer CIF / Customer ID</t>
  </si>
  <si>
    <t>Send POST Request of Send Funds via Local Fund Transfer via EWB to InstaPay using Post No Credit Customer CIF / Customer ID (Source)</t>
  </si>
  <si>
    <t>TS-EB-PRODUCTS-0074</t>
  </si>
  <si>
    <t>TS-EB-PRODUCTS-0074: Send Funds via Local Fund Transfer v1.0_Initiate Local Funds Transfer API_Verify Initiation of Local Funds Transfer via EWB to PESONet with Post No Credit Customer CIF / Customer ID</t>
  </si>
  <si>
    <t>Send POST Request of Send Funds via Local Fund Transfer via EWB to PESONet using Post No Credit Customer CIF / Customer ID (Source)</t>
  </si>
  <si>
    <t>TS-EB-PRODUCTS-0075</t>
  </si>
  <si>
    <t>TS-EB-PRODUCTS-0075: Send Funds via Local Fund Transfer v1.0_Initiate Local Funds Transfer API_Verify Initiation of Local Funds Transfer via EWB to EWB with Post No Entries Customer CIF / Customer ID</t>
  </si>
  <si>
    <t>Send POST Request of Send Funds via Local Fund Transfer via EWB to EWB using Post No Entries Customer CIF / Customer ID (Source)</t>
  </si>
  <si>
    <t>TS-EB-PRODUCTS-0076</t>
  </si>
  <si>
    <t>TS-EB-PRODUCTS-0076: Send Funds via Local Fund Transfer v1.0_Initiate Local Funds Transfer API_Verify Initiation of Local Funds Transfer via EWB to EWRB with Post No Entries Customer CIF / Customer ID</t>
  </si>
  <si>
    <t>Send POST Request of Send Funds via Local Fund Transfer via EWB to EWRB using Post No Entries Customer CIF / Customer ID (Source)</t>
  </si>
  <si>
    <t>TS-EB-PRODUCTS-0077</t>
  </si>
  <si>
    <t>TS-EB-PRODUCTS-0077: Send Funds via Local Fund Transfer v1.0_Initiate Local Funds Transfer API_Verify Initiation of Local Funds Transfer via EWB to InstaPay with Post No Entries Customer CIF / Customer ID</t>
  </si>
  <si>
    <t>Send POST Request of Send Funds via Local Fund Transfer via EWB to InstaPay using Post No Entries Customer CIF / Customer ID (Source)</t>
  </si>
  <si>
    <t>TS-EB-PRODUCTS-0078</t>
  </si>
  <si>
    <t>TS-EB-PRODUCTS-0078: Send Funds via Local Fund Transfer v1.0_Initiate Local Funds Transfer API_Verify Initiation of Local Funds Transfer via EWB to PESONet with Post No Entries Customer CIF / Customer ID</t>
  </si>
  <si>
    <t>Send POST Request of Send Funds via Local Fund Transfer via EWB to PESONet using Post No Entries Customer CIF / Customer ID (Source)</t>
  </si>
  <si>
    <t>Send POST Request of Send Funds via Local Fund Transfer across all channels using Post No Debit Customer CIF / Customer ID (Beneficiary)</t>
  </si>
  <si>
    <t>Send POST Request of Send Funds via Local Fund Transfer across all channels using Post No Credit Customer CIF / Customer ID (Beneficiary)</t>
  </si>
  <si>
    <t>Send POST Request of Send Funds via Local Fund Transfer across all channels using Post No Entries Customer CIF / Customer ID (Beneficiary)</t>
  </si>
  <si>
    <t>TS-EB-PRODUCTS-0102</t>
  </si>
  <si>
    <t>TS-EB-PRODUCTS-0102: Send Funds via Local Fund Transfer v1.0_Initiate Local Funds Transfer API_Verify Initiation of Local Funds Transfer via EWB to EWB with Source Account not linked to provided access token</t>
  </si>
  <si>
    <t>Send POST Request of Send Funds via Local Fund Transfer via EWB to EWB using Source Account not linked to the provided access token</t>
  </si>
  <si>
    <t>TS-EB-PRODUCTS-0103</t>
  </si>
  <si>
    <t>TS-EB-PRODUCTS-0103: Send Funds via Local Fund Transfer v1.0_Initiate Local Funds Transfer API_Verify Initiation of Local Funds Transfer via EWB to EWRB with Source Account not linked to provided access token</t>
  </si>
  <si>
    <t>TS-EB-PRODUCTS-0104</t>
  </si>
  <si>
    <t>TS-EB-PRODUCTS-0104: Send Funds via Local Fund Transfer v1.0_Initiate Local Funds Transfer API_Verify Initiation of Local Funds Transfer via EWB to InstaPay with Source Account not linked to provided access token</t>
  </si>
  <si>
    <t>Status: FAILED
responseCode: 400 Bad Request / 503 Service Unavailable
responseDescription</t>
  </si>
  <si>
    <t>TS-EB-PRODUCTS-0105</t>
  </si>
  <si>
    <t>TS-EB-PRODUCTS-0105: Send Funds via Local Fund Transfer v1.0_Initiate Local Funds Transfer API_Verify Initiation of Local Funds Transfer via EWB to PESONet with Source Account not linked to provided access token</t>
  </si>
  <si>
    <t>Status: FAILED
responseCode: 
responseDescription: TRANSACTION_VERIFICATION_FAILED</t>
  </si>
  <si>
    <t>TS-EB-PRODUCTS-0106</t>
  </si>
  <si>
    <t>TS-EB-PRODUCTS-0106: Send Funds via Local Fund Transfer v1.0_Initiate Local Funds Transfer API_Verify Initiation of Local Funds Transfer via EWB to EWB with FDS Sender Source Account</t>
  </si>
  <si>
    <t>Send POST Request of Send Funds via Local Fund Transfer via EWB to EWB using FDS Sender Source Account</t>
  </si>
  <si>
    <t>200061812538</t>
  </si>
  <si>
    <t>TS-EB-PRODUCTS-0107</t>
  </si>
  <si>
    <t>TS-EB-PRODUCTS-0107: Send Funds via Local Fund Transfer v1.0_Initiate Local Funds Transfer API_Verify Initiation of Local Funds Transfer EWB to EWRB with FDS Sender Source Account</t>
  </si>
  <si>
    <t>Send POST Request of Send Funds via Local Fund Transfer via EWB to EWRB using FDS Sender Source Account</t>
  </si>
  <si>
    <t>TS-EB-PRODUCTS-0108</t>
  </si>
  <si>
    <t>TS-EB-PRODUCTS-0108: Send Funds via Local Fund Transfer v1.0_Initiate Local Funds Transfer API_Verify Initiation of Local Funds Transfer EWB to InstaPay with FDS Sender Source Account</t>
  </si>
  <si>
    <t>Send POST Request of Send Funds via Local Fund Transfer via EWB to InstaPay using FDS Sender Source Account</t>
  </si>
  <si>
    <t>SRCPPHM2XXX</t>
  </si>
  <si>
    <t>09176296115</t>
  </si>
  <si>
    <t>TS-EB-PRODUCTS-0109</t>
  </si>
  <si>
    <t>TS-EB-PRODUCTS-0109: Send Funds via Local Fund Transfer v1.0_Initiate Local Funds Transfer API_Verify Initiation of Local Funds Transfer EWB to PESONet with FDS Sender Source Account</t>
  </si>
  <si>
    <t>Send POST Request of Send Funds via Local Fund Transfer via EWB to PESONet using FDS Sender Source Account</t>
  </si>
  <si>
    <t>0670000047</t>
  </si>
  <si>
    <t>TS-EB-PRODUCTS-0110</t>
  </si>
  <si>
    <t>TS-EB-PRODUCTS-0110: Send Funds via Local Fund Transfer v1.0_Initiate Local Funds Transfer API_Verify Initiation of Local Funds Transfer via EWB to EWB with FDS Receiver Beneficiary Account</t>
  </si>
  <si>
    <t>TS-EB-PRODUCTS-0111</t>
  </si>
  <si>
    <t>TS-EB-PRODUCTS-0111: Send Funds via Local Fund Transfer v1.0_Initiate Local Funds Transfer API_Verify Initiation of Local Funds Transfer via EWB to EWRB with FDS Receiver Beneficiary Account</t>
  </si>
  <si>
    <t>TS-EB-PRODUCTS-0112</t>
  </si>
  <si>
    <t>TS-EB-PRODUCTS-0112: Send Funds via Local Fund Transfer v1.0_Initiate Local Funds Transfer API_Verify Initiation of Local Funds Transfer via EWB to InstaPay with FDS Receiver Beneficiary Account</t>
  </si>
  <si>
    <t>TS-EB-PRODUCTS-0113</t>
  </si>
  <si>
    <t>TS-EB-PRODUCTS-0113: Send Funds via Local Fund Transfer v1.0_Initiate Local Funds Transfer API_Verify Initiation of Local Funds Transfer via EWB to PESONet with FDS Receiver Beneficiary Account</t>
  </si>
  <si>
    <t>TS-EB-PRODUCTS-0114</t>
  </si>
  <si>
    <t>TS-EB-PRODUCTS-0114: Send Funds via Local Fund Transfer v1.0_Initiate Local Funds Transfer API_Validate that all required body parameters are present and correctly formatted as per API specification via EWB to EWB</t>
  </si>
  <si>
    <t>API returns HTTP 202 OK / 202 Accepted</t>
  </si>
  <si>
    <t>TS-EB-PRODUCTS-0115</t>
  </si>
  <si>
    <t>TS-EB-PRODUCTS-0115: Send Funds via Local Fund Transfer v1.0_Initiate Local Funds Transfer API_Validate that all required body parameters are present and correctly formatted as per API specification via EWB to EWRB</t>
  </si>
  <si>
    <t>TS-EB-PRODUCTS-0116</t>
  </si>
  <si>
    <t>TS-EB-PRODUCTS-0116: Send Funds via Local Fund Transfer v1.0_Initiate Local Funds Transfer API_Validate that all required body parameters are present and correctly formatted as per API specification via EWB to InstaPay</t>
  </si>
  <si>
    <t>TS-EB-PRODUCTS-0117</t>
  </si>
  <si>
    <t>TS-EB-PRODUCTS-0117: Send Funds via Local Fund Transfer v1.0_Initiate Local Funds Transfer API_Validate that all required body parameters are present and correctly formatted as per API specification via EWB to PESONet</t>
  </si>
  <si>
    <t>TS-EB-PRODUCTS-0118</t>
  </si>
  <si>
    <t>TS-EB-PRODUCTS-0118: Send Funds via Local Fund Transfer v1.0_Initiate Local Funds Transfer API_Verify if required body parameters validation/notes are enforced as per API specification via EWB to EWB upon using invalid values</t>
  </si>
  <si>
    <t>TS-EB-PRODUCTS-0119</t>
  </si>
  <si>
    <t>TS-EB-PRODUCTS-0119: Send Funds via Local Fund Transfer v1.0_Initiate Local Funds Transfer API_Verify if required body parameters validation/notes are enforced as per API specification via EWB to EWRB upon using invalid values</t>
  </si>
  <si>
    <t>TS-EB-PRODUCTS-0120</t>
  </si>
  <si>
    <t>TS-EB-PRODUCTS-0120: Send Funds via Local Fund Transfer v1.0_Initiate Local Funds Transfer API_Verify if required body parameters validation/notes are enforced as per API specification via EWB to InstaPay upon using invalid values</t>
  </si>
  <si>
    <t>TS-EB-PRODUCTS-0121</t>
  </si>
  <si>
    <t>TS-EB-PRODUCTS-0121: Send Funds via Local Fund Transfer v1.0_Initiate Local Funds Transfer API_Verify if required body parameters validation/notes are enforced as per API specification via EWB to PESONet upon using invalid values</t>
  </si>
  <si>
    <t>TS-EB-PRODUCTS-0130</t>
  </si>
  <si>
    <t>TS-EB-PRODUCTS-0130: Send Funds via Local Fund Transfer v1.0_Initiate Local Funds Transfer API_Verify that resending the same request with the same 13‑digit idempotency key returns the original response</t>
  </si>
  <si>
    <t>The API Portal detects the existing record and skips re‑processing, returning the original response within ≤ 500 ms. 
The API returns the original successful response with the same apiTxnRef, status, and references.
Sample Response Body: 200 OK
{    "apiTxnId": 20,    "apiTxnRef": "60000000000010156580823",    "ewbCoreReference": null,    "externalRailReference": null,    "responseCode": "ACCEPTED",    "status": "PENDING",    "responseDescription": null,    "createdTimestamp": "2026-06-01T14:50:41.0068888"}</t>
  </si>
  <si>
    <t>TS-EB-PRODUCTS-0131</t>
  </si>
  <si>
    <t>TS-EB-PRODUCTS-0131: Send Funds via Local Fund Transfer v1.0_Initiate Local Funds Transfer API_Verify Different payload with the same idempotency-key response</t>
  </si>
  <si>
    <t>Different payload with same idempotency-key returns HTTP 409 Conflict with clear error message. 
Sample Response Body:409 Conflict
{    "status": "FAILED",    "authId": null,    "errors": null,    "responseCode": "409",    "responseDescription": "Idempotency key already used with a different request payload"}</t>
  </si>
  <si>
    <t>Lorenzo Fordd</t>
  </si>
  <si>
    <t>TS-EB-PRODUCTS-0132</t>
  </si>
  <si>
    <t>TS-EB-PRODUCTS-0132: Send Funds via Local Fund Transfer v1.0_Initiate Local Funds Transfer API_Verify Different payload with the same idempotency-key response time / processing time</t>
  </si>
  <si>
    <t>Arturido Nery</t>
  </si>
  <si>
    <t>TS-EB-PRODUCTS-0133</t>
  </si>
  <si>
    <t>TS-EB-PRODUCTS-0133: Send Funds via Local Fund Transfer v1.0_Initiate Local Funds Transfer API_Verify that resending the same request with the same 13‑digit idempotency key prevents the duplicate transactions during timeout</t>
  </si>
  <si>
    <t>Resend POST Request of Send Funds via Local Fund Transfer using the same request with same 13‑digit idempotency key. Observe duplicates.</t>
  </si>
  <si>
    <t>No duplicate debit or credit entries should occur during timeout</t>
  </si>
  <si>
    <t>TS-EB-PRODUCTS-0134</t>
  </si>
  <si>
    <t>TS-EB-PRODUCTS-0134: Send Funds via Local Fund Transfer v1.0_Initiate Local Funds Transfer API_Verify that the idempotency-key is logged</t>
  </si>
  <si>
    <t>Send POST Request of Send Funds via Local Fund Transfer via Intrabank/InstaPay/PESONet. Check idempotency-key on DB.</t>
  </si>
  <si>
    <t>The idempotency check is logged and auditable.</t>
  </si>
  <si>
    <t>TS-EB-PRODUCTS-0135</t>
  </si>
  <si>
    <t>TS-EB-PRODUCTS-0135: Send Funds via Local Fund Transfer v1.0_Initiate Local Funds Transfer API_Verify that a request resent with the same 13‑digit idempotency key within 48 hours is detected and not re‑processed.</t>
  </si>
  <si>
    <t>Resend POST Request of Send Funds via Local Fund Transfer using the same request with same 13‑digit idempotency key. Observe the transactions.</t>
  </si>
  <si>
    <t>The API Portal detects an existing transaction for the idempotency key.(Application-ID + Product-ID + 13-digit idempotency-key)
The transaction is not re‑processed.No new transaction record is created.</t>
  </si>
  <si>
    <t>TS-EB-PRODUCTS-0136</t>
  </si>
  <si>
    <t>TS-EB-PRODUCTS-0136: Send Funds via Local Fund Transfer v1.0_Initiate Local Funds Transfer API_Verify that duplicate requests within TTL do not result in additional transactions</t>
  </si>
  <si>
    <t>Resend POST Request of Send Funds via Local Fund Transfer using the same request with same 13‑digit idempotency key.</t>
  </si>
  <si>
    <t>Only one transaction exists in the database for the idempotency key.
No additional debit or fund transfer is triggered.</t>
  </si>
  <si>
    <t>TS-EB-PRODUCTS-0137</t>
  </si>
  <si>
    <t>TS-EB-PRODUCTS-0137: Send Funds via Local Fund Transfer v1.0_Initiate Local Funds Transfer API_Verify that a request with valid API credentials, Partner ID, access token, and active product subscription is successfully authenticated.</t>
  </si>
  <si>
    <t>Send POST Request of valid Send Funds Local Fund Transfer via Intrabank/InstaPay/PESONet with valid client-credentials, acces token, active product subcsription, and partner id.</t>
  </si>
  <si>
    <t>All validation checks pass within ≤ 300 ms
Request proceeds to idempotency check
No authentication or authorization errors</t>
  </si>
  <si>
    <t>TS-EB-PRODUCTS-0140</t>
  </si>
  <si>
    <t>TS-EB-PRODUCTS-0140: Send Funds via Local Fund Transfer v1.0_Initiate Local Funds Transfer API_Verify request when partner-id header is missing.</t>
  </si>
  <si>
    <t>Send POST Request of Send Funds Local Fund Transfer via Intrabank/InstaPay/PESONet without/missing partner-id header</t>
  </si>
  <si>
    <t>Failed/ Rejected 401 Unauthorized / 400 Bad Request
Error message indicates missing Partner-ID</t>
  </si>
  <si>
    <t>TS-EB-PRODUCTS-0141</t>
  </si>
  <si>
    <t>TS-EB-PRODUCTS-0141: Send Funds via Local Fund Transfer v1.0_Initiate Local Funds Transfer API_Verify rejection when the Partner ID is not associated with the application.</t>
  </si>
  <si>
    <t>Send POST Request of Send Funds Local Fund Transfer via Intrabank/InstaPay/PESONet using not associated partner-id with the application</t>
  </si>
  <si>
    <t>Failed/ Rejected 403 Forbidden / 401 Unauthorized
Error message indicates Partner ID linkage</t>
  </si>
  <si>
    <t>TS-EB-PRODUCTS-0142</t>
  </si>
  <si>
    <t>TS-EB-PRODUCTS-0142: Send Funds via Local Fund Transfer v1.0_Initiate Local Funds Transfer API_Verify behavior when the Application is not subscribed to the Send Funds Via Local Funds Transfer product.</t>
  </si>
  <si>
    <t>Send POST Request of Send Funds Local Fund Transfer via Intrabank/InstaPay/PESONet when application is not subscribed on Send Funds products.</t>
  </si>
  <si>
    <t>Failed/ Rejected 403 Forbidden
Error message indicates missing subscription</t>
  </si>
  <si>
    <t>gc394at84gH3605BuVCRhStu0jeBGroE</t>
  </si>
  <si>
    <t>The API Portal validates source account registration and confirms the Access Token is bound to the same account before processing the request.
(validation completes within ≤ 300 ms)</t>
  </si>
  <si>
    <t>TS-EB-PRODUCTS-0144_1</t>
  </si>
  <si>
    <t>Send POST Request of Send Funds Local Fund Transfer via Intrabank/InstaPay/PESONet using source account that is not registered as Client-Owned in Client Hub</t>
  </si>
  <si>
    <t>API Portal validates and rejects the request because of unregistered accounts
Invalid binding or unregistered account returns clear error (403 or 400) within ≤ 1 second</t>
  </si>
  <si>
    <t>200061817818</t>
  </si>
  <si>
    <t>TS-EB-PRODUCTS-0146</t>
  </si>
  <si>
    <t>TS-EB-PRODUCTS-0146: Send Funds via Local Fund Transfer v1.0_Initiate Local Funds Transfer API_Verify that Transaction ID is generated on successful Instapay transaction</t>
  </si>
  <si>
    <t>TS-EB-PRODUCTS-0147</t>
  </si>
  <si>
    <t>TS-EB-PRODUCTS-0147: Send Funds via Local Fund Transfer v1.0_Initiate Local Funds Transfer API_Verify that Transaction ID is generated on successful PESONet transaction</t>
  </si>
  <si>
    <t>TS-EB-PRODUCTS-0149</t>
  </si>
  <si>
    <t>TS-EB-PRODUCTS-0149: Send Funds via Local Fund Transfer v1.0_Initiate Local Funds Transfer API_Verify that apiTxnId format containts 36 BIGINT auto-increment primary key of Instapay transaction</t>
  </si>
  <si>
    <t>TS-EB-PRODUCTS-0150</t>
  </si>
  <si>
    <t>TS-EB-PRODUCTS-0150: Send Funds via Local Fund Transfer v1.0_Initiate Local Funds Transfer API_Verify that apiTxnId format containts 36 BIGINT auto-increment primary key of PESONet transaction</t>
  </si>
  <si>
    <t>TS-EB-PRODUCTS-0152</t>
  </si>
  <si>
    <t>TS-EB-PRODUCTS-0152: Send Funds via Local Fund Transfer v1.0_Initiate Local Funds Transfer API_Verify that apiTxnRef has correct format of Instapay transaction</t>
  </si>
  <si>
    <t>TS-EB-PRODUCTS-0153</t>
  </si>
  <si>
    <t>TS-EB-PRODUCTS-0153: Send Funds via Local Fund Transfer v1.0_Initiate Local Funds Transfer API_Verify that apiTxnRef has correct format of PESONet transaction</t>
  </si>
  <si>
    <t>TS-EB-PRODUCTS-0155</t>
  </si>
  <si>
    <t>TS-EB-PRODUCTS-0155: Send Funds via Local Fund Transfer v1.0_Initiate Local Funds Transfer API_Verify that apiTxnRef has propagated to downstream system Instapay transaction</t>
  </si>
  <si>
    <t>TS-EB-PRODUCTS-0156</t>
  </si>
  <si>
    <t>TS-EB-PRODUCTS-0156: Send Funds via Local Fund Transfer v1.0_Initiate Local Funds Transfer API_Verify that apiTxnRef has propagated to downstream system PESONet transaction</t>
  </si>
  <si>
    <t>Status "RECEIVE" in response and database (ready for processing of downstreams)</t>
  </si>
  <si>
    <t>Status changes are strictly reconciled in real-time between the following: 
- Dedicated External API Portal Database,
- EWB Core Banking System
- Downstream rails 
No floating, pending, unknown, or mismatched status exists</t>
  </si>
  <si>
    <t>Send POST Request of valid Send Funds Local Fund Transfer via PESONet. Check status progression</t>
  </si>
  <si>
    <t>Subsequent status changes (e.g., COMPLETED, FAILED, RETURNED)</t>
  </si>
  <si>
    <t>TS-EB-PRODUCTS-0163</t>
  </si>
  <si>
    <t>TS-EB-PRODUCTS-0163: Send Funds via Local Fund Transfer v1.0_Initiate Local Funds Transfer API_Verify mismatch status of transactions in Client Hub -Transaction Management page</t>
  </si>
  <si>
    <t>Send POST Request of valid Send Funds Local Fund Transfer via Intrabank/Instapay/PESONet. Check for mismatch status in Client Hub - Transaction Management</t>
  </si>
  <si>
    <t>Transaction Management returns the exact same status that exists in the API Portal Database, EWB Core, and rails</t>
  </si>
  <si>
    <t>TS-EB-PRODUCTS-0164</t>
  </si>
  <si>
    <t>TS-EB-PRODUCTS-0164: Send Funds via Local Fund Transfer v1.0_Initiate Local Funds Transfer API_Verify mismatch status of transactions in Check Local Funds Transfer Details and Status API endpoint</t>
  </si>
  <si>
    <t>Send POST Request of valid Send Funds Local Fund Transfer via Intrabank/Instapay/PESONet. Check for mismatch status in Check Local Funds Transfer Details and Status API</t>
  </si>
  <si>
    <t>Check Local Funds Transfer Details and Status API returns the exact same status that exists in the API Portal Database, EWB Core, and rails</t>
  </si>
  <si>
    <t>Send POST Request of valid Send Funds Local Fund Transfer via Intrabank/Instapay/PESONet until transactions produces mismatch status.</t>
  </si>
  <si>
    <t>Status mismatch detected during automated reconciliation is automatically logged and raised to internal reconciliation teams.</t>
  </si>
  <si>
    <t>TS-EB-PRODUCTS-0166</t>
  </si>
  <si>
    <t>TS-EB-PRODUCTS-0166: Send Funds via Local Fund Transfer v1.0_Initiate Local Funds Transfer API_Verify all transaction status transitions are logged and auditable in the Dedicated External API Portal Database</t>
  </si>
  <si>
    <t>All status transitions are logged and auditable in the Dedicated External API Portal Database.</t>
  </si>
  <si>
    <t>Transaction is routed to Intrabank rail and completed immediately
Source Account debited in real-time
apiTxnRef is recorded in core system logs</t>
  </si>
  <si>
    <t>TS-EB-PRODUCTS-0168</t>
  </si>
  <si>
    <t>TS-EB-PRODUCTS-0168: Send Funds via Local Fund Transfer v1.0_Initiate Local Funds Transfer API_Verify that a valid Instapay fund transfer request is forwarded to EWB Core and processed via the InstaPay payment rail.</t>
  </si>
  <si>
    <t>Send POST Request of valid Send Funds Local Fund Transfer via Instapay</t>
  </si>
  <si>
    <t>Transaction is routed to InstaPay rail
Transaction is processed near realtime
apiTxnRef is propagated to downstream systems</t>
  </si>
  <si>
    <t>TS-EB-PRODUCTS-0169</t>
  </si>
  <si>
    <t>TS-EB-PRODUCTS-0169: Send Funds via Local Fund Transfer v1.0_Initiate Local Funds Transfer API_Verify that a valid PESONet fund transfer request is forwarded to EWB Core and queued or processed via the PESONet payment rail based on cut‑off times.</t>
  </si>
  <si>
    <t>Transaction is routed to PESOnet rail
Transaction is queued or processed according to cut‑off rules.
apiTxnRef is propagated to downstream systems</t>
  </si>
  <si>
    <t>Send POST Request of Send Funds Local Fund Transfer via Intrabank/Instapay/PESONet without valid access token</t>
  </si>
  <si>
    <t>API returns 401 Unauthorized
Error response includes errorCode, errorMessage, and errorDetails
Error message clearly indicates authentication failure
No transaction is created
Response is returned within ≤ 1 second</t>
  </si>
  <si>
    <t>Send POST Request of Send Funds Local Fund Transfer via Intrabank/Instapay/PESONet without valid access to the applicaiton</t>
  </si>
  <si>
    <t>API returns 403 Forbidden
Error message indicates lack of permission, subscription, or IP restriction
No processing is triggered in core or payment rail
Error is logged for audit</t>
  </si>
  <si>
    <t>TS-EB-PRODUCTS-0173</t>
  </si>
  <si>
    <t>TS-EB-PRODUCTS-0173: Send Funds via Local Fund Transfer v1.0_Initiate Local Funds Transfer API_Verify error response status of failed request due to invalid or incomplete request payload/details</t>
  </si>
  <si>
    <t>Send POST Request of Send Funds Local Fund Transfer via Intrabank/Instapay/PESONet using invalid or incomplete request payload details</t>
  </si>
  <si>
    <t>API returns 400 Bad Request
Error message identifies missing or invalid fields
Business rule or format violation is clearly described
No partial transaction is created</t>
  </si>
  <si>
    <t>TS-EB-PRODUCTS-0174</t>
  </si>
  <si>
    <t>TS-EB-PRODUCTS-0174: Send Funds via Local Fund Transfer v1.0_Initiate Local Funds Transfer API_Verify error response status of failed request when reusing an Idempotency‑Key with a different payload</t>
  </si>
  <si>
    <t>Resend POST Request of Send Funds Local Fund Transfer via Intrabank/Instapay/PESONet upon reusing the same idempotency key with a different payload</t>
  </si>
  <si>
    <t>API returns 409 Conflict
Error message indicates Idempotency‑Key reuse with a different request payload
No duplicate or conflicting transaction is created</t>
  </si>
  <si>
    <t>Send Failed (invalid parameters, headers, etc.) POST Request of Send Funds Local Fund Transfer via Intrabank/Instapay/PESONet</t>
  </si>
  <si>
    <t>Error response contains errorCode, errorMessage, and errorDetails (where applicable)
Error response is returned within ≤ 1 second</t>
  </si>
  <si>
    <t>TS-EB-PRODUCTS-0178</t>
  </si>
  <si>
    <t>TS-EB-PRODUCTS-0178: Send Funds via Local Fund Transfer v1.0_Initiate Local Funds Transfer API_Verify failed retry of a timed‑out local funds transfer request using the same idepotency key with a different payload</t>
  </si>
  <si>
    <t>Resubmitssion of transaction with same idempotency key with different payload is rejected
No new or duplicate transaction is created</t>
  </si>
  <si>
    <t>TS-EB-PRODUCTS-0179</t>
  </si>
  <si>
    <t>TS-EB-PRODUCTS-0179: Send Funds via Local Fund Transfer v1.0_Initiate Local Funds Transfer API_Verify retry behavior when attempting to resend an already completed local funds transfer request</t>
  </si>
  <si>
    <t>Original transaction result is returned
No reprocessing occurs
No duplicate transaction is created</t>
  </si>
  <si>
    <t>TS-EB-PRODUCTS-0180</t>
  </si>
  <si>
    <t>TS-EB-PRODUCTS-0180: Send Funds via Local Fund Transfer v1.0_Initiate Local Funds Transfer API_Verify behavior when retrying a timed‑out local funds transfer request using a new idempotency key</t>
  </si>
  <si>
    <t>Send Successful POST Request of Send Funds Local Fund Transfer via Intrabank/Instapay/PESONet using new and different idempotency key.</t>
  </si>
  <si>
    <t>Request is treated as a new transaction
New transaction is created and processed
Original transaction remains unchanged</t>
  </si>
  <si>
    <t>TS-EB-PRODUCTS-0181</t>
  </si>
  <si>
    <t>TS-EB-PRODUCTS-0181: Send Funds via Local Fund Transfer v1.0_Initiate Local Funds Transfer API_Verify behavior when retrying a timed‑out local funds transfer request using same idempotency key after 48 hrs TTL</t>
  </si>
  <si>
    <t>Send Successful POST Request of Send Funds Local Fund Transfer via Intrabank/Instapay/PESONet using unique idempotency key after 48 hrs TTL</t>
  </si>
  <si>
    <t>Request is treated as a new transaction
Current transaction is traced and original transaction remains unchanged</t>
  </si>
  <si>
    <t>Send POST Request of Send Funds Local Fund Transfer via Intrabank/Instapay/PESONet with successful authentication. Check DB if transaction is logged.</t>
  </si>
  <si>
    <t>All decisions are stored and available for audit, reconciliation, and compliance within the same request (logs written in &lt; 100 ms).</t>
  </si>
  <si>
    <t>Send POST Request of Send Funds Local Fund Transfer via Intrabank/Instapay/PESONet with failed authentication. Check DB if transaction created is logged.</t>
  </si>
  <si>
    <t>TS-EB-PRODUCTS-0184</t>
  </si>
  <si>
    <t>TS-EB-PRODUCTS-0184: Send Funds via Local Fund Transfer v1.0_Initiate Local Funds Transfer API_Verify that successful idempotency handling is logged</t>
  </si>
  <si>
    <t>Send Successful POST Request of Send Funds Local Fund Transfer via Intrabank/Instapay/PESONet with idempotency key validation. Check Idempotency logs in DB.</t>
  </si>
  <si>
    <t>TS-EB-PRODUCTS-0185</t>
  </si>
  <si>
    <t>TS-EB-PRODUCTS-0185: Send Funds via Local Fund Transfer v1.0_Initiate Local Funds Transfer API_Verify that status changes of transaction is logged</t>
  </si>
  <si>
    <t>Send Successful POST Request of Send Funds Local Fund Transfer via Intrabank/Instapay/PESONet with idempotency key validation. Check Status Changes logs in DB.</t>
  </si>
  <si>
    <t>All decisions are stored and available for audit, reconciliation, and compliance within the same request (logs written in &lt; 100 ms).
Initial Status: RECEIVED [202 Accepted]
Final Status: [COMPLETED 200 OK, FAILED 403 ]</t>
  </si>
  <si>
    <t>TS-EB-PRODUCTS-0186</t>
  </si>
  <si>
    <t>TS-EB-PRODUCTS-0186: Send Funds via Local Fund Transfer v1.0_Initiate Local Funds Transfer API_Verify that Transaction ID Generation is logged</t>
  </si>
  <si>
    <t>Send Successful POST Request of Send Funds Local Fund Transfer via Intrabank/Instapay/PESONet with idempotency key validation. Check Transaction ID generation logs in DB.</t>
  </si>
  <si>
    <t>TS-EB-PRODUCTS-0250</t>
  </si>
  <si>
    <t>TS-EB-PRODUCTS-0250: Send Funds via Local Fund Transfer v1.0_Initiate Local Funds Transfer API_Verify successful POST idempotency check when resending a non-existing idempotency key in Redis</t>
  </si>
  <si>
    <t>Send POST Request using previously not existing idempotency key</t>
  </si>
  <si>
    <t>Status 200 OK 
Request Body{    "idempotencyKey": "2234567890120",    "partnerId": "1234",    "endpoint": "1234"}
Response Body:{  "isDuplicate": true,  "isReplayed": false,  "requiresRePublish": false,  "payloadHash": null,  "ackResponse": null,  "apiTxnRef": null,  "message": "idempotency key is found"}
*No Data in MSSQL*Existing data on Redis</t>
  </si>
  <si>
    <t>TS-EB-PRODUCTS-0251</t>
  </si>
  <si>
    <t>TS-EB-PRODUCTS-0251: Send Funds via Local Fund Transfer v1.0_Initiate Local Funds Transfer API_Verify Successful initiation of a Local Funds Transfer via Instapay but Failed transaction upon rejected by Instapay due to target Bank/Wallet Account cannot ac</t>
  </si>
  <si>
    <t>Send POST Request of Send Funds via Local Fund Transfer for Instapay but Failed due to InstaPay rejection due to " target Bank/Wallet Account cannot accept transfers at the moment"</t>
  </si>
  <si>
    <t>Success Status 200 OK / 202 Accepted
Initial Status = RECEIVED
EWB API PORTAL
Status = FAILED_REJECTED
Respone Code = The rejection code from the Payment Rail [AC01, AC03, AM21]
Response Description: The transaction was rejected by the payment rail. This usually means there is an issue with the target bank or wallet account.
Transaction Handling: No action needed since this is already in its final state
Complete rejection code and description must be included into the API response and API Portal Database (for Client Hub viewing and Transaction Inquiry APIs)</t>
  </si>
  <si>
    <t>TS-EB-PRODUCTS-0252</t>
  </si>
  <si>
    <t>TS-EB-PRODUCTS-0252: Send Funds via Local Fund Transfer v1.0_Initiate Local Funds Transfer API_Verify Successful initiation of a Local Funds Transfer via PESONet but Failed transaction upon rejected by PESONet due to target Bank/Wallet Account cannot acc</t>
  </si>
  <si>
    <t>Send POST Request of Send Funds via Local Fund Transfer for PESONet but Failed due to PESONet rejection due to " target Bank/Wallet Account cannot accept transfers at the moment"</t>
  </si>
  <si>
    <t>TS-EB-PRODUCTS-0253</t>
  </si>
  <si>
    <t>TS-EB-PRODUCTS-0253: Send Funds via Local Fund Transfer v1.0_Initiate Local Funds Transfer API_Verify Successful initiation of a Local Funds Transfer via Instapay but Failed transaction upon rejected by Instapay due to suspect transactions/Unknown status</t>
  </si>
  <si>
    <t>Send POST Request of Send Funds via Local Fund Transfer for Instapay but Failed due to InstaPay rejection due to "Suspect transactions/Unknown status (RFI Timeout)"</t>
  </si>
  <si>
    <t>Success Status 200 OK / 202 Accepted
Initial Status = RECEIVED
EWB API PORTAL
Status = FAILED_RECON
Respone Code = The rejection code from the Payment Rail [DS24]
Response Description: The transaction has been accepted for processing, but the final status is not yet available. The transaction is subject for reconciliation.
Transaction Handling: These transactions should be picked up by the automated recon/status updates.
Complete rejection code and description must be included into the API response and API Portal Database (for Client Hub viewing and Transaction Inquiry APIs)</t>
  </si>
  <si>
    <t>TS-EB-PRODUCTS-0254</t>
  </si>
  <si>
    <t>TS-EB-PRODUCTS-0254: Send Funds via Local Fund Transfer v1.0_Initiate Local Funds Transfer API_Verify Successful initiation of a Local Funds Transfer via PESONet but Failed transaction upon rejected by PESONet due to suspect transactions/Unknown status
(R</t>
  </si>
  <si>
    <t>Send POST Request of Send Funds via Local Fund Transfer for PESONet but Failed due to PESONet rejection due to "Suspect transactions/Unknown status (RFI Timeout)"</t>
  </si>
  <si>
    <t>TS-EB-PRODUCTS-0255</t>
  </si>
  <si>
    <t>TS-EB-PRODUCTS-0255: Send Funds via Local Fund Transfer v1.0_Initiate Local Funds Transfer API_Verify Successful initiation of a Local Funds Transfer via Instapay but Failed transaction due to Payment Rail Timeout</t>
  </si>
  <si>
    <t>Send POST Request of Send Funds via Local Fund Transfer for Instapay but Failed due to InstaPay rejection due to "System Timeout on Instapay Rails with NO clear indication if the transaction pushed through or not (Payment Rail Timeout).</t>
  </si>
  <si>
    <t>Failed Status 500 Internal Server Error
EWB API PORTAL
Status = FAILED_RECON
Respone Code = The rejection code from the Payment Rail [AB03, NARR, FF02]
Response Description: The transaction has been accepted for processing, but the final status is not yet available. The transaction is subject for reconciliation.
Transaction Handling: These transactions should be picked up by the automated recon/status updates.
Complete rejection code and description must be included into the API response and API Portal Database (for Client Hub viewing and Transaction Inquiry APIs)</t>
  </si>
  <si>
    <t>TS-EB-PRODUCTS-0256</t>
  </si>
  <si>
    <t>TS-EB-PRODUCTS-0256: Send Funds via Local Fund Transfer v1.0_Initiate Local Funds Transfer API_Verify Successful initiation of a Local Funds Transfer via PESONet but Failed transaction due to Payment Rail Timeout</t>
  </si>
  <si>
    <t>Send POST Request of Send Funds via Local Fund Transfer for Instapay but Failed due to InstaPay rejection due to "System Timeout on Pesonet Rails with NO clear indication if the transaction pushed through or not (Payment Rail Timeout).</t>
  </si>
  <si>
    <t>TS-EB-PRODUCTS-0257</t>
  </si>
  <si>
    <t>TS-EB-PRODUCTS-0257: Send Funds via Local Fund Transfer v1.0_Initiate Local Funds Transfer API_Verify Successful initiation of a Local Funds Transfer via Instapay but Failed transaction due to Payment Rail Error, Errors due to EWB,Catch All</t>
  </si>
  <si>
    <t>Send POST Request of Send Funds via Local Fund Transfer for Instapay but Failed due to InstaPay rejection due to "Other Rejection Codes or Errors on EWB with clear indication that the transaction did not push through. (Payment Rail Error, Errors due to EWB, Catch All)</t>
  </si>
  <si>
    <t>Failed Status 500 Internal Server Error
EWB API PORTAL
Status = FAILED_REJECTED
Respone Code = The rejection code from the Payment Rail [9948, 9934, 9909, AB04, AM13, BE14]
Response Description: The transaction was rejected by the Payment Rail.
Transaction Handling: No action needed since this is already in its final state
Complete rejection code and description must be included into the API response and API Portal Database (for Client Hub viewing and Transaction Inquiry APIs)</t>
  </si>
  <si>
    <t>TS-EB-PRODUCTS-0258</t>
  </si>
  <si>
    <t>TS-EB-PRODUCTS-0258: Send Funds via Local Fund Transfer v1.0_Initiate Local Funds Transfer API_Verify Successful initiation of a Local Funds Transfer via PESONet but Failed transaction due to Payment Rail Error, Errors due to EWB,Catch All</t>
  </si>
  <si>
    <t>TS-EB-PRODUCTS-0259</t>
  </si>
  <si>
    <t>TS-EB-PRODUCTS-0259: Send Funds via Local Fund Transfer v1.0_Initiate Local Funds Transfer API_Verify Successful initiation of a Local Funds Transfer via Intrabank but Failed due to transaction not push through Catch All</t>
  </si>
  <si>
    <t>Send POST Request of Send Funds via Local Fund Transfer for Intrabank but Failed due to transaction not push through (Catch All)</t>
  </si>
  <si>
    <t>Failed Status 500 Internal Server Error
EWB API PORTAL
Status = FAILED_REJECTED
Respone Code = 500
Response Description: The transaction was rejected and cannot be processed at the moment.
Transaction Handling: No action needed since this is already in its final state
Complete rejection code and description must be included into the API response and API Portal Database (for Client Hub viewing and Transaction Inquiry APIs)</t>
  </si>
  <si>
    <t>TS-EB-PRODUCTS-0260</t>
  </si>
  <si>
    <t>TS-EB-PRODUCTS-0260: Send Funds via Local Fund Transfer v1.0_Initiate Local Funds Transfer API_Verify Successful initiation of a Local Funds Transfer accross all channels but Failed due to System Timeout on EWB Core 
with clear indication that the transac</t>
  </si>
  <si>
    <t>Send POST Request of Send Funds via Local Fund Transfer across all channels but Failed due to "System Timeout on EWB Core with clear indication that the transaction did not push through (T24, RTP, Intuition)"</t>
  </si>
  <si>
    <t>TS-EB-PRODUCTS-0261</t>
  </si>
  <si>
    <t>TS-EB-PRODUCTS-0261: Send Funds via Local Fund Transfer v1.0_Initiate Local Funds Transfer API_Verify Successful initiation of a Local Funds Transfer across all channels but Failed due to System Timeout on EWB Core 
with NO clear indication if tee transac</t>
  </si>
  <si>
    <t>Send POST Request of Send Funds via Local Fund Transfer across all channels but Failed due to "System Timeout on EWB Core with NO clear indication if the transaction pushed through or not (T24, RTP, Intuition)"</t>
  </si>
  <si>
    <t>Failed Status 500 Internal Server Error
EWB API PORTAL
Status = RECEIVED
Respone Code = 500
Response Description: The transaction has been accepted for processing, but the final status is not yet available. The transaction is subject for reconciliation.
Transaction Handling: These transactions should be picked up by the automated recon/status updates.
Complete rejection code and description must be included into the API response and API Portal Database (for Client Hub viewing and Transaction Inquiry APIs)</t>
  </si>
  <si>
    <t>TS-EB-PRODUCTS-0318</t>
  </si>
  <si>
    <t>TS-EB-PRODUCTS-0318: Send Funds via Local Fund Transfer v1.0_Initiate Local Funds Transfer API_Verify POST request of Different payload with the unique idempotency-key response</t>
  </si>
  <si>
    <t>Send POST Request using not existing idempotency key. Validate Redis</t>
  </si>
  <si>
    <t>Success 200 OK
{"apiTxnId": 20,"apiTxnRef": "60000000000010156580823","ewbCoreReference": null,"externalRailReference": null,"responseCode": "ACCEPTED","status": "PENDING","responseDescription": null,"createdTimestamp": "2026-06-01T14:50:41.0068888"}</t>
  </si>
  <si>
    <t>TS-EB-PRODUCTS-0319</t>
  </si>
  <si>
    <t>TS-EB-PRODUCTS-0319: Send Funds via Local Fund Transfer v1.0_Initiate Local Funds Transfer API_Verify if not existing idempotency is saved on Redis upon sending POST request</t>
  </si>
  <si>
    <t>API:
Request Body:{    "idempotencyKey": "2234567890120",    "partnerId": "1234",    "endpoint": "1234"}
Response Body: 
Error (idempotenct key not existing in mssql){    "status": "404",    "errors": [        {            "errorCode": "IDEMPOTENCY_NOT_FOUND",            "errorDescription": "Idempotency key is not existing in MSSQL and Redis"        }    ]}
Redis:
"idempotency:1234:1234:2234567890120"</t>
  </si>
  <si>
    <t>TS-EB-PRODUCTS-0144_2</t>
  </si>
  <si>
    <t>TS-EB-PRODUCTS-0144_2: Send Funds via Local Fund Transfer v1.0_Initiate Local Funds Transfer API_Verify that the request does not proceed when the source account is not registered as Client‑Owned in Client Hub.</t>
  </si>
  <si>
    <t>TS-EB-PRODUCTS-0144_3</t>
  </si>
  <si>
    <t>TS-EB-PRODUCTS-0144_3: Send Funds via Local Fund Transfer v1.0_Initiate Local Funds Transfer API_Verify that the request does not proceed when the source account is not registered as Client‑Owned in Client Hub.</t>
  </si>
  <si>
    <t>TS-EB-PRODUCTS-0144_4</t>
  </si>
  <si>
    <t>TS-EB-PRODUCTS-0144_4: Send Funds via Local Fund Transfer v1.0_Initiate Local Funds Transfer API_Verify that the request does not proceed when the source account is not registered as Client‑Owned in Client Hub.</t>
  </si>
  <si>
    <t>TS-EB-LIVE-PRODUCTS-0296</t>
  </si>
  <si>
    <t>TS-EB-LIVE-PRODUCTS-0296: Account Authentication via Access Token v1.0_Generate Account Access Token API_Verify Token generation for Client-Owned Account</t>
  </si>
  <si>
    <t>281090c6e2</t>
  </si>
  <si>
    <t>TS-EB-LIVE-PRODUCTS-0297_1</t>
  </si>
  <si>
    <t>TS-EB-LIVE-PRODUCTS-0297_1: Account Authentication via Access Token v1.0_Generate Account Access Token API_Verify send request with missing mandatory parameters</t>
  </si>
  <si>
    <t>TS-EB-LIVE-PRODUCTS-0297_2</t>
  </si>
  <si>
    <t>TS-EB-LIVE-PRODUCTS-0297_2: Account Authentication via Access Token v1.0_Generate Account Access Token API_Verify send request with missing mandatory parameters</t>
  </si>
  <si>
    <t>TS-EB-LIVE-PRODUCTS-0299</t>
  </si>
  <si>
    <t>TS-EB-LIVE-PRODUCTS-0299: Account Authentication via Access Token v1.0_Generate Account Access Token API_Verify successful POST Authentication using Client Owned Account with ACTIVE status and with valid client-id, client-secret, and partner-id</t>
  </si>
  <si>
    <t>TS-EB-LIVE-PRODUCTS-0300_1</t>
  </si>
  <si>
    <t>TS-EB-LIVE-PRODUCTS-0300_1: Account Authentication via Access Token v1.0_Generate Account Access Token API_Verify authentication token is usable in the next account-based API call within the expiry window</t>
  </si>
  <si>
    <t>TS-EB-LIVE-PRODUCTS-0301_1</t>
  </si>
  <si>
    <t>TS-EB-LIVE-PRODUCTS-0301_1: Account Authentication via Access Token v1.0_Generate Account Access Token API_Verify POST request using Invalid client credentials</t>
  </si>
  <si>
    <t>hemPVxAxU8QC6QlJuIKGQoPiP0dFdBzP</t>
  </si>
  <si>
    <t>TS-EB-LIVE-PRODUCTS-0301_2</t>
  </si>
  <si>
    <t>TS-EB-LIVE-PRODUCTS-0301_2: Account Authentication via Access Token v1.0_Generate Account Access Token API_Verify POST request using Invalid client credentials</t>
  </si>
  <si>
    <t>pLRFPZKifoRD00dj761QToHcieplqbbh</t>
  </si>
  <si>
    <t>TS-EB-LIVE-PRODUCTS-0301_3</t>
  </si>
  <si>
    <t>TS-EB-LIVE-PRODUCTS-0301_3: Account Authentication via Access Token v1.0_Generate Account Access Token API_Verify POST request using Invalid client credentials</t>
  </si>
  <si>
    <t>TS-EB-LIVE-PRODUCTS-0301_4</t>
  </si>
  <si>
    <t>TS-EB-LIVE-PRODUCTS-0301_4: Account Authentication via Access Token v1.0_Generate Account Access Token API_Verify POST request using Invalid client credentials</t>
  </si>
  <si>
    <t>TS-EB-LIVE-PRODUCTS-0302_1</t>
  </si>
  <si>
    <t>TS-EB-LIVE-PRODUCTS-0302_1: Account Authentication via Access Token v1.0_Generate Account Access Token API_Verify Send Request using Invalid Account Number</t>
  </si>
  <si>
    <t>TS-EB-LIVE-PRODUCTS-0302_2</t>
  </si>
  <si>
    <t>TS-EB-LIVE-PRODUCTS-0302_2: Account Authentication via Access Token v1.0_Generate Account Access Token API_Verify Send Request using Invalid Account Number</t>
  </si>
  <si>
    <t>TS-EB-LIVE-PRODUCTS-0304</t>
  </si>
  <si>
    <t>TS-EB-LIVE-PRODUCTS-0304: Account Authentication via Access Token v1.0_Generate Account Access Token API_Verify Send Request using Not Existing Account Number</t>
  </si>
  <si>
    <t>TS-EB-LIVE-PRODUCTS-0305</t>
  </si>
  <si>
    <t>TS-EB-LIVE-PRODUCTS-0305: Account Authentication via Access Token v1.0_Generate Account Access Token API_Verify Send Request using Malformed Account Number</t>
  </si>
  <si>
    <t>20O06I858667</t>
  </si>
  <si>
    <t>TS-EB-LIVE-PRODUCTS-0306</t>
  </si>
  <si>
    <t>TS-EB-LIVE-PRODUCTS-0306: Account Authentication via Access Token v1.0_Generate Account Access Token API_Validate POST Request using Valid values in Scope</t>
  </si>
  <si>
    <t>TS-EB-LIVE-PRODUCTS-0307</t>
  </si>
  <si>
    <t>TS-EB-LIVE-PRODUCTS-0307: Account Authentication via Access Token v1.0_Generate Account Access Token API_Validate POST Request using Invalid values in Scope</t>
  </si>
  <si>
    <t>receive-fund.initiate</t>
  </si>
  <si>
    <t>TS-EB-LIVE-PRODUCTS-0001: Account Authentication via Access Token v1.0_Generate Account Access Token API_Verify Successful API call with Valid Account Access Token</t>
  </si>
  <si>
    <t>TS-EB-LIVE-PRODUCTS-0002: Account Authentication via Access Token v1.0_Generate Account Access Token API_Verify API Call using Expired Account Access Token</t>
  </si>
  <si>
    <t>TS-EB-LIVE-PRODUCTS-0003: Account Authentication via Access Token v1.0_Generate Account Access Token API_Verify API Call using Exceeding/Fewer Account Access Token</t>
  </si>
  <si>
    <t>TS-EB-LIVE-PRODUCTS-0004: Account Authentication via Access Token v1.0_Generate Account Access Token API_Verify API Call without Valid Account Access Token</t>
  </si>
  <si>
    <t>TS-EB-LIVE-PRODUCTS-0005: Account Authentication via Access Token v1.0_Generate Account Access Token API_Verify API Call using malformed Account Access Token</t>
  </si>
  <si>
    <t>TS-EB-LIVE-PRODUCTS-0006: Account Authentication via Access Token v1.0_Generate Account Access Token API_Verify API Call using Token used with different client credentials</t>
  </si>
  <si>
    <t>hemPVxAxU8QC6QlJuS5GQoPiP0dFdBZk</t>
  </si>
  <si>
    <t>pLRFPZKifoRD00dj761QToHciekWqbhI</t>
  </si>
  <si>
    <t>281090c6e5</t>
  </si>
  <si>
    <t>TS-EB-LIVE-S7-PRODUCTS-0004</t>
  </si>
  <si>
    <t>TS-EB-LIVE-S7-PRODUCTS-0004: Account Authentication via Access Token v1.0_Generate Account Access Token API_Verify if access token generated by Live can be used on other environments</t>
  </si>
  <si>
    <t>1. Generate Access Token using Auth API via Live environment
2. Use the Access Token to other API's with different environments</t>
  </si>
  <si>
    <t>1. Access token is generated:
{
    ""accessToken"": ""52N8qO9rbr7veEWcEbPWqZ4FSd2YyE2i"",
    ""tokenType"": ""bearer"",
    ""expiresIn"": 3600,
    ""authId"": ""auth-18bcfcea-4478-4bba-8810-8bd2a1bd3165""
}
2. Request Action should be restricted. Access token should only be accessible per Environment 
Sample:
Auth API [Live] -&gt; LFT/Check Status [Test/Sandbox]
403 Forbidden</t>
  </si>
  <si>
    <t>TS-EB-LIVE-S7-PRODUCTS-0005</t>
  </si>
  <si>
    <t>TS-EB-LIVE-S7-PRODUCTS-0005: Account Authentication via Access Token v1.0_Generate Account Access Token API_Verify if access token generated by specific client partner (A) can also be used by the other partner client (B)</t>
  </si>
  <si>
    <t>TS-EB-LIVE-PRODUCTS-0300</t>
  </si>
  <si>
    <t>TS-EB-LIVE-PRODUCTS-0300: Account Authentication via Access Token v1.0_Generate Account Access Token API_Verify status in Database of successful Client Owned Account Authentication</t>
  </si>
  <si>
    <t>TS-EB-LIVE-PRODUCTS-0298</t>
  </si>
  <si>
    <t>TS-EB-LIVE-PRODUCTS-0298: Account Authentication via Access Token v1.0_Generate Account Access Token API_Verify send request from an IP not whitelisted for the application</t>
  </si>
  <si>
    <t>TS-EB-LIVE-PRODUCTS-0257</t>
  </si>
  <si>
    <t>TS-EB-LIVE-PRODUCTS-0257: Send Funds via Local Fund Transfer v1.0 _Get Supported Banks and Wallets API_Verify successful GET request of Get Supported Banks and Wallets API</t>
  </si>
  <si>
    <t>7902f971-6452-469f-85c5-b0d8379edf38</t>
  </si>
  <si>
    <t>TS-EB-LIVE-PRODUCTS-0258</t>
  </si>
  <si>
    <t>TS-EB-LIVE-PRODUCTS-0258: Send Funds via Local Fund Transfer v1.0 _Get Supported Banks and Wallets API_Verify when Optional field "Transfer Network" (channel) is not provided to filter Financial Institutions</t>
  </si>
  <si>
    <t>TS-EB-LIVE-PRODUCTS-0259</t>
  </si>
  <si>
    <t>TS-EB-LIVE-PRODUCTS-0259: Send Funds via Local Fund Transfer v1.0 _Get Supported Banks and Wallets API_Verify when the “Transfer Network” (channel) is set to Instapay, the API returns only Financial Institutions that support Instapay transfers</t>
  </si>
  <si>
    <t>InstaPay</t>
  </si>
  <si>
    <t>TS-EB-LIVE-PRODUCTS-0260</t>
  </si>
  <si>
    <t>TS-EB-LIVE-PRODUCTS-0260: Send Funds via Local Fund Transfer v1.0 _Get Supported Banks and Wallets API_Verify when the “Transfer Network” (channel) is set to PESONet, the API returns only Financial Institutions that support PESONet transfers</t>
  </si>
  <si>
    <t>PESONet</t>
  </si>
  <si>
    <t>TS-EB-LIVE-PRODUCTS-0261</t>
  </si>
  <si>
    <t>TS-EB-LIVE-PRODUCTS-0261: Send Funds via Local Fund Transfer v1.0 _Get Supported Banks and Wallets API_Verify when the “Transfer Network” (channel) is set to specific and API returns only Financial Institutions that support both transfers</t>
  </si>
  <si>
    <t>TS-EB-LIVE-PRODUCTS-0262</t>
  </si>
  <si>
    <t>TS-EB-LIVE-PRODUCTS-0262: Send Funds via Local Fund Transfer v1.0 _Get Supported Banks and Wallets API_Verify failed GET request when an unsupported channel value is provided</t>
  </si>
  <si>
    <t>ABC</t>
  </si>
  <si>
    <t>TS-EB-LIVE-PRODUCTS-0263</t>
  </si>
  <si>
    <t>TS-EB-LIVE-PRODUCTS-0263: Send Funds via Local Fund Transfer v1.0_Get Supported Banks and Wallets API_Verify failed GET request when api-key is null/missing</t>
  </si>
  <si>
    <t>TS-EB-LIVE-PRODUCTS-0264</t>
  </si>
  <si>
    <t>TS-EB-LIVE-PRODUCTS-0264: Send Funds via Local Fund Transfer v1.0_Get Supported Banks and Wallets API_Verify failed GET request when partnerID is null/missing</t>
  </si>
  <si>
    <t>TS-EB-LIVE-PRODUCTS-0265</t>
  </si>
  <si>
    <t>TS-EB-LIVE-PRODUCTS-0265: Send Funds via Local Fund Transfer v1.0_Get Supported Banks and Wallets API_Verify failed GET request when api-key is incorrect</t>
  </si>
  <si>
    <t>KPEgf6fjIHDaT0HByFjWD49cQWdphJPOl</t>
  </si>
  <si>
    <t>TS-EB-LIVE-PRODUCTS-0266</t>
  </si>
  <si>
    <t>TS-EB-LIVE-PRODUCTS-0266: Send Funds via Local Fund Transfer v1.0_Get Supported Banks and Wallets API_Verify failed GET request when partnerid is incorrect</t>
  </si>
  <si>
    <t>281080c6e2</t>
  </si>
  <si>
    <t>TS-EB-LIVE-PRODUCTS-0267</t>
  </si>
  <si>
    <t>TS-EB-LIVE-PRODUCTS-0267: Send Funds via Local Fund Transfer v1.0_Get Supported Banks and Wallets API_Verify failed GET request when application is not subscribed to the API product</t>
  </si>
  <si>
    <t>gFCwuSzXOFitnQHMkwy6C0KblBNIeELI</t>
  </si>
  <si>
    <t>TS-EB-SB-PRODUCTS-0268</t>
  </si>
  <si>
    <t>TS-EB-LIVE-PRODUCTS-0268: Send Funds via Local Fund Transfer v1.0_Get Supported Banks and Wallets API_Verify disabled institutions are clearly indicated and not misrepresented as available</t>
  </si>
  <si>
    <t>TS-EB-SB-PRODUCTS-0269</t>
  </si>
  <si>
    <t>TS-EB-LIVE-PRODUCTS-0269: Send Funds via Local Fund Transfer v1.0_Get Supported Banks and Wallets API_Verify response processsing time of successful GET request of Get Supported Banks and Wallets API</t>
  </si>
  <si>
    <t>TS-EB-PRODUCTS-0270_1</t>
  </si>
  <si>
    <t>TS-EB-LIVE-PRODUCTS-0270_1: Send Funds via Local Fund Transfer v1.0_Get Supported Banks and Wallets API_Verify response processsing time of failed GET request of Get Supported Banks and Wallets API</t>
  </si>
  <si>
    <t>BinaryPay</t>
  </si>
  <si>
    <t>TS-EB-PRODUCTS-0270_2</t>
  </si>
  <si>
    <t>TS-EB-LIVE-PRODUCTS-0270_2: Send Funds via Local Fund Transfer v1.0_Get Supported Banks and Wallets API_Verify response processsing time of failed GET request of Get Supported Banks and Wallets API</t>
  </si>
  <si>
    <t>TS-EB-PRODUCTS-0270_3</t>
  </si>
  <si>
    <t>TS-EB-LIVE-PRODUCTS-0270_3: Send Funds via Local Fund Transfer v1.0_Get Supported Banks and Wallets API_Verify response processsing time of failed GET request of Get Supported Banks and Wallets API</t>
  </si>
  <si>
    <t>TS-EB-PRODUCTS-0270_4</t>
  </si>
  <si>
    <t>TS-EB-LIVE-PRODUCTS-0270_4: Send Funds via Local Fund Transfer v1.0_Get Supported Banks and Wallets API_Verify response processsing time of failed GET request of Get Supported Banks and Wallets API</t>
  </si>
  <si>
    <t>TS-EB-PRODUCTS-0270_5</t>
  </si>
  <si>
    <t>TS-EB-LIVE-PRODUCTS-0270_5: Send Funds via Local Fund Transfer v1.0_Get Supported Banks and Wallets API_Verify response processsing time of failed GET request of Get Supported Banks and Wallets API</t>
  </si>
  <si>
    <t>TS-EB-PRODUCTS-0270_6</t>
  </si>
  <si>
    <t>TS-EB-LIVE-PRODUCTS-0270_6: Send Funds via Local Fund Transfer v1.0_Get Supported Banks and Wallets API_Verify response processsing time of failed GET request of Get Supported Banks and Wallets API</t>
  </si>
  <si>
    <t>TS-EB-LIVE-PRODUCTS-0187</t>
  </si>
  <si>
    <t>TS-EB-LIVE-PRODUCTS-0187: Send Funds via Local Fund Transfer v1.0 _Check Local Funds Transfer Details and Status API_Verify successful GET request of Check Local Fund Transfer Details and Status API for Intrabank</t>
  </si>
  <si>
    <t>Status HTTP 200 OK [within ≤ 1 second (1000 ms)]
Response Body: 
apiTxnId
apiTxnRef 
ewbCoreReference
status = always "RECEIVED"
responseCode
responseDescription
createdTimestamp
updatedTimestamp</t>
  </si>
  <si>
    <t>f657904f-0b89-4872-8605-4d602343866d</t>
  </si>
  <si>
    <t>TS-EB-LIVE-PRODUCTS-0188</t>
  </si>
  <si>
    <t>TS-EB-LIVE-PRODUCTS-0188: Send Funds via Local Fund Transfer v1.0 _Check Local Funds Transfer Details and Status API_Verify successful GET request of Check Local Fund Transfer Details and Status API but failed transaction due to Inactive receiving EWB Acc</t>
  </si>
  <si>
    <t>HTTP Code = 200
STATUS = FAILED_REJECTED
Response Code = 403 
Response Description = The transaction was rejected by the payment rail. This usually means there is an issue with the target bank account.
Transaction Handling = No action needed since this is already the final state
- must be included in API Portal Database</t>
  </si>
  <si>
    <t>TS-EB-LIVE-PRODUCTS-0192</t>
  </si>
  <si>
    <t>TS-EB-LIVE-PRODUCTS-0192: Send Funds via Local Fund Transfer v1.0 _Check Local Funds Transfer Details and Status API_Verify failed GET request of Check Local Fund Transfer Details and Status API due to invalid partner-id parameters via Intrabank transfer</t>
  </si>
  <si>
    <t>TS-EB-LIVE-PRODUCTS-0194</t>
  </si>
  <si>
    <t>TS-EB-LIVE-PRODUCTS-0194: Send Funds via Local Fund Transfer v1.0 _Check Local Funds Transfer Details and Status API_Verify failed GET request of Check Local Fund Transfer Details and Status API due to wrong scope or ownership via Intrabank</t>
  </si>
  <si>
    <t>TS-EB-LIVE-PRODUCTS-0195</t>
  </si>
  <si>
    <t>TS-EB-LIVE-PRODUCTS-0195: Send Funds via Local Fund Transfer v1.0 _Check Local Funds Transfer Details and Status API_Verify Check Local Fund Transfer Details and Status API when transaction is not yet in its final status (COMPLETED/FAILED)</t>
  </si>
  <si>
    <t>API should trigger a status check with the core/downstream systems when invoked
Initial Status:
"status": "RECEIVED"</t>
  </si>
  <si>
    <t>TS-EB-LIVE-PRODUCTS-0196</t>
  </si>
  <si>
    <t>TS-EB-LIVE-PRODUCTS-0196: Send Funds via Local Fund Transfer v1.0 _Check Local Funds Transfer Details and Status API_Verify successful retrieval of local funds transfer details using a valid idempotency key Intrabank</t>
  </si>
  <si>
    <t>API returns 200 OK status
Full transaction details and latest status are returned
Response Body: 
apiTxnId
apiTxnRef 
ewbCoreReference
status = always "RECEIVED"
responseCode
responseDescription
createdTimestamp
updatedTimestamp</t>
  </si>
  <si>
    <t>TS-EB-LIVE-PRODUCTS-0197</t>
  </si>
  <si>
    <t>TS-EB-LIVE-PRODUCTS-0197: Send Funds via Local Fund Transfer v1.0 _Check Local Funds Transfer Details and Status API_Verify failed retrieval of local funds transfer details using a non‑existing idempotency key via Intrabank</t>
  </si>
  <si>
    <t>Send GET Request of Check Local Fund Transfer Details and Status API using not existing idempotency-key via Intrabank</t>
  </si>
  <si>
    <t>TS-EB-LIVE-PRODUCTS-0198</t>
  </si>
  <si>
    <t>TS-EB-LIVE-PRODUCTS-0198: Send Funds via Local Fund Transfer v1.0 _Check Local Funds Transfer Details and Status API_Verify failed retrieval of local funds transfer details using an invalid idempotency key format via Intrabank</t>
  </si>
  <si>
    <t>TS-EB-LIVE-PRODUCTS-0199</t>
  </si>
  <si>
    <t>TS-EB-LIVE-PRODUCTS-0199: Send Funds via Local Fund Transfer v1.0 _Check Local Funds Transfer Details and Status API_Verify failed retrieval of local funds transfer details due to ownership validation failure</t>
  </si>
  <si>
    <t>TS-EB-LIVE-PRODUCTS-0200</t>
  </si>
  <si>
    <t>TS-EB-LIVE-PRODUCTS-0200: Send Funds via Local Fund Transfer v1.0 _Check Local Funds Transfer Details and Status API_Verify successful GET request of Local Fund Transfer (Transaction Details) upon providing Valid API-Txn-ID via Intrabank</t>
  </si>
  <si>
    <t>TS-EB-LIVE-PRODUCTS-0201</t>
  </si>
  <si>
    <t>TS-EB-LIVE-PRODUCTS-0201: Send Funds via Local Fund Transfer v1.0 _Check Local Funds Transfer Details and Status API_Verify failed GET request of Local Fund Transfer (Transaction Details) upon providing Invalid format API-Txn-ID via Intrabank</t>
  </si>
  <si>
    <t>TS-EB-LIVE-PRODUCTS-0202</t>
  </si>
  <si>
    <t>TS-EB-LIVE-PRODUCTS-0202: Send Funds via Local Fund Transfer v1.0 _Check Local Funds Transfer Details and Status API_Verify failed GET request of Local Fund Transfer (Transaction Details) upon providing Not Existing API-Txn-ID via Intrabank</t>
  </si>
  <si>
    <t>The API returns an error message:
Status 400 Bad Request/404 Not Found
statusDescription</t>
  </si>
  <si>
    <t>TS-EB-LIVE-PRODUCTS-0203</t>
  </si>
  <si>
    <t>TS-EB-LIVE-PRODUCTS-0203: Send Funds via Local Fund Transfer v1.0 _Check Local Funds Transfer Details and Status API_Verify successful GET request of Local Fund Transfer (Transaction Details) upon providing valid API-Txn-Ref via Intrabank</t>
  </si>
  <si>
    <t>Send GET Request of Check Local Fund Transfer Details and Status API using Valid Transaction ID (API-Txn-Ref) via Intrabank</t>
  </si>
  <si>
    <t>TS-EB-LIVE-PRODUCTS-0204</t>
  </si>
  <si>
    <t>TS-EB-LIVE-PRODUCTS-0204: Send Funds via Local Fund Transfer v1.0 _Check Local Funds Transfer Details and Status API_Verify failed GET request of Local Fund Transfer (Transaction Details) upon providing Not Existing API-Txn-Ref via Intrabank</t>
  </si>
  <si>
    <t>TS-EB-LIVE-PRODUCTS-0205</t>
  </si>
  <si>
    <t>TS-EB-LIVE-PRODUCTS-0205: Send Funds via Local Fund Transfer v1.0 _Check Local Funds Transfer Details and Status API_Verify failed GET request of Local Fund Transfer (Transaction Details) upon providing Exceeding to 23 digits of API-Txn-Ref via Intrabank</t>
  </si>
  <si>
    <t>TS-EB-LIVE-PRODUCTS-0206</t>
  </si>
  <si>
    <t>TS-EB-LIVE-PRODUCTS-0206: Send Funds via Local Fund Transfer v1.0 _Check Local Funds Transfer Details and Status API_Verify failed GET request of Local Fund Transfer (Transaction Details) upon providing fewer than 23 digits of API-Txn-Ref via Intrabank</t>
  </si>
  <si>
    <t>TS-EB-LIVE-PRODUCTS-0207</t>
  </si>
  <si>
    <t>TS-EB-LIVE-PRODUCTS-0207: Send Funds via Local Fund Transfer v1.0 _Check Local Funds Transfer Details and Status API_Verify failed GET request of Local Fund Transfer (Transaction Details) upon not providing API-Txn-Ref (Blank) via Intrabank</t>
  </si>
  <si>
    <t>TS-EB-LIVE-PRODUCTS-0208</t>
  </si>
  <si>
    <t>TS-EB-LIVE-PRODUCTS-0208: Send Funds via Local Fund Transfer v1.0 _Check Local Funds Transfer Details and Status API_Verify successful GET request of Local Fund Transfer (Transaction Details) upon providing Application ID linked with Partner ID via Intrab</t>
  </si>
  <si>
    <t>TS-EB-LIVE-PRODUCTS-0209</t>
  </si>
  <si>
    <t>TS-EB-LIVE-PRODUCTS-0209: Send Funds via Local Fund Transfer v1.0 _Check Local Funds Transfer Details and Status API_Verify failed GET request of upon providing Application ID linked with Partner ID but didn't pass the ownership validation via Intrabank</t>
  </si>
  <si>
    <t>TS-EB-LIVE-PRODUCTS-0222</t>
  </si>
  <si>
    <t>TS-EB-LIVE-PRODUCTS-0222: Send Funds via Local Fund Transfer v1.0 _Check Local Funds Transfer Details and Status API_Verify successful GET request of Check Local Fund Transfer Details and Status API for InstaPay</t>
  </si>
  <si>
    <t>TS-EB-LIVE-PRODUCTS-0223</t>
  </si>
  <si>
    <t>TS-EB-LIVE-PRODUCTS-0223: Send Funds via Local Fund Transfer v1.0 _Check Local Funds Transfer Details and Status API_Verify successful GET request of Check Local Fund Transfer Details and Status API for PESONet</t>
  </si>
  <si>
    <t>TS-EB-LIVE-PRODUCTS-0224</t>
  </si>
  <si>
    <t>TS-EB-LIVE-PRODUCTS-0225</t>
  </si>
  <si>
    <t>TS-EB-LIVE-PRODUCTS-0225: Send Funds via Local Fund Transfer v1.0 _Check Local Funds Transfer Details and Status API_Verify failed GET request of Check Local Fund Transfer Details and Status API due to invalid partner-id parameters via PESONet transfer</t>
  </si>
  <si>
    <t>TS-EB-LIVE-PRODUCTS-0226</t>
  </si>
  <si>
    <t>TS-EB-LIVE-PRODUCTS-0226: Send Funds via Local Fund Transfer v1.0 _Check Local Funds Transfer Details and Status API_Verify failed GET request of Check Local Fund Transfer Details and Status API due to invalid client-credentials parameters via InstaPay</t>
  </si>
  <si>
    <t>responseCode (Status HTTP 401 Unauthorized[within ≤ 1 second (1000 ms)]}and responseDescription
- must be included in API Portal Database
Update: client-credentials is not mandatory</t>
  </si>
  <si>
    <t>TS-EB-LIVE-PRODUCTS-0227</t>
  </si>
  <si>
    <t>TS-EB-LIVE-PRODUCTS-0227: Send Funds via Local Fund Transfer v1.0 _Check Local Funds Transfer Details and Status API_Verify failed GET request of Check Local Fund Transfer Details and Status API due to invalid client-credentials parameters via PESONet</t>
  </si>
  <si>
    <t>responseCode (Status HTTP 401 Unauthorized[within ≤ 1 second (1000 ms)]}and responseDescription
- must be included in API Portal Database
UPDATE: client-credentials are set as non-mandatory</t>
  </si>
  <si>
    <t>TS-EB-LIVE-PRODUCTS-0228</t>
  </si>
  <si>
    <t>TS-EB-LIVE-PRODUCTS-0228: Send Funds via Local Fund Transfer v1.0 _Check Local Funds Transfer Details and Status API_Verify failed GET request of Check Local Fund Transfer Details and Status API due to wrong scope or ownership via InstaPay</t>
  </si>
  <si>
    <t>TS-EB-LIVE-PRODUCTS-0229</t>
  </si>
  <si>
    <t>TS-EB-LIVE-PRODUCTS-0229: Send Funds via Local Fund Transfer v1.0 _Check Local Funds Transfer Details and Status API_Verify failed GET request of Check Local Fund Transfer Details and Status API due to wrong scope or ownership via PESONet</t>
  </si>
  <si>
    <t>TS-EB-LIVE-PRODUCTS-0230</t>
  </si>
  <si>
    <t>TS-EB-LIVE-PRODUCTS-0230: Send Funds via Local Fund Transfer v1.0 _Check Local Funds Transfer Details and Status API_Verify successful retrieval of local funds transfer details using a valid idempotency key InstaPay</t>
  </si>
  <si>
    <t>TS-EB-LIVE-PRODUCTS-0231</t>
  </si>
  <si>
    <t>TS-EB-LIVE-PRODUCTS-0231: Send Funds via Local Fund Transfer v1.0 _Check Local Funds Transfer Details and Status API_Verify successful retrieval of local funds transfer details using a valid idempotency key PESONet</t>
  </si>
  <si>
    <t>TS-EB-LIVE-PRODUCTS-0232</t>
  </si>
  <si>
    <t>TS-EB-LIVE-PRODUCTS-0232: Send Funds via Local Fund Transfer v1.0 _Check Local Funds Transfer Details and Status API_Verify failed retrieval of local funds transfer details using a non‑existent idempotency key via InstaPay</t>
  </si>
  <si>
    <t>TS-EB-LIVE-PRODUCTS-0233</t>
  </si>
  <si>
    <t>TS-EB-LIVE-PRODUCTS-0233: Send Funds via Local Fund Transfer v1.0 _Check Local Funds Transfer Details and Status API_Verify failed retrieval of local funds transfer details using a non‑existent idempotency key via PESONet</t>
  </si>
  <si>
    <t>TS-EB-LIVE-PRODUCTS-0234</t>
  </si>
  <si>
    <t>TS-EB-LIVE-PRODUCTS-0234: Send Funds via Local Fund Transfer v1.0 _Check Local Funds Transfer Details and Status API_Verify failed retrieval of local funds transfer details using an invalid idempotency key format via instaPay</t>
  </si>
  <si>
    <t>TS-EB-LIVE-PRODUCTS-0235</t>
  </si>
  <si>
    <t>TS-EB-LIVE-PRODUCTS-0235: Send Funds via Local Fund Transfer v1.0 _Check Local Funds Transfer Details and Status API_Verify failed retrieval of local funds transfer details using an invalid idempotency key format via PESONet</t>
  </si>
  <si>
    <t>TS-EB-LIVE-PRODUCTS-0236</t>
  </si>
  <si>
    <t>TS-EB-LIVE-PRODUCTS-0236: Send Funds via Local Fund Transfer v1.0 _Check Local Funds Transfer Details and Status API_Verify successful GET request of Local Fund Transfer (Transaction Details) upon providing Valid API-Txn-ID via InstaPay</t>
  </si>
  <si>
    <t>Status HTTP 200 OK [within ≤ 1 second (1000 ms)]
Response Body: 
apiTxnId
apiTxnRef 
ewbCoreReference
externalRailReference(InstaPay)
status = always "RECEIVED"
responseCode
responseDescription
createdTimestamp
updatedTimestamp</t>
  </si>
  <si>
    <t>TS-EB-LIVE-PRODUCTS-0237</t>
  </si>
  <si>
    <t>TS-EB-LIVE-PRODUCTS-0237: Send Funds via Local Fund Transfer v1.0 _Check Local Funds Transfer Details and Status API_Verify successful GET request of Local Fund Transfer (Transaction Details) upon providing Valid API-Txn-ID via PESONet</t>
  </si>
  <si>
    <t>Status HTTP 200 OK [within ≤ 1 second (1000 ms)]
Response Body: 
apiTxnId
apiTxnRef 
ewbCoreReference
externalRailReference(PESONet)
status = always "RECEIVED"
responseCode
responseDescription
createdTimestamp
updatedTimestamp</t>
  </si>
  <si>
    <t>TS-EB-LIVE-PRODUCTS-0238</t>
  </si>
  <si>
    <t>TS-EB-LIVE-PRODUCTS-0238: Send Funds via Local Fund Transfer v1.0 _Check Local Funds Transfer Details and Status API_Verify failed GET request of Local Fund Transfer (Transaction Details) upon providing Invalid format API-Txn-ID via InstaPay</t>
  </si>
  <si>
    <t>TS-EB-LIVE-PRODUCTS-0239</t>
  </si>
  <si>
    <t>TS-EB-LIVE-PRODUCTS-0239: Send Funds via Local Fund Transfer v1.0 _Check Local Funds Transfer Details and Status API_Verify failed GET request of Local Fund Transfer (Transaction Details) upon providing Invalid format API-Txn-ID via PESONet</t>
  </si>
  <si>
    <t>TS-EB-LIVE-PRODUCTS-0240</t>
  </si>
  <si>
    <t>TS-EB-LIVE-PRODUCTS-0240: Send Funds via Local Fund Transfer v1.0 _Check Local Funds Transfer Details and Status API_Verify failed GET request of Local Fund Transfer (Transaction Details) upon providing Not Existing API-Txn-ID via InstaPay</t>
  </si>
  <si>
    <t>TS-EB-LIVE-PRODUCTS-0241</t>
  </si>
  <si>
    <t>TS-EB-LIVE-PRODUCTS-0241: Send Funds via Local Fund Transfer v1.0 _Check Local Funds Transfer Details and Status API_Verify failed GET request of Local Fund Transfer (Transaction Details) upon providing Not Existing API-Txn-ID via PESONet</t>
  </si>
  <si>
    <t>TS-EB-LIVE-PRODUCTS-0242</t>
  </si>
  <si>
    <t>TS-EB-LIVE-PRODUCTS-0242: Send Funds via Local Fund Transfer v1.0 _Check Local Funds Transfer Details and Status API_Verify successful GET request of Local Fund Transfer (Transaction Details) upon providing valid API-Txn-Ref via InstaPay</t>
  </si>
  <si>
    <t>Status HTTP 200 OK [within ≤ 1 second (1000 ms)]
Response Body: 
apiTxnId
apiTxnRef 
ewbCoreReference
externalRailReference (InstaPay)
status = always "RECEIVED"
responseCode
responseDescription
createdTimestamp
updatedTimestamp</t>
  </si>
  <si>
    <t>TS-EB-LIVE-PRODUCTS-0243</t>
  </si>
  <si>
    <t>TS-EB-LIVE-PRODUCTS-0243: Send Funds via Local Fund Transfer v1.0 _Check Local Funds Transfer Details and Status API_Verify successful GET request of Local Fund Transfer (Transaction Details) upon providing valid API-Txn-Ref via PESONet</t>
  </si>
  <si>
    <t>Status HTTP 200 OK [within ≤ 1 second (1000 ms)]
Response Body: 
apiTxnId
apiTxnRef 
ewbCoreReference
externalRailReference (PESONet)
status = always "RECEIVED"
responseCode
responseDescription
createdTimestamp
updatedTimestamp</t>
  </si>
  <si>
    <t>TS-EB-LIVE-PRODUCTS-0244</t>
  </si>
  <si>
    <t>TS-EB-LIVE-PRODUCTS-0244: Send Funds via Local Fund Transfer v1.0 _Check Local Funds Transfer Details and Status API_Verify failed GET request of Local Fund Transfer (Transaction Details) upon providing Not Existing API-Txn-Ref via InstaPay</t>
  </si>
  <si>
    <t>Send GET Request of Check Local Fund Transfer Details and Status API using Not Existing Transaction ID (API-Txn-Ref) via InstaPay</t>
  </si>
  <si>
    <t>The API returns an error message as the transaction details of provided transaction reference is not existing. 
Status: 400 Bad Request / 404 Not Found
statusDescription</t>
  </si>
  <si>
    <t>TS-EB-LIVE-PRODUCTS-0245</t>
  </si>
  <si>
    <t>TS-EB-LIVE-PRODUCTS-0245: Send Funds via Local Fund Transfer v1.0 _Check Local Funds Transfer Details and Status API_Verify failed GET request of Local Fund Transfer (Transaction Details) upon providing Not Existing API-Txn-Ref via PESONet</t>
  </si>
  <si>
    <t>Send GET Request of Check Local Fund Transfer Details and Status API using Not Existing Transaction ID (API-Txn-Ref) via PESONet</t>
  </si>
  <si>
    <t>TS-EB-LIVE-PRODUCTS-0246</t>
  </si>
  <si>
    <t>TS-EB-LIVE-PRODUCTS-0246: Send Funds via Local Fund Transfer v1.0 _Check Local Funds Transfer Details and Status API_Verify failed GET request of Local Fund Transfer (Transaction Details) upon providing Exceeding to 23 digits of API-Txn-Ref via InstaPay</t>
  </si>
  <si>
    <t>Send GET Request of Check Local Fund Transfer Details and Status API using exceeding to 23-digits Transaction ID (API-Txn-Ref) via InstaPay</t>
  </si>
  <si>
    <t>TS-EB-LIVE-PRODUCTS-0247</t>
  </si>
  <si>
    <t>TS-EB-LIVE-PRODUCTS-0247: Send Funds via Local Fund Transfer v1.0 _Check Local Funds Transfer Details and Status API_Verify failed GET request of Local Fund Transfer (Transaction Details) upon providing Exceeding to 23 digits of API-Txn-Ref via PESONet</t>
  </si>
  <si>
    <t>TS-EB-LIVE-PRODUCTS-0248</t>
  </si>
  <si>
    <t>TS-EB-LIVE-PRODUCTS-0248: Send Funds via Local Fund Transfer v1.0 _Check Local Funds Transfer Details and Status API_Verify failed GET request of Local Fund Transfer (Transaction Details) upon providing fewer than 23 digits of API-Txn-Ref via InstaPay</t>
  </si>
  <si>
    <t>Send GET Request of Check Local Fund Transfer Details and Status API using fewer than 23-digits Transaction ID (API-Txn-Ref) via InstaPay</t>
  </si>
  <si>
    <t>TS-EB-LIVE-PRODUCTS-0249</t>
  </si>
  <si>
    <t>TS-EB-LIVE-PRODUCTS-0249: Send Funds via Local Fund Transfer v1.0 _Check Local Funds Transfer Details and Status API_Verify failed GET request of Local Fund Transfer (Transaction Details) upon providing fewer than 23 digits of API-Txn-Ref via PESONet</t>
  </si>
  <si>
    <t>Send GET Request of Check Local Fund Transfer Details and Status API using fewer than 23-digits Transaction ID (API-Txn-Ref) via PESONet</t>
  </si>
  <si>
    <t>TS-EB-LIVE-PRODUCTS-0250</t>
  </si>
  <si>
    <t>TS-EB-LIVE-PRODUCTS-0250: Send Funds via Local Fund Transfer v1.0 _Check Local Funds Transfer Details and Status API_Verify failed GET request of Local Fund Transfer (Transaction Details) upon not providing API-Txn-Ref (Blank) via InstaPay</t>
  </si>
  <si>
    <t>Send GET Request of Check Local Fund Transfer Details and Status API using blank/empty Transaction ID (API-Txn-Ref) via InstaPay</t>
  </si>
  <si>
    <t>TS-EB-LIVE-PRODUCTS-0251</t>
  </si>
  <si>
    <t>TS-EB-LIVE-PRODUCTS-0251: Send Funds via Local Fund Transfer v1.0 _Check Local Funds Transfer Details and Status API_Verify failed GET request of Local Fund Transfer (Transaction Details) upon not providing API-Txn-Ref (Blank) via PESONet</t>
  </si>
  <si>
    <t>Send GET Request of Check Local Fund Transfer Details and Status API using blank/empty Transaction ID (API-Txn-Ref) via PESONet</t>
  </si>
  <si>
    <t>TS-EB-LIVE-PRODUCTS-0252</t>
  </si>
  <si>
    <t>TS-EB-LIVE-PRODUCTS-0252: Send Funds via Local Fund Transfer v1.0 _Check Local Funds Transfer Details and Status API_Verify successful GET request of Local Fund Transfer (Transaction Details) upon providing Application ID linked with Partner ID via InstaP</t>
  </si>
  <si>
    <t>The API Portal that passes the ownership validation request using Application ID linked with Partner ID should dispplay the Transaction Details matches:
HTTP 200 OK Status
Response Body: 
apiTxnId
apiTxnRef 
ewbCoreReference
externalRailReference (InstaPay)
status = always "RECEIVED"
responseCode
responseDescription
createdTimestamp
updatedTimestamp</t>
  </si>
  <si>
    <t>TS-EB-LIVE-PRODUCTS-0253</t>
  </si>
  <si>
    <t>TS-EB-LIVE-PRODUCTS-0253: Send Funds via Local Fund Transfer v1.0 _Check Local Funds Transfer Details and Status API_Verify successful GET request of Local Fund Transfer (Transaction Details) upon providing Application ID linked with Partner ID via PESONe</t>
  </si>
  <si>
    <t>The API Portal that passes the ownership validation request using Application ID linked with Partner ID should dispplay the Transaction Details matches:
HTTP 200 OK Status
Response Body: 
apiTxnId
apiTxnRef 
ewbCoreReference
externalRailReference (PESONet)
status = always "RECEIVED"
responseCode
responseDescription
createdTimestamp
updatedTimestamp</t>
  </si>
  <si>
    <t>TS-EB-LIVE-PRODUCTS-0254</t>
  </si>
  <si>
    <t>TS-EB-LIVE-PRODUCTS-0254: Send Funds via Local Fund Transfer v1.0 _Check Local Funds Transfer Details and Status API_Verify failed GET request of upon providing Application ID linked with Partner ID but didn't pass the ownership validation via InstaPay</t>
  </si>
  <si>
    <t>TS-EB-LIVE-PRODUCTS-0255</t>
  </si>
  <si>
    <t>TS-EB-LIVE-PRODUCTS-0255: Send Funds via Local Fund Transfer v1.0 _Check Local Funds Transfer Details and Status API_Verify failed GET request of upon providing Application ID linked with Partner ID but didn't pass the ownership validation via PESONet</t>
  </si>
  <si>
    <t>TS-EB-LIVE-PRODUCTS-0271</t>
  </si>
  <si>
    <t>TS-EB-LIVE-PRODUCTS-0271: Send Funds via Local Fund Transfer v1.0 _Check Local Funds Transfer Details and Status API_Verify T24 Response for Successful Transaction via all channels</t>
  </si>
  <si>
    <t>Send valid GET Request of Check Local Fund Transfer Details and Status API</t>
  </si>
  <si>
    <t>1. The API returns the details and status of API including the responseDescription
2. Status 200 OK. 
3. Sample Response Body:
{
    "apiTxnId": 358,
    "apiTxnRef": "FTQ63QZOPW1F66DWJQGYJ8W",
    "channel": "INTRABANK",
    "ewbCoreReference": "EWB-358",
    "externalRailReference": null,
    "externalRailCode": "200",
    "transferAmount": 50.00,
    "transferCurrency": "PHP",
    "responseCode": "200",
    "status": "COMPLETED",
    "responseDescription": null,
    "createdTimestamp": "2026-06-12T02:41:43.378",
    "completedTimestamp": "2026-06-12T10:41:48.084",
    "updatedTimestamp": "2026-06-12T10:41:48.084"
}</t>
  </si>
  <si>
    <t>TS-EB-LIVE-PRODUCTS-0272</t>
  </si>
  <si>
    <t>TS-EB-LIVE-PRODUCTS-0272: Send Funds via Local Fund Transfer v1.0 _Check Local Funds Transfer Details and Status API_Verify T24 Response for Failed Transaction via all channels</t>
  </si>
  <si>
    <t>1. The API returns the details and status of API including the responseDescription
2. Status 200 OK. 
3. Sample Response Body:
{
    "apiTxnId": 400,
    "apiTxnRef": "FTLRJWLPLTUNQWE421WEXBF",
    "channel": "INSTAPAY",
    "ewbCoreReference": "EWB-400",
    "externalRailReference": null,
    "externalRailCode": "E0007",
    "transferAmount": 161.76,
    "transferCurrency": "PHP",
    "responseCode": "E0007",
    "status": "FAILED",
    "responseDescription": "Transaction Failed",
    "createdTimestamp": "2026-06-12T07:08:59.472",
    "completedTimestamp": null,
    "updatedTimestamp": "2026-06-12T15:09:01.302"
}
{
    "apiTxnId": 351,
    "apiTxnRef": "FTI6TNXG92HICEXC99H33DT",
    "channel": "PESONET",
    "ewbCoreReference": "EWB-351",
    "externalRailReference": null,
    "externalRailCode": "404",
    "transferAmount": 200.00,
    "transferCurrency": "PHP",
    "responseCode": "404",
    "status": "FAILED",
    "responseDescription": "Unable to retrieve swift code. [E0001: ]",
    "createdTimestamp": "2026-06-12T02:09:14.861",
    "completedTimestamp": null,
    "updatedTimestamp": "2026-06-12T10:09:16.027"
}</t>
  </si>
  <si>
    <t>TS-EB-LIVE-PRODUCTS-0273</t>
  </si>
  <si>
    <t>TS-EB-LIVE-PRODUCTS-0273: Send Funds via Local Fund Transfer v1.0 _Check Local Funds Transfer Details and Status API_Verify API Response upon using 2-3 parameters</t>
  </si>
  <si>
    <t>1. The api returns 400 Bad Request
2. Sample Request URL.: https://proxy-apim-external-test.eastwestbanker.com/send-funds/localft/v1/status?apiTxnId=351&amp;apiTxnRef=0D84887734626740593296V
3. Sample Response Body
{
    "status": "400",
    "errors": [
        {
            "errorCode": "INVALID_ARGUMENT",
            "errorDescription": "Exactly one of idempotencyKey, apiTxnId, or apiTxnRef must be provided"
        }
    ],
    "authId": "auth-48c6926e-799d-4cb8-b81f-11b20bf2b18b",
    "responseCode": "400",
    "responseDescription": "Exactly one of idempotencyKey, apiTxnId, or apiTxnRef must be provided"
}</t>
  </si>
  <si>
    <t>TS-EB-LIVE-PRODUCTS-0008</t>
  </si>
  <si>
    <t>TS-EB-LIVE-PRODUCTS-0008: Send Funds via Local Fund Transfer v1.0_Initiate Local Funds Transfer API_Verify Successful initiation of a Local funds transfer via Intrabank (EWB to EWB)</t>
  </si>
  <si>
    <t>Success Status 202 ACCEPTED
DB Initial Status = RECEIVED with (full 13-digit idempotency-key stored (with 48-hour TTL for duplicate checks)
apiTxnId, apiTxnRef, ewbCoreReference, externalRailReference (if available), status(PENDING), statusDescription, and createdTimestamp.
EWB API PORTAL
Status  = COMPLETED
Response Code = 200
Response Description = The transaction has been successfully received and credited.
Transaction Handling = No action needed since this is already the final state
apiTxnRef is correctly constructed (Application-ID + Product-ID + Idempotency-Key + wildcard) and propagated to EWB Core Banking System, payment rails, logs, reconciliation files, and audit trails.</t>
  </si>
  <si>
    <t>TS-EB-LIVE-PRODUCTS-0009</t>
  </si>
  <si>
    <t>TS-EB-LIVE-PRODUCTS-0009: Send Funds via Local Fund Transfer v1.0_Initiate Local Funds Transfer API_Verify Successful initiation of a Local funds transfer via Intrabank (EWB to EWRB)</t>
  </si>
  <si>
    <t>Success Status 202 ACCEPTED
DB Initial Status = RECEIVED with (full 13-digit idempotency-key stored (with 48-hour TTL for duplicate checks)
apiTxnId, apiTxnRef, ewbCoreReference, externalRailReference (if available), status(PENDING), statusDescription, and createdTimestamp.
EWB API PORTAL
Status  = COMPLETED
Response Code = 200
Response Description = The transaction has been successfully received and credited.
Transaction Handling = No action needed since this is already the final state
apiTxnRef is correctly constructed (Application-ID + Product-ID + Idempotency-Key + wildcard) and propagated to EWB Core Banking System, payment rails, logs, reconciliation files, and audit trails.</t>
  </si>
  <si>
    <t>TS-EB-LIVE-PRODUCTS-0010</t>
  </si>
  <si>
    <t>TS-EB-LIVE-PRODUCTS-0010: Send Funds via Local Fund Transfer v1.0_Initiate Local Funds Transfer API_Verify Successful initiation of a local funds transfer via InstaPay</t>
  </si>
  <si>
    <t>Success Status 202 ACCEPTED
DB Initial Status = RECEIVED with (full 13-digit idempotency-key stored (with 48-hour TTL for duplicate checks)
apiTxnId, apiTxnRef, ewbCoreReference, externalRailReference (if available), status (PENDING), statusDescription, and createdTimestamp.
EWB API PORTAL
Status  = COMPLETED
Response Code = 200
Response Description = The transaction has been successfully received by the receiving bank/wallet.
Transaction Handling = No action needed since this is already the final state
apiTxnRef is correctly constructed (Application-ID + Product-ID + Idempotency-Key + wildcard) and propagated to EWB Core Banking System, payment rails, logs, reconciliation files, and audit trails.</t>
  </si>
  <si>
    <t>TS-EB-LIVE-PRODUCTS-0011</t>
  </si>
  <si>
    <t>TS-EB-LIVE-PRODUCTS-0011: Send Funds via Local Fund Transfer v1.0_Initiate Local Funds Transfer API_Verify Successful initiation of a local funds transfer via PESONet</t>
  </si>
  <si>
    <t>Success Status 202 ACCEPTED
Transaction is within Limits</t>
  </si>
  <si>
    <t>TS-EB-LIVE-PRODUCTS-0014</t>
  </si>
  <si>
    <t>TS-EB-LIVE-PRODUCTS-0014: Send Funds via Local Fund Transfer v1.0_Initiate Local Funds Transfer API_Validate Status via Transaction Management page in Client Hub</t>
  </si>
  <si>
    <t>The transaction is ready for status checks via Client Hub Transaction Management Page.
Status = COMPLETE/FAILED</t>
  </si>
  <si>
    <t>TS-EB-LIVE-PRODUCTS-0015</t>
  </si>
  <si>
    <t>TS-EB-LIVE-PRODUCTS-0015: Send Funds via Local Fund Transfer v1.0_Initiate Local Funds Transfer API_Validate Transaction Status via Check Local Funds Transfer Details and Status API</t>
  </si>
  <si>
    <t>The transaction is ready for status checks via Check Local Fund Transfer Details and Status API.
Status = RECEIVED</t>
  </si>
  <si>
    <t>Success Status 202 Accepted
DB Initial Status = RECEIVED
EWB API Portal
Status = FAILED
Respone Code = 403
Response Description: The transaction was rejected by the payment rail. This usually means there is an issue with the target bank account
Transaction Handling: No action needed since this is already the final state
Complete rejection code and description must be included into the API response and API Portal Database (for Client Hub viewing and Transaction Inquiry APIs)</t>
  </si>
  <si>
    <t>TS-EB-LIVE-PRODUCTS-0017</t>
  </si>
  <si>
    <t>TS-EB-LIVE-PRODUCTS-0017: Send Funds via Local Fund Transfer v1.0_Initiate Local Funds Transfer API_Verify Successful initiation of a Local Funds Transfer via Instapay but Failed transaction upon rejected by Instapay  due to "Receiving Financial Instituti</t>
  </si>
  <si>
    <t>Send POST Request of Send Funds via Local Fund Transfer for Instapay but Failed due to InstaPay rejection due to "Receiving Financial Institution cannot accept transfers at the moment</t>
  </si>
  <si>
    <t>Success Status 202 Accepted
DB Initial Status = RECEIVED
EWB API PORTAL
Status = FAILED_REJECTED
Respone Code = The rejection code from the Payment Rail [AB08, 9910, FF10]
Response Description: The transaction was rejected by the payment rail. This usually means the receiving bank or wallet cannot accept transfers at the moment.
Transaction Handling: No action needed since this is already the final state
Complete rejection code and description must be included into the API response and API Portal Database (for Client Hub viewing and Transaction Inquiry APIs)</t>
  </si>
  <si>
    <t>TS-EB-LIVE-PRODUCTS-0018</t>
  </si>
  <si>
    <t>TS-EB-LIVE-PRODUCTS-0018: Send Funds via Local Fund Transfer v1.0_Initiate Local Funds Transfer API_Verify Successful initiation of a Local Funds Transfer via PESONet but Failed transaction upon rejected by PESONet</t>
  </si>
  <si>
    <t>Send POST Request of Send Funds via Local Fund Transfer for PESONet but Failed due to PESONet rejection due to "Receiving Financial Institution cannot accept transfers at the moment</t>
  </si>
  <si>
    <t>TS-EB-LIVE-PRODUCTS-0019</t>
  </si>
  <si>
    <t>TS-EB-LIVE-PRODUCTS-0019: Send Funds via Local Fund Transfer v1.0_Initiate Local Funds Transfer API_Verify Successful initiation of a Local Funds Transfer but Failed transaction upon rejected by receiving bank/E-Wallet [Target EWB/RB Account cannot accept</t>
  </si>
  <si>
    <t>Send POST Request of Send Funds via Local Fund Transfer but Failed due to E-Waller/Receiving Bank rejection. ["Target EWB/RB Account cannot accept transfers at the moment 
(Limits on the receiving account)"]</t>
  </si>
  <si>
    <t>Success Status 202 ACCEPTED
DB Initial Status = RECEIVED
EWB API PORTAL
Status = FAILED_REJECTED
Response Code = 403
Response Description = The transaction was rejected by the payment rail. This usually means there is an issue with the target bank account.
Transaction Handling = No action needed since this is already the final state
Complete rejection code and description must be included into the API response and API Portal Database (for Client Hub viewing and Transaction Inquiry APIs)</t>
  </si>
  <si>
    <t>Send POST Request of Send Funds via Local Fund Transfer using expired access token</t>
  </si>
  <si>
    <t>Send POST Request of Send Funds via Local Fund Transfer using invalid Client Credentials</t>
  </si>
  <si>
    <t>200 OK [Not Mandatory]</t>
  </si>
  <si>
    <t>Failed Status 403 Forbidden/500 INTERNAL_SERVER_ERROR</t>
  </si>
  <si>
    <t>TS-EB-LIVE-PRODUCTS-0030</t>
  </si>
  <si>
    <t>TS-EB-LIVE-PRODUCTS-0030: Send Funds via Local Fund Transfer v1.0_Initiate Local Funds Transfer API_Verify Local Fund Transfer if Source Account is Not Registered as Client Owned Account - Source Account via EWB to EWB</t>
  </si>
  <si>
    <t>Success Status 202 ACCEPTED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</si>
  <si>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TS-EB-LIVE-PRODUCTS-0031</t>
  </si>
  <si>
    <t>TS-EB-LIVE-PRODUCTS-0031: Send Funds via Local Fund Transfer v1.0_Initiate Local Funds Transfer API_Verify Local Fund Transfer if Source Account is Not Registered as Client Owned Account - Source Account via EWB to EWRB</t>
  </si>
  <si>
    <t>Success Status 202 ACCEPTED
DB Initial Status = RECEIVED with (full 13-digit idempotency-key stored (with 48-hour TTL for duplicate checks)
apiTxnId, apiTxnRef, ewbCoreReference, externalRailReference (if available, Instapay/PESONet applicable), status (PENDING), statusDescription, and createdTimestamp.
apiTxnRef is correctly constructed (Application-ID + Product-ID + Idempotency-Key + wildcard) and propagated to EWB Core Banking System, payment rails, logs, reconciliation files, and audit trails.</t>
  </si>
  <si>
    <t>TS-EB-LIVE-PRODUCTS-0032</t>
  </si>
  <si>
    <t>TS-EB-LIVE-PRODUCTS-0032: Send Funds via Local Fund Transfer v1.0_Initiate Local Funds Transfer API_Verify Local Fund Transfer if Source Account is Not Registered as Client Owned Account - Source Account via EWB to InstaPay</t>
  </si>
  <si>
    <t>Success Status 202 ACCEPTED/200 OK
DB Initial Status = RECEIVED with (full 13-digit idempotency-key stored (with 48-hour TTL for duplicate checks)
apiTxnId, apiTxnRef, ewbCoreReference, externalRailReference (if available, Instapay/PESONet applicable), status (PENDING), statusDescription, and createdTimestamp.
apiTxnRef is correctly constructed (Application-ID + Product-ID + Idempotency-Key + wildcard) and propagated to EWB Core Banking System, payment rails, logs, reconciliation files, and audit trails.</t>
  </si>
  <si>
    <t>TS-EB-LIVE-PRODUCTS-0033</t>
  </si>
  <si>
    <t>TS-EB-LIVE-PRODUCTS-0033: Send Funds via Local Fund Transfer v1.0_Initiate Local Funds Transfer API_Verify Local Fund Transfer if Source Account is Not Registered as Client Owned Account - Source Account via EWB to PESONet</t>
  </si>
  <si>
    <t>TS-EB-LIVE-PRODUCTS-0034</t>
  </si>
  <si>
    <t>TS-EB-LIVE-PRODUCTS-0034: Send Funds via Local Fund Transfer v1.0_Initiate Local Funds Transfer API_Verify Initiation of Local Funds Transfer with Pending Closure Source Account via EWB to EWB</t>
  </si>
  <si>
    <t>TS-EB-LIVE-PRODUCTS-0035</t>
  </si>
  <si>
    <t>TS-EB-LIVE-PRODUCTS-0035: Send Funds via Local Fund Transfer v1.0_Initiate Local Funds Transfer API_Verify Initiation of Local Funds Transfer with Pending Closure Source Account via EWB to EWRB</t>
  </si>
  <si>
    <t>Success Status 200 OK
DB Initial Status = RECEIVED with (full 13-digit idempotency-key stored (with 48-hour TTL for duplicate checks)
apiTxnId, apiTxnRef, ewbCoreReference, externalRailReference (if available, Instapay/PESONet applicable), status (PENDING), statusDescription, and createdTimestamp.
apiTxnRef is correctly constructed (Application-ID + Product-ID + Idempotency-Key + wildcard) and propagated to EWB Core Banking System, payment rails, logs, reconciliation files, and audit trails.</t>
  </si>
  <si>
    <t>TS-EB-LIVE-PRODUCTS-0036</t>
  </si>
  <si>
    <t>TS-EB-LIVE-PRODUCTS-0036: Send Funds via Local Fund Transfer v1.0_Initiate Local Funds Transfer API_Verify Initiation of Local Funds Transfer with Pending Closure Source Account via EWB to InstaPay</t>
  </si>
  <si>
    <t>TS-EB-LIVE-PRODUCTS-0037</t>
  </si>
  <si>
    <t>TS-EB-LIVE-PRODUCTS-0037: Send Funds via Local Fund Transfer v1.0_Initiate Local Funds Transfer API_Verify Initiation of Local Funds Transfer with Pending Closure Source Account via EWB to PESONet</t>
  </si>
  <si>
    <t>Send POST Request of Send Funds via Local Fund Transfer across Intrabank using Invalid (Pending Closure) Source Account</t>
  </si>
  <si>
    <t>Success Status 202 ACCEPTED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</si>
  <si>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TS-EB-LIVE-PRODUCTS-0039</t>
  </si>
  <si>
    <t>TS-EB-LIVE-PRODUCTS-0039: Send Funds via Local Fund Transfer v1.0_Initiate Local Funds Transfer API_Verify Local Fund Transfer if Source Account is Closed or Inactive via EWB to EWB</t>
  </si>
  <si>
    <t>TS-EB-LIVE-PRODUCTS-0040</t>
  </si>
  <si>
    <t>TS-EB-LIVE-PRODUCTS-0040: Send Funds via Local Fund Transfer v1.0_Initiate Local Funds Transfer API_Verify Local Fund Transfer if Source Account is Closed or Inactive via EWB to EWRB</t>
  </si>
  <si>
    <t>TS-EB-LIVE-PRODUCTS-0041</t>
  </si>
  <si>
    <t>TS-EB-LIVE-PRODUCTS-0041: Send Funds via Local Fund Transfer v1.0_Initiate Local Funds Transfer API_Verify Local Fund Transfer if Source Account is Closed or Inactive via EWB to InstaPay</t>
  </si>
  <si>
    <t>TS-EB-LIVE-PRODUCTS-0042</t>
  </si>
  <si>
    <t>TS-EB-LIVE-PRODUCTS-0042: Send Funds via Local Fund Transfer v1.0_Initiate Local Funds Transfer API_Verify Local Fund Transfer if Source Account is Closed or Inactive via EWB to PESONet</t>
  </si>
  <si>
    <t>Send POST Request of Send Funds via Local Fund Transfer across Intrabank using Invalid (Closed) Source Account</t>
  </si>
  <si>
    <t>TS-EB-LIVE-PRODUCTS-0044</t>
  </si>
  <si>
    <t>TS-EB-LIVE-PRODUCTS-0044: Send Funds via Local Fund Transfer v1.0_Initiate Local Funds Transfer API_Verify Initiation of Local Funds Transfer with Non-Existing Source Account via EWB to EWB</t>
  </si>
  <si>
    <t>TS-EB-LIVE-PRODUCTS-0045</t>
  </si>
  <si>
    <t>TS-EB-LIVE-PRODUCTS-0045: Send Funds via Local Fund Transfer v1.0_Initiate Local Funds Transfer API_Verify Initiation of Local Funds Transfer with Non-Existing Source Account via EWB to EWRB</t>
  </si>
  <si>
    <t>TS-EB-LIVE-PRODUCTS-0046</t>
  </si>
  <si>
    <t>TS-EB-LIVE-PRODUCTS-0046: Send Funds via Local Fund Transfer v1.0_Initiate Local Funds Transfer API_Verify Initiation of Local Funds Transfer with Non-Existing Source Account via EWB to InstaPay</t>
  </si>
  <si>
    <t>TS-EB-LIVE-PRODUCTS-0047</t>
  </si>
  <si>
    <t>TS-EB-LIVE-PRODUCTS-0047: Send Funds via Local Fund Transfer v1.0_Initiate Local Funds Transfer API_Verify Initiation of Local Funds Transfer with Non-Existing Source Account via EWB to PESONet</t>
  </si>
  <si>
    <t>Success Status 202 ACCEPTED/503 Service Unavailable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</si>
  <si>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TS-EB-LIVE-PRODUCTS-0048</t>
  </si>
  <si>
    <t>TS-EB-LIVE-PRODUCTS-0048: Send Funds via Local Fund Transfer v1.0_Initiate Local Funds Transfer API_Verify Initiation of Local Funds Transfer with Non-Existing Beneficiary Account via EWB to EWB</t>
  </si>
  <si>
    <t>TS-EB-LIVE-PRODUCTS-0049</t>
  </si>
  <si>
    <t>TS-EB-LIVE-PRODUCTS-0049: Send Funds via Local Fund Transfer v1.0_Initiate Local Funds Transfer API_Verify Initiation of Local Funds Transfer with Non-Existing Beneficiary Account via EWB to EWRB</t>
  </si>
  <si>
    <t>TS-EB-LIVE-PRODUCTS-0050</t>
  </si>
  <si>
    <t>TS-EB-LIVE-PRODUCTS-0050: Send Funds via Local Fund Transfer v1.0_Initiate Local Funds Transfer API_Verify Initiation of Local Funds Transfer with Non-Existing Beneficiary Account EWB to InstaPay</t>
  </si>
  <si>
    <t>TS-EB-LIVE-PRODUCTS-0051</t>
  </si>
  <si>
    <t>TS-EB-LIVE-PRODUCTS-0051: Send Funds via Local Fund Transfer v1.0_Initiate Local Funds Transfer API_Verify Initiation of Local Funds Transfer with Non-Existing Beneficiary Account EWB to PESONet</t>
  </si>
  <si>
    <t>TS-EB-LIVE-PRODUCTS-0052</t>
  </si>
  <si>
    <t>TS-EB-LIVE-PRODUCTS-0052: Send Funds via Local Fund Transfer v1.0_Initiate Local Funds Transfer API_Verify Initiation of Local Funds Transfer via EWB to EWB with Post No Debit Source Account Number</t>
  </si>
  <si>
    <t>TS-EB-LIVE-PRODUCTS-0053</t>
  </si>
  <si>
    <t>TS-EB-LIVE-PRODUCTS-0053: Send Funds via Local Fund Transfer v1.0_Initiate Local Funds Transfer API_Verify Initiation of Local Funds Transfer across via EWB to EWRB with Post No Debit Source Account Number</t>
  </si>
  <si>
    <t>TS-EB-LIVE-PRODUCTS-0054</t>
  </si>
  <si>
    <t>TS-EB-LIVE-PRODUCTS-0054: Send Funds via Local Fund Transfer v1.0_Initiate Local Funds Transfer API_Verify Initiation of Local Funds Transfer via EWB to InstaPay with Post No Debit Source Account Number</t>
  </si>
  <si>
    <t>TS-EB-LIVE-PRODUCTS-0055</t>
  </si>
  <si>
    <t>TS-EB-LIVE-PRODUCTS-0055: Send Funds via Local Fund Transfer v1.0_Initiate Local Funds Transfer API_Verify Initiation of Local Funds Transfer via EWB to PESONet with Post No Debit Source Account Number</t>
  </si>
  <si>
    <t>TS-EB-LIVE-PRODUCTS-0056</t>
  </si>
  <si>
    <t>TS-EB-LIVE-PRODUCTS-0056: Send Funds via Local Fund Transfer v1.0_Initiate Local Funds Transfer API_Verify Initiation of Local Funds Transfer via EWB to EWB with Post No Credit Source Account Number</t>
  </si>
  <si>
    <t>TS-EB-LIVE-PRODUCTS-0057</t>
  </si>
  <si>
    <t>TS-EB-LIVE-PRODUCTS-0057: Send Funds via Local Fund Transfer v1.0_Initiate Local Funds Transfer API_Verify Initiation of Local Funds Transfer via EWB to EWRB with Post No Credit Source Account Number</t>
  </si>
  <si>
    <t>TS-EB-LIVE-PRODUCTS-0058</t>
  </si>
  <si>
    <t>TS-EB-LIVE-PRODUCTS-0058: Send Funds via Local Fund Transfer v1.0_Initiate Local Funds Transfer API_Verify Initiation of Local Funds Transfer via EWB to InstaPay with Post No Credit Source Account Number</t>
  </si>
  <si>
    <t>TS-EB-LIVE-PRODUCTS-0059</t>
  </si>
  <si>
    <t>TS-EB-LIVE-PRODUCTS-0059: Send Funds via Local Fund Transfer v1.0_Initiate Local Funds Transfer API_Verify Initiation of Local Funds Transfer via EWB to PESONet with Post No Credit Source Account Number</t>
  </si>
  <si>
    <t>TS-EB-LIVE-PRODUCTS-0060</t>
  </si>
  <si>
    <t>TS-EB-LIVE-PRODUCTS-0060: Send Funds via Local Fund Transfer v1.0_Initiate Local Funds Transfer API_Verify Initiation of Local Funds Transfer via EWB to EWB with Post No Entries Source Account Number</t>
  </si>
  <si>
    <t>TS-EB-LIVE-PRODUCTS-0061</t>
  </si>
  <si>
    <t>TS-EB-LIVE-PRODUCTS-0061: Send Funds via Local Fund Transfer v1.0_Initiate Local Funds Transfer API_Verify Initiation of Local Funds Transfer via EWB to EWRB with Post No Entries Source Account Number</t>
  </si>
  <si>
    <t>TS-EB-LIVE-PRODUCTS-0062</t>
  </si>
  <si>
    <t>TS-EB-LIVE-PRODUCTS-0062: Send Funds via Local Fund Transfer v1.0_Initiate Local Funds Transfer API_Verify Initiation of Local Funds Transfer via EWB to InstaPay with Post No Entries Source Account Number</t>
  </si>
  <si>
    <t>TS-EB-LIVE-PRODUCTS-0063</t>
  </si>
  <si>
    <t>TS-EB-LIVE-PRODUCTS-0063: Send Funds via Local Fund Transfer v1.0_Initiate Local Funds Transfer API_Verify Initiation of Local Funds Transfer via EWB to PESONet with Post No Entries Source Account Number</t>
  </si>
  <si>
    <t>Success Status 202 ACCEPTED/200 OK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t>
  </si>
  <si>
    <t>TS-EB-LIVE-PRODUCTS-0067</t>
  </si>
  <si>
    <t>TS-EB-LIVE-PRODUCTS-0067: Send Funds via Local Fund Transfer v1.0_Initiate Local Funds Transfer API_Verify Initiation of Local Funds Transfer via EWB to EWB with Post No Debit Customer CIF / Customer ID</t>
  </si>
  <si>
    <t>Success Status 202 ACCEPTED
DB Initial Status = RECEIVED with (full 13-digit idempotency-key stored (with 48-hour TTL for duplicate checks)
apiTxnId, apiTxnRef, ewbCoreReference, status, statusDescription, and createdTimestamp.
apiTxnRef is correctly constructed (Application-ID + Product-ID + Idempotency-Key + wildcard) and propagated to EWB Core Banking System, payment rails, logs, reconciliation files, and audit trails.</t>
  </si>
  <si>
    <t>TS-EB-LIVE-PRODUCTS-0068</t>
  </si>
  <si>
    <t>TS-EB-LIVE-PRODUCTS-0068: Send Funds via Local Fund Transfer v1.0_Initiate Local Funds Transfer API_Verify Initiation of Local Funds Transfer via EWB to EWRB with Post No Debit Customer CIF / Customer ID</t>
  </si>
  <si>
    <t>TS-EB-LIVE-PRODUCTS-0069</t>
  </si>
  <si>
    <t>TS-EB-LIVE-PRODUCTS-0069: Send Funds via Local Fund Transfer v1.0_Initiate Local Funds Transfer API_Verify Initiation of Local Funds Transfer via EWB to Instapay with Post No Debit Customer CIF / Customer ID</t>
  </si>
  <si>
    <t>TS-EB-LIVE-PRODUCTS-0070</t>
  </si>
  <si>
    <t>TS-EB-LIVE-PRODUCTS-0070: Send Funds via Local Fund Transfer v1.0_Initiate Local Funds Transfer API_Verify Initiation of Local Funds Transfer via EWB to PESONet with Post No Debit Customer CIF / Customer ID</t>
  </si>
  <si>
    <t>TS-EB-LIVE-PRODUCTS-0071</t>
  </si>
  <si>
    <t>TS-EB-LIVE-PRODUCTS-0071: Send Funds via Local Fund Transfer v1.0_Initiate Local Funds Transfer API_Verify Initiation of Local Funds Transfer via EWB to EWB with Post No Credit Customer CIF / Customer ID</t>
  </si>
  <si>
    <t>TS-EB-LIVE-PRODUCTS-0072</t>
  </si>
  <si>
    <t>TS-EB-LIVE-PRODUCTS-0072: Send Funds via Local Fund Transfer v1.0_Initiate Local Funds Transfer API_Verify Initiation of Local Funds Transfer via EWB to EWRB with Post No Credit Customer CIF / Customer ID</t>
  </si>
  <si>
    <t>TS-EB-LIVE-PRODUCTS-0073</t>
  </si>
  <si>
    <t>TS-EB-LIVE-PRODUCTS-0073: Send Funds via Local Fund Transfer v1.0_Initiate Local Funds Transfer API_Verify Initiation of Local Funds Transfer via EWB to InstaPay with Post No Credit Customer CIF / Customer ID</t>
  </si>
  <si>
    <t>TS-EB-LIVE-PRODUCTS-0074</t>
  </si>
  <si>
    <t>TS-EB-LIVE-PRODUCTS-0074: Send Funds via Local Fund Transfer v1.0_Initiate Local Funds Transfer API_Verify Initiation of Local Funds Transfer via EWB to PESONet with Post No Credit Customer CIF / Customer ID</t>
  </si>
  <si>
    <t xml:space="preserve">Success Status 202 ACCEPTED/200 OK
DB Initial Status = RECEIVED with (full 13-digit idempotency-key stored (with 48-hour TTL for duplicate checks)
apiTxnId, apiTxnRef, ewbCoreReference, externalRailReference (if available, Instapay/PESONet applicable), status(PENDING), statusDescription, and createdTimestamp.
apiTxnRef is correctly constructed (Application-ID + Product-ID + Idempotency-Key + wildcard) and propagated to EWB Core Banking System, payment rails, logs, reconciliation files, and audit trails.
</t>
  </si>
  <si>
    <t>TS-EB-LIVE-PRODUCTS-0075</t>
  </si>
  <si>
    <t>TS-EB-LIVE-PRODUCTS-0075: Send Funds via Local Fund Transfer v1.0_Initiate Local Funds Transfer API_Verify Initiation of Local Funds Transfer via EWB to EWB with Post No Entries Customer CIF / Customer ID</t>
  </si>
  <si>
    <t>TS-EB-LIVE-PRODUCTS-0076</t>
  </si>
  <si>
    <t>TS-EB-LIVE-PRODUCTS-0076: Send Funds via Local Fund Transfer v1.0_Initiate Local Funds Transfer API_Verify Initiation of Local Funds Transfer via EWB to EWRB with Post No Entries Customer CIF / Customer ID</t>
  </si>
  <si>
    <t>TS-EB-LIVE-PRODUCTS-0077</t>
  </si>
  <si>
    <t>TS-EB-LIVE-PRODUCTS-0077: Send Funds via Local Fund Transfer v1.0_Initiate Local Funds Transfer API_Verify Initiation of Local Funds Transfer via EWB to InstaPay with Post No Entries Customer CIF / Customer ID</t>
  </si>
  <si>
    <t>TS-EB-LIVE-PRODUCTS-0078</t>
  </si>
  <si>
    <t>TS-EB-LIVE-PRODUCTS-0078: Send Funds via Local Fund Transfer v1.0_Initiate Local Funds Transfer API_Verify Initiation of Local Funds Transfer via EWB to PESONet with Post No Entries Customer CIF / Customer ID</t>
  </si>
  <si>
    <t>TS-EB-LIVE-PRODUCTS-0082</t>
  </si>
  <si>
    <t>TS-EB-LIVE-PRODUCTS-0082: Send Funds via Local Fund Transfer v1.0_Initiate Local Funds Transfer API_Verify Initiation of Local Funds Transfer via EWB to EWB with Blank Source Account Number</t>
  </si>
  <si>
    <t>TS-EB-LIVE-PRODUCTS-0083</t>
  </si>
  <si>
    <t>TS-EB-LIVE-PRODUCTS-0083: Send Funds via Local Fund Transfer v1.0_Initiate Local Funds Transfer API_Verify Initiation of Local Funds Transfer via EWB to EWRB with Blank Source Account Number</t>
  </si>
  <si>
    <t>TS-EB-LIVE-PRODUCTS-0084</t>
  </si>
  <si>
    <t>TS-EB-LIVE-PRODUCTS-0084: Send Funds via Local Fund Transfer v1.0_Initiate Local Funds Transfer API_Verify Initiation of Local Funds Transfer via EWB to Instapay with Blank Source Account Number</t>
  </si>
  <si>
    <t>TS-EB-LIVE-PRODUCTS-0085</t>
  </si>
  <si>
    <t>TS-EB-LIVE-PRODUCTS-0085: Send Funds via Local Fund Transfer v1.0_Initiate Local Funds Transfer API_Verify Initiation of Local Funds Transfer via EWB to PESONet with Blank Source Account Number</t>
  </si>
  <si>
    <t>TS-EB-LIVE-PRODUCTS-0086</t>
  </si>
  <si>
    <t>TS-EB-LIVE-PRODUCTS-0086: Send Funds via Local Fund Transfer v1.0_Initiate Local Funds Transfer API_Verify Initiation of Local Funds Transfer via EWB to EWB with Blank Beneficiary Account Number</t>
  </si>
  <si>
    <t>TS-EB-LIVE-PRODUCTS-0087</t>
  </si>
  <si>
    <t>TS-EB-LIVE-PRODUCTS-0087: Send Funds via Local Fund Transfer v1.0_Initiate Local Funds Transfer API_Verify Initiation of Local Funds Transfer via EWB to EWRB with Blank Beneficiary Account Number</t>
  </si>
  <si>
    <t>TS-EB-LIVE-PRODUCTS-0088</t>
  </si>
  <si>
    <t>TS-EB-LIVE-PRODUCTS-0088: Send Funds via Local Fund Transfer v1.0_Initiate Local Funds Transfer API_Verify Initiation of Local Funds Transfer via EWB to InstaPay with Blank Beneficiary Account Number</t>
  </si>
  <si>
    <t>TS-EB-LIVE-PRODUCTS-0089</t>
  </si>
  <si>
    <t>TS-EB-LIVE-PRODUCTS-0089: Send Funds via Local Fund Transfer v1.0_Initiate Local Funds Transfer API_Verify Initiation of Local Funds Transfervia EWB to PESONet with Blank Beneficiary Account Number</t>
  </si>
  <si>
    <t>TS-EB-LIVE-PRODUCTS-0090</t>
  </si>
  <si>
    <t>TS-EB-LIVE-PRODUCTS-0090: Send Funds via Local Fund Transfer v1.0_Initiate Local Funds Transfer API_Verify Initiation of Local Funds Transfer via EWB to EWB with Blank Both Source Account and Beneficiary Account Number</t>
  </si>
  <si>
    <t>TS-EB-LIVE-PRODUCTS-0091</t>
  </si>
  <si>
    <t>TS-EB-LIVE-PRODUCTS-0091: Send Funds via Local Fund Transfer v1.0_Initiate Local Funds Transfer API_Verify Initiation of Local Funds Transfer via EWB to EWRB with Blank Both Source Account and Beneficiary Account Number</t>
  </si>
  <si>
    <t>TS-EB-LIVE-PRODUCTS-0092</t>
  </si>
  <si>
    <t>TS-EB-LIVE-PRODUCTS-0092: Send Funds via Local Fund Transfer v1.0_Initiate Local Funds Transfer API_Verify Initiation of Local Funds Transfer via EWB to InstaPay with Blank Both Source Account and Beneficiary Account Number</t>
  </si>
  <si>
    <t>TS-EB-LIVE-PRODUCTS-0093</t>
  </si>
  <si>
    <t>TS-EB-LIVE-PRODUCTS-0093: Send Funds via Local Fund Transfer v1.0_Initiate Local Funds Transfer API_Verify Initiation of Local Funds Transfer via EWB to PESONet with Blank Both Source Account and Beneficiary Account Number</t>
  </si>
  <si>
    <t>TS-EB-LIVE-PRODUCTS-0094</t>
  </si>
  <si>
    <t>TS-EB-LIVE-PRODUCTS-0094: Send Funds via Local Fund Transfer v1.0_Initiate Local Funds Transfer API_Verify Initiation of Local Funds Transfer via EWB to EWB with Source Account with Exceeding to 20 characters</t>
  </si>
  <si>
    <t>Status: FAILED
responseCode: 400 Bad Request/Service Unavailable
responseDescription</t>
  </si>
  <si>
    <t>TS-EB-LIVE-PRODUCTS-0095</t>
  </si>
  <si>
    <t>TS-EB-LIVE-PRODUCTS-0095: Send Funds via Local Fund Transfer v1.0_Initiate Local Funds Transfer API_Verify Initiation of Local Funds Transfer via EWB to EWRB with Source Account with Exceeding to 20 characters</t>
  </si>
  <si>
    <t>Status: FAILED
responseCode: 400 Bad Request/503 Service Unavailable
responseDescription</t>
  </si>
  <si>
    <t>TS-EB-LIVE-PRODUCTS-0096</t>
  </si>
  <si>
    <t>TS-EB-LIVE-PRODUCTS-0096: Send Funds via Local Fund Transfer v1.0_Initiate Local Funds Transfer API_Verify Initiation of Local Funds Transfer via EWB to InstaPaywith Source Account with Exceeding to 20 characters</t>
  </si>
  <si>
    <t>TS-EB-LIVE-PRODUCTS-0097</t>
  </si>
  <si>
    <t>TS-EB-LIVE-PRODUCTS-0097: Send Funds via Local Fund Transfer v1.0_Initiate Local Funds Transfer API_Verify Initiation of Local Funds Transfer via EWB to PESONet with Source Account with Exceeding to 20 characters</t>
  </si>
  <si>
    <t>TS-EB-LIVE-PRODUCTS-0098</t>
  </si>
  <si>
    <t>TS-EB-LIVE-PRODUCTS-0098: Send Funds via Local Fund Transfer v1.0_Initiate Local Funds Transfer API_Verify Initiation of Local Funds Transfer via EWB to EWB with Source Account Fewer than 10 characters</t>
  </si>
  <si>
    <t>TS-EB-LIVE-PRODUCTS-0099</t>
  </si>
  <si>
    <t>TS-EB-LIVE-PRODUCTS-0099: Send Funds via Local Fund Transfer v1.0_Initiate Local Funds Transfer API_Verify Initiation of Local Funds Transfer via EWB to EWRB with Source Account Fewer than 10 characters</t>
  </si>
  <si>
    <t>TS-EB-LIVE-PRODUCTS-0100</t>
  </si>
  <si>
    <t>TS-EB-LIVE-PRODUCTS-0100: Send Funds via Local Fund Transfer v1.0_Initiate Local Funds Transfer API_Verify Initiation of Local Funds Transfer via EWB to InstaPay with Source Account Fewer than 10 characters</t>
  </si>
  <si>
    <t>TS-EB-LIVE-PRODUCTS-0101</t>
  </si>
  <si>
    <t>TS-EB-LIVE-PRODUCTS-0101: Send Funds via Local Fund Transfer v1.0_Initiate Local Funds Transfer API_Verify Initiation of Local Funds Transfer via EWB to PESONet with Source Account Fewer than 10 characters</t>
  </si>
  <si>
    <t>TS-EB-LIVE-PRODUCTS-0102</t>
  </si>
  <si>
    <t>TS-EB-LIVE-PRODUCTS-0102: Send Funds via Local Fund Transfer v1.0_Initiate Local Funds Transfer API_Verify Initiation of Local Funds Transfer via EWB to EWB with Source Account not linked to provided access token</t>
  </si>
  <si>
    <t>TS-EB-LIVE-PRODUCTS-0103</t>
  </si>
  <si>
    <t>TS-EB-LIVE-PRODUCTS-0103: Send Funds via Local Fund Transfer v1.0_Initiate Local Funds Transfer API_Verify Initiation of Local Funds Transfer via EWB to EWRB with Source Account not linked to provided access token</t>
  </si>
  <si>
    <t>TS-EB-LIVE-PRODUCTS-0104</t>
  </si>
  <si>
    <t>TS-EB-LIVE-PRODUCTS-0104: Send Funds via Local Fund Transfer v1.0_Initiate Local Funds Transfer API_Verify Initiation of Local Funds Transfer via EWB to InstaPay with Source Account not linked to provided access token</t>
  </si>
  <si>
    <t>TS-EB-LIVE-PRODUCTS-0105</t>
  </si>
  <si>
    <t>TS-EB-LIVE-PRODUCTS-0105: Send Funds via Local Fund Transfer v1.0_Initiate Local Funds Transfer API_Verify Initiation of Local Funds Transfer via EWB to PESONet with Source Account not linked to provided access token</t>
  </si>
  <si>
    <t>TS-EB-LIVE-PRODUCTS-0106</t>
  </si>
  <si>
    <t>TS-EB-LIVE-PRODUCTS-0106: Send Funds via Local Fund Transfer v1.0_Initiate Local Funds Transfer API_Verify Initiation of Local Funds Transfer via EWB to EWB with FDS Sender Source Account</t>
  </si>
  <si>
    <t>TS-EB-LIVE-PRODUCTS-0107</t>
  </si>
  <si>
    <t>TS-EB-LIVE-PRODUCTS-0107: Send Funds via Local Fund Transfer v1.0_Initiate Local Funds Transfer API_Verify Initiation of Local Funds Transfer EWB to EWRB with FDS Sender Source Account</t>
  </si>
  <si>
    <t>TS-EB-LIVE-PRODUCTS-0108</t>
  </si>
  <si>
    <t>TS-EB-LIVE-PRODUCTS-0108: Send Funds via Local Fund Transfer v1.0_Initiate Local Funds Transfer API_Verify Initiation of Local Funds Transfer EWB to InstaPay with FDS Sender Source Account</t>
  </si>
  <si>
    <t>TS-EB-LIVE-PRODUCTS-0109</t>
  </si>
  <si>
    <t>TS-EB-LIVE-PRODUCTS-0109: Send Funds via Local Fund Transfer v1.0_Initiate Local Funds Transfer API_Verify Initiation of Local Funds Transfer EWB to PESONet with FDS Sender Source Account</t>
  </si>
  <si>
    <t>TS-EB-LIVE-PRODUCTS-0110</t>
  </si>
  <si>
    <t>TS-EB-LIVE-PRODUCTS-0110: Send Funds via Local Fund Transfer v1.0_Initiate Local Funds Transfer API_Verify Initiation of Local Funds Transfer via EWB to EWB with FDS Receiver Beneficiary Account</t>
  </si>
  <si>
    <t>TS-EB-LIVE-PRODUCTS-0111</t>
  </si>
  <si>
    <t>TS-EB-LIVE-PRODUCTS-0111: Send Funds via Local Fund Transfer v1.0_Initiate Local Funds Transfer API_Verify Initiation of Local Funds Transfer via EWB to EWRB with FDS Receiver Beneficiary Account</t>
  </si>
  <si>
    <t>TS-EB-LIVE-PRODUCTS-0112</t>
  </si>
  <si>
    <t>TS-EB-LIVE-PRODUCTS-0112: Send Funds via Local Fund Transfer v1.0_Initiate Local Funds Transfer API_Verify Initiation of Local Funds Transfer via EWB to InstaPay with FDS Receiver Beneficiary Account</t>
  </si>
  <si>
    <t>TS-EB-LIVE-PRODUCTS-0113</t>
  </si>
  <si>
    <t>TS-EB-LIVE-PRODUCTS-0113: Send Funds via Local Fund Transfer v1.0_Initiate Local Funds Transfer API_Verify Initiation of Local Funds Transfer via EWB to PESONet with FDS Receiver Beneficiary Account</t>
  </si>
  <si>
    <t>TS-EB-LIVE-PRODUCTS-0114</t>
  </si>
  <si>
    <t>TS-EB-LIVE-PRODUCTS-0114: Send Funds via Local Fund Transfer v1.0_Initiate Local Funds Transfer API_Validate that all required body parameters are present and correctly formatted as per API specification via EWB to EWB</t>
  </si>
  <si>
    <t>TS-EB-LIVE-PRODUCTS-0115</t>
  </si>
  <si>
    <t>TS-EB-LIVE-PRODUCTS-0115: Send Funds via Local Fund Transfer v1.0_Initiate Local Funds Transfer API_Validate that all required body parameters are present and correctly formatted as per API specification via EWB to EWRB</t>
  </si>
  <si>
    <t>TS-EB-LIVE-PRODUCTS-0116</t>
  </si>
  <si>
    <t>TS-EB-LIVE-PRODUCTS-0116: Send Funds via Local Fund Transfer v1.0_Initiate Local Funds Transfer API_Validate that all required body parameters are present and correctly formatted as per API specification via EWB to InstaPay</t>
  </si>
  <si>
    <t>TS-EB-LIVE-PRODUCTS-0117</t>
  </si>
  <si>
    <t>TS-EB-LIVE-PRODUCTS-0117: Send Funds via Local Fund Transfer v1.0_Initiate Local Funds Transfer API_Validate that all required body parameters are present and correctly formatted as per API specification via EWB to PESONet</t>
  </si>
  <si>
    <t>TS-EB-LIVE-PRODUCTS-0118</t>
  </si>
  <si>
    <t>TS-EB-LIVE-PRODUCTS-0118: Send Funds via Local Fund Transfer v1.0_Initiate Local Funds Transfer API_Verify if required body parameters validation/notes are enforced as per API specification via EWB to EWB upon using invalid values</t>
  </si>
  <si>
    <t>TS-EB-LIVE-PRODUCTS-0119</t>
  </si>
  <si>
    <t>TS-EB-LIVE-PRODUCTS-0119: Send Funds via Local Fund Transfer v1.0_Initiate Local Funds Transfer API_Verify if required body parameters validation/notes are enforced as per API specification via EWB to EWRB upon using invalid values</t>
  </si>
  <si>
    <t>TS-EB-LIVE-PRODUCTS-0120</t>
  </si>
  <si>
    <t>TS-EB-LIVE-PRODUCTS-0120: Send Funds via Local Fund Transfer v1.0_Initiate Local Funds Transfer API_Verify if required body parameters validation/notes are enforced as per API specification via EWB to InstaPay upon using invalid values</t>
  </si>
  <si>
    <t>TS-EB-LIVE-PRODUCTS-0121</t>
  </si>
  <si>
    <t>TS-EB-LIVE-PRODUCTS-0121: Send Funds via Local Fund Transfer v1.0_Initiate Local Funds Transfer API_Verify if required body parameters validation/notes are enforced as per API specification via EWB to PESONet upon using invalid values</t>
  </si>
  <si>
    <t>TS-EB-LIVE-PRODUCTS-0122</t>
  </si>
  <si>
    <t>TS-EB-LIVE-PRODUCTS-0122: Send Funds via Local Fund Transfer v1.0_Initiate Local Funds Transfer API_Validate that all Not Required body parameters are present and correctly formatted as per API specification via EWB to EWB</t>
  </si>
  <si>
    <t>TS-EB-LIVE-PRODUCTS-0123</t>
  </si>
  <si>
    <t>TS-EB-LIVE-PRODUCTS-0123: Send Funds via Local Fund Transfer v1.0_Initiate Local Funds Transfer API_Validate that all optional body parameters are present and correctly formatted as per API specification via EWB to EWRB</t>
  </si>
  <si>
    <t>TS-EB-LIVE-PRODUCTS-0124</t>
  </si>
  <si>
    <t>TS-EB-LIVE-PRODUCTS-0124: Send Funds via Local Fund Transfer v1.0_Initiate Local Funds Transfer API_Validate that all optional body parameters are present and correctly formatted as per API specification via EWB to InstaPay</t>
  </si>
  <si>
    <t>TS-EB-LIVE-PRODUCTS-0125</t>
  </si>
  <si>
    <t>TS-EB-LIVE-PRODUCTS-0125: Send Funds via Local Fund Transfer v1.0_Initiate Local Funds Transfer API_Validate that all optional body parameters are present and correctly formatted as per API specification via EWB to PESONet</t>
  </si>
  <si>
    <t>TS-EB-LIVE-PRODUCTS-0126</t>
  </si>
  <si>
    <t>TS-EB-LIVE-PRODUCTS-0126: Send Funds via Local Fund Transfer v1.0_Initiate Local Funds Transfer API_Validate that all optional body parameters are present and correctly formatted as per API specification via EWB to EWRB</t>
  </si>
  <si>
    <t>TS-EB-LIVE-PRODUCTS-0127</t>
  </si>
  <si>
    <t>TS-EB-LIVE-PRODUCTS-0127: Send Funds via Local Fund Transfer v1.0_Initiate Local Funds Transfer API_Verify if not required body parameters validation/notes are enforced as per API specification via EWB to EWRB upon using invalid values</t>
  </si>
  <si>
    <t>TS-EB-LIVE-PRODUCTS-0128</t>
  </si>
  <si>
    <t>TS-EB-LIVE-PRODUCTS-0128: Send Funds via Local Fund Transfer v1.0_Initiate Local Funds Transfer API_Verify if not required body parameters validation/notes are enforced as per API specification via EWB to InstaPay upon using invalid values</t>
  </si>
  <si>
    <t>TS-EB-LIVE-PRODUCTS-0129</t>
  </si>
  <si>
    <t>TS-EB-LIVE-PRODUCTS-0129: Send Funds via Local Fund Transfer v1.0_Initiate Local Funds Transfer API_Verify if not required body parameters validation/notes are enforced as per API specification via EWB to PESONet upon using invalid values</t>
  </si>
  <si>
    <t>TS-EB-LIVE-PRODUCTS-0130</t>
  </si>
  <si>
    <t>TS-EB-LIVE-PRODUCTS-0130: Send Funds via Local Fund Transfer v1.0_Initiate Local Funds Transfer API_Verify that resending the same request with the same 13‑digit idempotency key returns the original response</t>
  </si>
  <si>
    <t>TS-EB-LIVE-PRODUCTS-0131</t>
  </si>
  <si>
    <t>TS-EB-LIVE-PRODUCTS-0131: Send Funds via Local Fund Transfer v1.0_Initiate Local Funds Transfer API_Verify Different payload with the same idempotency-key response</t>
  </si>
  <si>
    <t>TS-EB-LIVE-PRODUCTS-0132</t>
  </si>
  <si>
    <t>TS-EB-LIVE-PRODUCTS-0132: Send Funds via Local Fund Transfer v1.0_Initiate Local Funds Transfer API_Verify Different payload with the same idempotency-key response time / processing time</t>
  </si>
  <si>
    <t>TS-EB-LIVE-PRODUCTS-0133</t>
  </si>
  <si>
    <t>TS-EB-LIVE-PRODUCTS-0133: Send Funds via Local Fund Transfer v1.0_Initiate Local Funds Transfer API_Verify that resending the same request with the same 13‑digit idempotency key prevents the duplicate transactions during timeout</t>
  </si>
  <si>
    <t>TS-EB-LIVE-PRODUCTS-0135</t>
  </si>
  <si>
    <t>TS-EB-LIVE-PRODUCTS-0135: Send Funds via Local Fund Transfer v1.0_Initiate Local Funds Transfer API_Verify that a request resent with the same 13‑digit idempotency key within 48 hours is detected and not re‑processed.</t>
  </si>
  <si>
    <t>The API Portal detects an existing transaction for the idempotency key.
(Application-ID + Product-ID + 13-digit idempotency-key)
The transaction is not re‑processed.
No new transaction record is created.</t>
  </si>
  <si>
    <t>TS-EB-LIVE-PRODUCTS-0136</t>
  </si>
  <si>
    <t>TS-EB-LIVE-PRODUCTS-0136: Send Funds via Local Fund Transfer v1.0_Initiate Local Funds Transfer API_Verify that duplicate requests within TTL do not result in additional transactions</t>
  </si>
  <si>
    <t>TS-EB-LIVE-PRODUCTS-0138</t>
  </si>
  <si>
    <t>TS-EB-LIVE-PRODUCTS-0138: Send Funds via Local Fund Transfer v1.0_Initiate Local Funds Transfer API_Verify request using missing client-secret</t>
  </si>
  <si>
    <t>Send POST Request of Send Funds Local Fund Transfer via Intrabank/InstaPay/PESONet without/missing client-secret</t>
  </si>
  <si>
    <t>Updated: 200 OK
*client-crendentials set as non-mandatory</t>
  </si>
  <si>
    <t>TS-EB-LIVE-PRODUCTS-0139</t>
  </si>
  <si>
    <t>TS-EB-LIVE-PRODUCTS-0139: Send Funds via Local Fund Transfer v1.0_Initiate Local Funds Transfer API_Verify request using missing client-id</t>
  </si>
  <si>
    <t>Send POST Request of Send Funds Local Fund Transfer via Intrabank/InstaPay/PESONet without/missing client-id</t>
  </si>
  <si>
    <t>200 OK
Error message is displayed</t>
  </si>
  <si>
    <t>TS-EB-LIVE-PRODUCTS-0140</t>
  </si>
  <si>
    <t>TS-EB-LIVE-PRODUCTS-0140: Send Funds via Local Fund Transfer v1.0_Initiate Local Funds Transfer API_Verify request when partner-id header is missing.</t>
  </si>
  <si>
    <t>Failed/ Rejected 401 Unauthorized
Error message indicates missing Partner-ID</t>
  </si>
  <si>
    <t>Failed/ Rejected 403 Forbidden
Error message indicates Partner ID linkage</t>
  </si>
  <si>
    <t>TS-EB-LIVE-PRODUCTS-0144</t>
  </si>
  <si>
    <t>TS-EB-LIVE-PRODUCTS-0144: Send Funds via Local Fund Transfer v1.0_Initiate Local Funds Transfer API_Verify that the request does not proceed when the source account is not registered as Client‑Owned in Client Hub.</t>
  </si>
  <si>
    <t>API Portal validates and rejects the request because of unregistered accounts
Invalid binding or unregistered account returns clear error (503 or 400) within ≤ 1 second</t>
  </si>
  <si>
    <t>TS-EB-LIVE-PRODUCTS-0146</t>
  </si>
  <si>
    <t>TS-EB-LIVE-PRODUCTS-0146: Send Funds via Local Fund Transfer v1.0_Initiate Local Funds Transfer API_Verify that Transaction ID is generated on successful Instapay transaction</t>
  </si>
  <si>
    <t>TS-EB-LIVE-PRODUCTS-0147</t>
  </si>
  <si>
    <t>TS-EB-LIVE-PRODUCTS-0147: Send Funds via Local Fund Transfer v1.0_Initiate Local Funds Transfer API_Verify that Transaction ID is generated on successful PESONet transaction</t>
  </si>
  <si>
    <t>TS-EB-LIVE-PRODUCTS-0149</t>
  </si>
  <si>
    <t>TS-EB-LIVE-PRODUCTS-0149: Send Funds via Local Fund Transfer v1.0_Initiate Local Funds Transfer API_Verify that apiTxnId format containts 36 BIGINT auto-increment primary key of Instapay transaction</t>
  </si>
  <si>
    <t>TS-EB-LIVE-PRODUCTS-0150</t>
  </si>
  <si>
    <t>TS-EB-LIVE-PRODUCTS-0150: Send Funds via Local Fund Transfer v1.0_Initiate Local Funds Transfer API_Verify that apiTxnId format containts 36 BIGINT auto-increment primary key of PESONet transaction</t>
  </si>
  <si>
    <t>TS-EB-LIVE-PRODUCTS-0152</t>
  </si>
  <si>
    <t>TS-EB-LIVE-PRODUCTS-0152: Send Funds via Local Fund Transfer v1.0_Initiate Local Funds Transfer API_Verify that apiTxnRef has correct format of Instapay transaction</t>
  </si>
  <si>
    <t>TS-EB-LIVE-PRODUCTS-0153</t>
  </si>
  <si>
    <t>TS-EB-LIVE-PRODUCTS-0153: Send Funds via Local Fund Transfer v1.0_Initiate Local Funds Transfer API_Verify that apiTxnRef has correct format of PESONet transaction</t>
  </si>
  <si>
    <t>TS-EB-LIVE-PRODUCTS-0155</t>
  </si>
  <si>
    <t>TS-EB-LIVE-PRODUCTS-0155: Send Funds via Local Fund Transfer v1.0_Initiate Local Funds Transfer API_Verify that apiTxnRef has propagated to downstream system Instapay transaction</t>
  </si>
  <si>
    <t>TS-EB-LIVE-PRODUCTS-0156</t>
  </si>
  <si>
    <t>TS-EB-LIVE-PRODUCTS-0156: Send Funds via Local Fund Transfer v1.0_Initiate Local Funds Transfer API_Verify that apiTxnRef has propagated to downstream system PESONet transaction</t>
  </si>
  <si>
    <t>TS-EB-LIVE-PRODUCTS-0160</t>
  </si>
  <si>
    <t>TS-EB-LIVE-PRODUCTS-0160: Send Funds via Local Fund Transfer v1.0_Initiate Local Funds Transfer API_Verify status updates processing time for PESONet</t>
  </si>
  <si>
    <t>Send POST Request of valid Send Funds Local Fund Transfer via PESONet. Check processing time</t>
  </si>
  <si>
    <t>Within an hour (1) of the expected status update cut-offs for PESONet</t>
  </si>
  <si>
    <t>Send POST Request of valid Send Funds Local Fund Transfer via Intrabank/Instapay. Check processing time</t>
  </si>
  <si>
    <t>Reconciliation and status updates are completed within ≤ 5 seconds for real-time rails</t>
  </si>
  <si>
    <t>TS-EB-LIVE-PRODUCTS-0162</t>
  </si>
  <si>
    <t>TS-EB-LIVE-PRODUCTS-0162: Send Funds via Local Fund Transfer v1.0_Initiate Local Funds Transfer API_Verify Status progression of created transfer</t>
  </si>
  <si>
    <t>TS-EB-LIVE-PRODUCTS-0163</t>
  </si>
  <si>
    <t>TS-EB-LIVE-PRODUCTS-0163: Send Funds via Local Fund Transfer v1.0_Initiate Local Funds Transfer API_Verify mismatch status of transactions in Client Hub -Transaction Management page</t>
  </si>
  <si>
    <t>TS-EB-LIVE-PRODUCTS-0164</t>
  </si>
  <si>
    <t>TS-EB-LIVE-PRODUCTS-0164: Send Funds via Local Fund Transfer v1.0_Initiate Local Funds Transfer API_Verify mismatch status of transactions in Check Local Funds Transfer Details and Status API endpoint</t>
  </si>
  <si>
    <t>TS-EB-LIVE-PRODUCTS-0168</t>
  </si>
  <si>
    <t>TS-EB-LIVE-PRODUCTS-0168: Send Funds via Local Fund Transfer v1.0_Initiate Local Funds Transfer API_Verify that a valid Instapay fund transfer request is forwarded to EWB Core and processed via the InstaPay payment rail.</t>
  </si>
  <si>
    <t>TS-EB-LIVE-PRODUCTS-0169</t>
  </si>
  <si>
    <t>TS-EB-LIVE-PRODUCTS-0169: Send Funds via Local Fund Transfer v1.0_Initiate Local Funds Transfer API_Verify that a valid PESONet fund transfer request is forwarded to EWB Core and queued or processed via the PESONet payment rail based on cut‑off times.</t>
  </si>
  <si>
    <t>TS-EB-LIVE-PRODUCTS-0174</t>
  </si>
  <si>
    <t>TS-EB-LIVE-PRODUCTS-0174: Send Funds via Local Fund Transfer v1.0_Initiate Local Funds Transfer API_Verify error response status of failed request when reusing an Idempotency‑Key with a different payload</t>
  </si>
  <si>
    <t>Send POST Request of Send Funds Local Fund Transfer via Intrabank/Instapay/PESONet during timeout, internal processing failure, or network issue</t>
  </si>
  <si>
    <t>API returns 500 Internal Server Error
Error message indicates internal system or downstream failure
No transaction is left in an unknown or inconsistent state
Error is logged and auditable</t>
  </si>
  <si>
    <t>TS-EB-LIVE-PRODUCTS-0177</t>
  </si>
  <si>
    <t>TS-EB-LIVE-PRODUCTS-0177: Send Funds via Local Fund Transfer v1.0_Initiate Local Funds Transfer API_Verify successful retry of a timed‑out local funds transfer request using the same idempotency key</t>
  </si>
  <si>
    <t>Original transaction outcome is returned
No duplicate transaction is created
Response is returned within ≤ 500 ms</t>
  </si>
  <si>
    <t>TS-EB-LIVE-PRODUCTS-0178</t>
  </si>
  <si>
    <t>TS-EB-LIVE-PRODUCTS-0178: Send Funds via Local Fund Transfer v1.0_Initiate Local Funds Transfer API_Verify failed retry of a timed‑out local funds transfer request using the same idepotency key with a different payload</t>
  </si>
  <si>
    <t>TS-EB-LIVE-PRODUCTS-0179</t>
  </si>
  <si>
    <t>TS-EB-LIVE-PRODUCTS-0179: Send Funds via Local Fund Transfer v1.0_Initiate Local Funds Transfer API_Verify retry behavior when attempting to resend an already completed local funds transfer request</t>
  </si>
  <si>
    <t>TS-EB-LIVE-PRODUCTS-0180</t>
  </si>
  <si>
    <t>TS-EB-LIVE-PRODUCTS-0180: Send Funds via Local Fund Transfer v1.0_Initiate Local Funds Transfer API_Verify behavior when retrying a timed‑out local funds transfer request using a new idempotency key</t>
  </si>
  <si>
    <t>TS-EB-LIVE-PRODUCTS-0181</t>
  </si>
  <si>
    <t>TS-EB-LIVE-PRODUCTS-0181: Send Funds via Local Fund Transfer v1.0_Initiate Local Funds Transfer API_Verify behavior when retrying a timed‑out local funds transfer request using same idempotency key after 48 hrs TTL</t>
  </si>
  <si>
    <t>Send Successful POST Request of Send Funds Local Fund Transfer via Intrabank/Instapay/PESONet using unique idempotency key.</t>
  </si>
  <si>
    <t>TS-EB-LIVE-PRODUCTS-0211</t>
  </si>
  <si>
    <t>TS-EB-LIVE-PRODUCTS-0211: Send Funds via Local Fund Transfer v1.0_Initiate Local Funds Transfer API_Verify Successful initiation of a Local Funds Transfer via Instapay but Failed transaction upon rejected by Instapay due to target Bank/Wallet Account cann</t>
  </si>
  <si>
    <t>Success Status 202 ACCEPTED
DB Initial Status = RECEIVED
EWB API PORTAL
Status = FAILED_REJECTED
Respone Code = The rejection code from the Payment Rail [AC01, AC03, AM21]
Response Description: The transaction was rejected by the payment rail. This usually means there is an issue with the target bank or wallet account.
Transaction Handling: No action needed since this is already in its final state
Complete rejection code and description must be included into the API response and API Portal Database (for Client Hub viewing and Transaction Inquiry APIs)</t>
  </si>
  <si>
    <t>TS-EB-LIVE-PRODUCTS-0212</t>
  </si>
  <si>
    <t>TS-EB-LIVE-PRODUCTS-0212: Send Funds via Local Fund Transfer v1.0_Initiate Local Funds Transfer API_Verify Successful initiation of a Local Funds Transfer via Instapay but Failed transaction upon rejected by PESONet due to target Bank/Wallet Account canno</t>
  </si>
  <si>
    <t>TS-EB-LIVE-PRODUCTS-0213</t>
  </si>
  <si>
    <t>TS-EB-LIVE-PRODUCTS-0213: Send Funds via Local Fund Transfer v1.0_Initiate Local Funds Transfer API_Verify Successful initiation of a Local Funds Transfer via Instapay but Failed transaction upon rejected by Instapay due to suspect transactions/Unknown st</t>
  </si>
  <si>
    <t>Success Status 202 ACCEPTED
DB Initial Status = RECEIVED
EWB API PORTAL
Status = FAILED_RECON
Respone Code = The rejection code from the Payment Rail [DS24]
Response Description: The transaction has been accepted for processing, but the final status is not yet available. The transaction is subject for reconciliation.
Transaction Handling: These transactions should be picked up by the automated recon/status updates.
Complete rejection code and description must be included into the API response and API Portal Database (for Client Hub viewing and Transaction Inquiry APIs)</t>
  </si>
  <si>
    <t>TS-EB-LIVE-PRODUCTS-0214</t>
  </si>
  <si>
    <t>TS-EB-LIVE-PRODUCTS-0214: Send Funds via Local Fund Transfer v1.0_Initiate Local Funds Transfer API_Verify Successful initiation of a Local Funds Transfer via PESONet but Failed transaction upon rejected by PESONet due to suspect transactions/Unknown stat</t>
  </si>
  <si>
    <t>TS-EB-LIVE-PRODUCTS-0215</t>
  </si>
  <si>
    <t>TS-EB-LIVE-PRODUCTS-0215: Send Funds via Local Fund Transfer v1.0_Initiate Local Funds Transfer API_Verify Successful initiation of a Local Funds Transfer via Instapay but Failed transaction due to Payment Rail Timeout</t>
  </si>
  <si>
    <t>TS-EB-LIVE-PRODUCTS-0216</t>
  </si>
  <si>
    <t>TS-EB-LIVE-PRODUCTS-0216: Send Funds via Local Fund Transfer v1.0_Initiate Local Funds Transfer API_Verify Successful initiation of a Local Funds Transfer via PESONet but Failed transaction due to Payment Rail Timeout</t>
  </si>
  <si>
    <t>TS-EB-LIVE-PRODUCTS-0217</t>
  </si>
  <si>
    <t>TS-EB-LIVE-PRODUCTS-0217: Send Funds via Local Fund Transfer v1.0_Initiate Local Funds Transfer API_Verify Successful initiation of a Local Funds Transfer via Instapay but Failed transaction due to Payment Rail Error, Errors due to EWB,Catch All</t>
  </si>
  <si>
    <t>TS-EB-LIVE-PRODUCTS-0218</t>
  </si>
  <si>
    <t>TS-EB-LIVE-PRODUCTS-0218: Send Funds via Local Fund Transfer v1.0_Initiate Local Funds Transfer API_Verify Successful initiation of a Local Funds Transfer via PESONet but Failed transaction due to Payment Rail Error, Errors due to EWB,Catch All</t>
  </si>
  <si>
    <t>Send POST Request of Send Funds via Local Fund Transfer for Instapay but Failed due to PESONet rejection due to "Other Rejection Codes or Errors on EWB with clear indication that the transaction did not push through. (Payment Rail Error, Errors due to EWB, Catch All)</t>
  </si>
  <si>
    <t>TS-EB-LIVE-PRODUCTS-0219</t>
  </si>
  <si>
    <t>TS-EB-LIVE-PRODUCTS-0219: Send Funds via Local Fund Transfer v1.0_Initiate Local Funds Transfer API_Verify Successful initiation of a Local Funds Transfer via Intrabank but Failed due to transaction not push through Catch All</t>
  </si>
  <si>
    <t>TS-EB-LIVE-PRODUCTS-0220</t>
  </si>
  <si>
    <t>TS-EB-LIVE-PRODUCTS-0220: Send Funds via Local Fund Transfer v1.0_Initiate Local Funds Transfer API_Verify Successful initiation of a Local Funds Transfer accross all channels but Failed due to System Timeout on EWB Core 
with clear indication that the tr</t>
  </si>
  <si>
    <t>TS-EB-LIVE-PRODUCTS-0221</t>
  </si>
  <si>
    <t>TS-EB-LIVE-PRODUCTS-0221: Send Funds via Local Fund Transfer v1.0_Initiate Local Funds Transfer API_Verify Successful initiation of a Local Funds Transfer across all channels but Failed due to System Timeout on EWB Core 
with NO clear indication if tee tr</t>
  </si>
  <si>
    <t>Send POST Request of Send Funds via Local Fund Transfer across all channels but Failed due to "System Timeout on EWB Core with NO clear indication if tee transaction pushed through or not (T24, RTP, Intuition)"</t>
  </si>
  <si>
    <t>Failed Status 500 Internal Server Error
EWB API PORTAL
Status = PENDING_PROCESSING
Respone Code = 500
Response Description: The transaction has been accepted for processing, but the final status is not yet available. The transaction is subject for reconciliation.
Transaction Handling: These transactions should be picked up by the automated recon/status updates.
Complete rejection code and description must be included into the API response and API Portal Database (for Client Hub viewing and Transaction Inquiry APIs)</t>
  </si>
  <si>
    <t>TS-EB-LIVE-PRODUCTS-0256</t>
  </si>
  <si>
    <t>TS-EB-LIVE-PRODUCTS-0256: Send Funds via Local Fund Transfer v1.0_Initiate Local Funds Transfer API_Verify POST request of Different payload with the unqiue idempotency-key response</t>
  </si>
  <si>
    <t>Success 200 OK 
{
    "apiTxnId": 20,
    "apiTxnRef": "60000000000010156580823",
    "ewbCoreReference": null,
    "externalRailReference": null,
    "responseCode": "ACCEPTED",
    "status": "PENDING",
    "responseDescription": null,
    "createdTimestamp": "2026-06-01T14:50:41.0068888"
}</t>
  </si>
  <si>
    <t>Failed 400 (Bad Request)
Error details for missing fields
Response Body contains:
- access_token [Token is valid and usable]
- token_type
- expires_in
-authId</t>
  </si>
  <si>
    <t>ExpectedResponseDescription</t>
  </si>
  <si>
    <t>Invalid OAuth2 request parameters</t>
  </si>
  <si>
    <t>The accountNumber provided is invalid, not recognized, or not registered in Client Hub.</t>
  </si>
  <si>
    <t>The scope provided is invalid or not recognized</t>
  </si>
  <si>
    <t xml:space="preserve">104234abc4 </t>
  </si>
  <si>
    <t>104234abc4</t>
  </si>
  <si>
    <t>Invalid Channel. The Channel provided is invalid.</t>
  </si>
  <si>
    <t>Missing required parameter: api-key</t>
  </si>
  <si>
    <t>Missing required parameter: partner-id</t>
  </si>
  <si>
    <t>Invalid API key. The API key provided was not found.</t>
  </si>
  <si>
    <t>The partner ID provided is invalid, not recognized, or not registered in Client Hub.</t>
  </si>
  <si>
    <t>Query parameter apiTxnRef must be a 23-character alphanumeric string.</t>
  </si>
  <si>
    <t>Transaction not found for the provided idempotencyKey</t>
  </si>
  <si>
    <t>Transaction not found for the provided apiTxnId</t>
  </si>
  <si>
    <t>Transaction not found for the provided apiTxnRef</t>
  </si>
  <si>
    <t>Exactly one of idempotencyKey, apiTxnId, or apiTxnRef must be provided</t>
  </si>
  <si>
    <t xml:space="preserve"> </t>
  </si>
  <si>
    <t>Missing required parameter: Authorization</t>
  </si>
  <si>
    <t>Account not found for accountNumber=200061777909 and partnerId=104234abc4</t>
  </si>
  <si>
    <t>Account not found for accountNumber=200061778909 and partnerId=104234abc4</t>
  </si>
  <si>
    <t>Missing required parameter: sourceAccountNumber</t>
  </si>
  <si>
    <t>Missing required parameter: targetAccountNumber</t>
  </si>
  <si>
    <t>2000617779028765923451</t>
  </si>
  <si>
    <t>Account not found for accountNumber=2000617779028765923451 and partnerId=104234abc4</t>
  </si>
  <si>
    <t>Account not found for accountNumber=200 and partnerId=104234abc4</t>
  </si>
  <si>
    <t>200</t>
  </si>
  <si>
    <t>The partner ID provided is invalid, not recognized, or not registered in Client Hub</t>
  </si>
  <si>
    <t>The access token is not valid for this environment</t>
  </si>
  <si>
    <t xml:space="preserve">Validation failed for argument [4] in public org.springframework.http.ResponseEntity&lt;com.ewb.channels.authapi.response.AuthResponse&gt; com.ewb.channels.authapi.controllers.AuthenticationController.generateToken(java.lang.String,java.lang.String,java.lang.String,java.lang.String,com.ewb.channels.authapi.request.AuthRequest): [Field error in object 'authRequest' on field 'accountNumber': rejected value [20O06I858667]; codes [Pattern.authRequest.accountNumber,Pattern.accountNumber,Pattern.java.lang.String,Pattern]; arguments [org.springframework.context.support.DefaultMessageSourceResolvable: codes [authRequest.accountNumber,accountNumber]; arguments []; default message [accountNumber],[Ljakarta.validation.constraints.Pattern$Flag;@71b42a82,^[0-9]+$]; default message [Account number must contain only digits]] </t>
  </si>
  <si>
    <t xml:space="preserve">Validation failed for argument [4] in public org.springframework.http.ResponseEntity&lt;com.ewb.channels.authapi.response.AuthResponse&gt; com.ewb.channels.authapi.controllers.AuthenticationController.generateToken(java.lang.String,java.lang.String,java.lang.String,java.lang.String,com.ewb.channels.authapi.request.AuthRequest) with 2 errors: [Field error in object 'authRequest' on field 'accountNumber': rejected value []; codes [Size.authRequest.accountNumber,Size.accountNumber,Size.java.lang.String,Size]; arguments [org.springframework.context.support.DefaultMessageSourceResolvable: codes [authRequest.accountNumber,accountNumber]; arguments []; default message [accountNumber],20,5]; default message [Account number must be between 5 and 20 characters]] [Field error in object 'authRequest' on field 'accountNumber': rejected value []; codes [Pattern.authRequest.accountNumber,Pattern.accountNumber,Pattern.java.lang.String,Pattern]; arguments [org.springframework.context.support.DefaultMessageSourceResolvable: codes [authRequest.accountNumber,accountNumber]; arguments []; default message [accountNumber],[Ljakarta.validation.constraints.Pattern$Flag;@71b42a82,^[0-9]+$]; default message [Account number must contain only digits]] </t>
  </si>
  <si>
    <t xml:space="preserve">  </t>
  </si>
  <si>
    <t>200061777902</t>
  </si>
  <si>
    <t>200061777909</t>
  </si>
  <si>
    <t>The scope provided The scope provided is invalid or not recognized</t>
  </si>
  <si>
    <t xml:space="preserve">   </t>
  </si>
  <si>
    <t xml:space="preserve">    </t>
  </si>
  <si>
    <t>/send-funds/localft/v1/list/institutions/channel=Instapay</t>
  </si>
  <si>
    <t>/send-funds/localft/v1/list/institutions/channel=PESONET</t>
  </si>
  <si>
    <t>/send-funds/localft/v1/list/institutions/channel=Globe</t>
  </si>
  <si>
    <t>/send-funds/localft/v1/list/institutions/channel=InstaPay</t>
  </si>
  <si>
    <t>/send-funds/localft/v1/list/institutions/channel=ABC</t>
  </si>
  <si>
    <t>/send-funds/localft/v1/list/institutions/channel=BinaryPay</t>
  </si>
  <si>
    <t xml:space="preserve">      </t>
  </si>
  <si>
    <t xml:space="preserve">Validation failed for argument [4] in public org.springframework.http.ResponseEntity&lt;com.ewb.channels.authapi.response.AuthResponse&gt; com.ewb.channels.authapi.controllers.AuthenticationController.generateToken(java.lang.String,java.lang.String,java.lang.String,java.lang.String,com.ewb.channels.authapi.request.AuthRequest): [Field error in object 'authRequest' on field 'scope': rejected value []; codes [Size.authRequest.scope,Size.scope,Size.java.lang.String,Size]; arguments [org.springframework.context.support.DefaultMessageSourceResolvable: codes [authRequest.scope,scope]; arguments []; default message [scope],100,1]; default message [Scope must be between 1 and 100 characters]] </t>
  </si>
  <si>
    <t>Missing required parameter: One or more credentials are invalid or unrecognized</t>
  </si>
  <si>
    <t>IN_GeoLatitude</t>
  </si>
  <si>
    <t>200061812368</t>
  </si>
  <si>
    <t>400000P000000</t>
  </si>
  <si>
    <t>Amount must be a plain decimal number (no scientific notation or letters).</t>
  </si>
  <si>
    <t>luyoBItdetZbLfAJ3F1kvLfZgl1UAEY2</t>
  </si>
  <si>
    <t>8TUw0J7mzxBXHFnFtx3Q3UC2Dcb7wB9v</t>
  </si>
  <si>
    <t>500027172507</t>
  </si>
  <si>
    <t>TS-EB-PRODUCTS-0012_1</t>
  </si>
  <si>
    <t>TS-EB-PRODUCTS-0012_2</t>
  </si>
  <si>
    <t>TS-EB-PRODUCTS-0012_3</t>
  </si>
  <si>
    <t>TS-EB-PRODUCTS-0012_4</t>
  </si>
  <si>
    <t>TS-EB-PRODUCTS-0012_1: Send Funds via Local Fund Transfer v1.0_Initiate Local Funds Transfer API_Transfer with minimum allowed amount</t>
  </si>
  <si>
    <t>TS-EB-PRODUCTS-0012_2: Send Funds via Local Fund Transfer v1.0_Initiate Local Funds Transfer API_Transfer with minimum allowed amount</t>
  </si>
  <si>
    <t>TS-EB-PRODUCTS-0012_3: Send Funds via Local Fund Transfer v1.0_Initiate Local Funds Transfer API_Transfer with minimum allowed amount</t>
  </si>
  <si>
    <t>TS-EB-PRODUCTS-0012_4: Send Funds via Local Fund Transfer v1.0_Initiate Local Funds Transfer API_Transfer with minimum allowed amount</t>
  </si>
  <si>
    <t>10.50</t>
  </si>
  <si>
    <t>11.67</t>
  </si>
  <si>
    <t>20.90</t>
  </si>
  <si>
    <t>30.50</t>
  </si>
  <si>
    <t>TS-EB-PRODUCTS-0013_1: Send Funds via Local Fund Transfer v1.0_Initiate Local Funds Transfer API_Transfer with maximum allowed amount</t>
  </si>
  <si>
    <t>TS-EB-PRODUCTS-0013_2: Send Funds via Local Fund Transfer v1.0_Initiate Local Funds Transfer API_Transfer with maximum allowed amount</t>
  </si>
  <si>
    <t>TS-EB-PRODUCTS-0013_3: Send Funds via Local Fund Transfer v1.0_Initiate Local Funds Transfer API_Transfer with maximum allowed amount</t>
  </si>
  <si>
    <t>TS-EB-PRODUCTS-0013_1</t>
  </si>
  <si>
    <t>TS-EB-PRODUCTS-0013_2</t>
  </si>
  <si>
    <t>TS-EB-PRODUCTS-0013_3</t>
  </si>
  <si>
    <t>TS-EB-PRODUCTS-0013_4</t>
  </si>
  <si>
    <t>TS-EB-PRODUCTS-0013_4: Send Funds via Local Fund Transfer v1.0_Initiate Local Funds Transfer API_Transfer with maximum allowed amount</t>
  </si>
  <si>
    <t>10000</t>
  </si>
  <si>
    <t>5000</t>
  </si>
  <si>
    <t>5000.45</t>
  </si>
  <si>
    <t>TS-EB-PRODUCTS-0020_1: Send Funds via Local Fund Transfer v1.0_Initiate Local Funds Transfer API_Transfer with Zero amount</t>
  </si>
  <si>
    <t>TS-EB-PRODUCTS-0020_2: Send Funds via Local Fund Transfer v1.0_Initiate Local Funds Transfer API_Transfer with Zero amount</t>
  </si>
  <si>
    <t>TS-EB-PRODUCTS-0020_1</t>
  </si>
  <si>
    <t>TS-EB-PRODUCTS-0020_2</t>
  </si>
  <si>
    <t>TS-EB-PRODUCTS-0020_3</t>
  </si>
  <si>
    <t>TS-EB-PRODUCTS-0020_4</t>
  </si>
  <si>
    <t>0</t>
  </si>
  <si>
    <t>TS-EB-PRODUCTS-0020_3: Send Funds via Local Fund Transfer v1.0_Initiate Local Funds Transfer API_Transfer with Zero amount</t>
  </si>
  <si>
    <t>TS-EB-PRODUCTS-0020_4: Send Funds via Local Fund Transfer v1.0_Initiate Local Funds Transfer API_Transfer with Zero amount</t>
  </si>
  <si>
    <t>Transfer amount must be greater than or equal to 1</t>
  </si>
  <si>
    <t>TS-EB-PRODUCTS-0021_1: Send Funds via Local Fund Transfer v1.0_Initiate Local Funds Transfer API_Transfer with Negative amount</t>
  </si>
  <si>
    <t>TS-EB-PRODUCTS-0021_2: Send Funds via Local Fund Transfer v1.0_Initiate Local Funds Transfer API_Transfer with Negative amount</t>
  </si>
  <si>
    <t>TS-EB-PRODUCTS-0021_3: Send Funds via Local Fund Transfer v1.0_Initiate Local Funds Transfer API_Transfer with Negative amount</t>
  </si>
  <si>
    <t>TS-EB-PRODUCTS-0021_4: Send Funds via Local Fund Transfer v1.0_Initiate Local Funds Transfer API_Transfer with Negative amount</t>
  </si>
  <si>
    <t>TS-EB-PRODUCTS-0021_1</t>
  </si>
  <si>
    <t>TS-EB-PRODUCTS-0021_2</t>
  </si>
  <si>
    <t>TS-EB-PRODUCTS-0021_3</t>
  </si>
  <si>
    <t>TS-EB-PRODUCTS-0021_4</t>
  </si>
  <si>
    <t>-20</t>
  </si>
  <si>
    <t>TS-EB-PRODUCTS-0022_1: Send Funds via Local Fund Transfer v1.0_Initiate Local Funds Transfer API_Transfer with Insufficient Balance</t>
  </si>
  <si>
    <t>TS-EB-PRODUCTS-0022_2: Send Funds via Local Fund Transfer v1.0_Initiate Local Funds Transfer API_Transfer with Insufficient Balance</t>
  </si>
  <si>
    <t>TS-EB-PRODUCTS-0022_3: Send Funds via Local Fund Transfer v1.0_Initiate Local Funds Transfer API_Transfer with Insufficient Balance</t>
  </si>
  <si>
    <t>TS-EB-PRODUCTS-0022_4: Send Funds via Local Fund Transfer v1.0_Initiate Local Funds Transfer API_Transfer with Insufficient Balance</t>
  </si>
  <si>
    <t>TS-EB-PRODUCTS-0022_1</t>
  </si>
  <si>
    <t>TS-EB-PRODUCTS-0022_2</t>
  </si>
  <si>
    <t>TS-EB-PRODUCTS-0022_3</t>
  </si>
  <si>
    <t>TS-EB-PRODUCTS-0022_4</t>
  </si>
  <si>
    <t>200061812481</t>
  </si>
  <si>
    <t>70000</t>
  </si>
  <si>
    <t>TS-EB-PRODUCTS-0023_1</t>
  </si>
  <si>
    <t>TS-EB-PRODUCTS-0023_2</t>
  </si>
  <si>
    <t>TS-EB-PRODUCTS-0023_3</t>
  </si>
  <si>
    <t>TS-EB-PRODUCTS-0023_4</t>
  </si>
  <si>
    <t>TS-EB-PRODUCTS-0023_1: Send Funds via Local Fund Transfer v1.0_Initiate Local Funds Transfer API_Transfer with No Amount</t>
  </si>
  <si>
    <t>TS-EB-PRODUCTS-0023_2: Send Funds via Local Fund Transfer v1.0_Initiate Local Funds Transfer API_Transfer with No Amount</t>
  </si>
  <si>
    <t>TS-EB-PRODUCTS-0023_3: Send Funds via Local Fund Transfer v1.0_Initiate Local Funds Transfer API_Transfer with No Amount</t>
  </si>
  <si>
    <t>TS-EB-PRODUCTS-0023_4: Send Funds via Local Fund Transfer v1.0_Initiate Local Funds Transfer API_Transfer with No Amount</t>
  </si>
  <si>
    <t>TS-EB-PRODUCTS-0024_1</t>
  </si>
  <si>
    <t>TS-EB-PRODUCTS-0024_2</t>
  </si>
  <si>
    <t>TS-EB-PRODUCTS-0024_3</t>
  </si>
  <si>
    <t>TS-EB-PRODUCTS-0024_4</t>
  </si>
  <si>
    <t>TS-EB-PRODUCTS-0024_1: Send Funds via Local Fund Transfer v1.0_Initiate Local Funds Transfer API_Transfer with Alphanumeric amount</t>
  </si>
  <si>
    <t>67.B9</t>
  </si>
  <si>
    <t>25O.45</t>
  </si>
  <si>
    <t>45.IB</t>
  </si>
  <si>
    <t>TS-EB-PRODUCTS-0024_2: Send Funds via Local Fund Transfer v1.0_Initiate Local Funds Transfer API_Transfer with Alphanumeric amount</t>
  </si>
  <si>
    <t>TS-EB-PRODUCTS-0024_3: Send Funds via Local Fund Transfer v1.0_Initiate Local Funds Transfer API_Transfer with Alphanumeric amount</t>
  </si>
  <si>
    <t>TS-EB-PRODUCTS-0024_4: Send Funds via Local Fund Transfer v1.0_Initiate Local Funds Transfer API_Transfer with Alphanumeric amount</t>
  </si>
  <si>
    <t>TS-EB-PRODUCTS-0025_1</t>
  </si>
  <si>
    <t>TS-EB-PRODUCTS-0025_2</t>
  </si>
  <si>
    <t>TS-EB-PRODUCTS-0025_3</t>
  </si>
  <si>
    <t>TS-EB-PRODUCTS-0025_4</t>
  </si>
  <si>
    <t>TS-EB-PRODUCTS-0025_1: Send Funds via Local Fund Transfer v1.0_Initiate Local Funds Transfer API_Verify Invalid Scope in Access Token - Access token does not include sendfunds.initiate</t>
  </si>
  <si>
    <t>TS-EB-PRODUCTS-0025_2: Send Funds via Local Fund Transfer v1.0_Initiate Local Funds Transfer API_Verify Invalid Scope in Access Token - Access token does not include sendfunds.initiate</t>
  </si>
  <si>
    <t>TS-EB-PRODUCTS-0025_3: Send Funds via Local Fund Transfer v1.0_Initiate Local Funds Transfer API_Verify Invalid Scope in Access Token - Access token does not include sendfunds.initiate</t>
  </si>
  <si>
    <t>TS-EB-PRODUCTS-0025_4: Send Funds via Local Fund Transfer v1.0_Initiate Local Funds Transfer API_Verify Invalid Scope in Access Token - Access token does not include sendfunds.initiate</t>
  </si>
  <si>
    <t>25</t>
  </si>
  <si>
    <t>TS-EB-PRODUCTS-0026_1</t>
  </si>
  <si>
    <t>TS-EB-PRODUCTS-0026_2</t>
  </si>
  <si>
    <t>TS-EB-PRODUCTS-0026_3</t>
  </si>
  <si>
    <t>TS-EB-PRODUCTS-0026_4</t>
  </si>
  <si>
    <t>TS-EB-PRODUCTS-0026_1: Send Funds via Local Fund Transfer v1.0_Initiate Local Funds Transfer API_Verify if Expired Access Token is use in Local Fund Transfer</t>
  </si>
  <si>
    <t>TS-EB-PRODUCTS-0026_2: Send Funds via Local Fund Transfer v1.0_Initiate Local Funds Transfer API_Verify if Expired Access Token is use in Local Fund Transfer</t>
  </si>
  <si>
    <t>TS-EB-PRODUCTS-0026_3: Send Funds via Local Fund Transfer v1.0_Initiate Local Funds Transfer API_Verify if Expired Access Token is use in Local Fund Transfer</t>
  </si>
  <si>
    <t>TS-EB-PRODUCTS-0026_4: Send Funds via Local Fund Transfer v1.0_Initiate Local Funds Transfer API_Verify if Expired Access Token is use in Local Fund Transfer</t>
  </si>
  <si>
    <t>Token does not belong to the specified partner or the token is invalid/expired</t>
  </si>
  <si>
    <t>FUAaR7QLITHxxzl5avgKaZ5ZxWg4PB57</t>
  </si>
  <si>
    <t>TS-EB-PRODUCTS-0028_1</t>
  </si>
  <si>
    <t>TS-EB-PRODUCTS-0028_2</t>
  </si>
  <si>
    <t>TS-EB-PRODUCTS-0028_3</t>
  </si>
  <si>
    <t>TS-EB-PRODUCTS-0028_4</t>
  </si>
  <si>
    <t>TS-EB-PRODUCTS-0028_1: Send Funds via Local Fund Transfer v1.0_Initiate Local Funds Transfer API_Verify if Invalid Partner ID is use in Local Fund Transfer</t>
  </si>
  <si>
    <t>TS-EB-PRODUCTS-0028_2: Send Funds via Local Fund Transfer v1.0_Initiate Local Funds Transfer API_Verify if Invalid Partner ID is use in Local Fund Transfer</t>
  </si>
  <si>
    <t>TS-EB-PRODUCTS-0028_3: Send Funds via Local Fund Transfer v1.0_Initiate Local Funds Transfer API_Verify if Invalid Partner ID is use in Local Fund Transfer</t>
  </si>
  <si>
    <t>TS-EB-PRODUCTS-0028_4: Send Funds via Local Fund Transfer v1.0_Initiate Local Funds Transfer API_Verify if Invalid Partner ID is use in Local Fund Transfer</t>
  </si>
  <si>
    <t>263677df79</t>
  </si>
  <si>
    <t>263668df68</t>
  </si>
  <si>
    <t>46k677df68</t>
  </si>
  <si>
    <t>TS-EB-PRODUCTS-0029_1</t>
  </si>
  <si>
    <t>TS-EB-PRODUCTS-0029_2</t>
  </si>
  <si>
    <t>TS-EB-PRODUCTS-0029_3</t>
  </si>
  <si>
    <t>TS-EB-PRODUCTS-0029_4</t>
  </si>
  <si>
    <t>TS-EB-PRODUCTS-0029_1: Send Funds via Local Fund Transfer v1.0_Initiate Local Funds Transfer API_Verify if Missing Access Token is use in Local Fund Transfer</t>
  </si>
  <si>
    <t>TS-EB-PRODUCTS-0029_2: Send Funds via Local Fund Transfer v1.0_Initiate Local Funds Transfer API_Verify if Missing Access Token is use in Local Fund Transfer</t>
  </si>
  <si>
    <t>TS-EB-PRODUCTS-0029_3: Send Funds via Local Fund Transfer v1.0_Initiate Local Funds Transfer API_Verify if Missing Access Token is use in Local Fund Transfer</t>
  </si>
  <si>
    <t>TS-EB-PRODUCTS-0029_4: Send Funds via Local Fund Transfer v1.0_Initiate Local Funds Transfer API_Verify if Missing Access Token is use in Local Fund Transfer</t>
  </si>
  <si>
    <t>TS-EB-PRODUCTS-0034: Send Funds via Local Fund Transfer v1.0_Initiate Local Funds Transfer API_Verify Initiation of Local Funds Transfer with Pending Closure Source Account via EWB to EWB</t>
  </si>
  <si>
    <t>200061812562</t>
  </si>
  <si>
    <t>200 OK But Transaction expected to Failed on Check Status</t>
  </si>
  <si>
    <t>200061858708</t>
  </si>
  <si>
    <t>150</t>
  </si>
  <si>
    <t>TS-EB-PRODUCTS-0043_1</t>
  </si>
  <si>
    <t>TS-EB-PRODUCTS-0043_2</t>
  </si>
  <si>
    <t>TS-EB-PRODUCTS-0043_1: Send Funds via Local Fund Transfer v1.0_Initiate Local Funds Transfer API_Verify Local Fund Transfer if Beneficiary Account is Closed or Inactive via Intrabank</t>
  </si>
  <si>
    <t>500027163184</t>
  </si>
  <si>
    <t>TS-EB-PRODUCTS-0043_2: Send Funds via Local Fund Transfer v1.0_Initiate Local Funds Transfer API_Verify Local Fund Transfer if Beneficiary Account is Closed or Inactive via Intrabank</t>
  </si>
  <si>
    <t>Internal Server Error</t>
  </si>
  <si>
    <t>200061817891</t>
  </si>
  <si>
    <t>500027172587</t>
  </si>
  <si>
    <t>091762961980855</t>
  </si>
  <si>
    <t>067000004780548</t>
  </si>
  <si>
    <t>100.50</t>
  </si>
  <si>
    <t>200061812503</t>
  </si>
  <si>
    <t>200061812511</t>
  </si>
  <si>
    <t>200061812527</t>
  </si>
  <si>
    <t>TS-EB-PRODUCTS-0064_1</t>
  </si>
  <si>
    <t>TS-EB-PRODUCTS-0064_2</t>
  </si>
  <si>
    <t>TS-EB-PRODUCTS-0064_1: Send Funds via Local Fund Transfer v1.0_Initiate Local Funds Transfer API_Verify Initiation of Local Funds Transfer across Intrabank with Post No Debit Beneficiary Account Number</t>
  </si>
  <si>
    <t>TS-EB-PRODUCTS-0064_2: Send Funds via Local Fund Transfer v1.0_Initiate Local Funds Transfer API_Verify Initiation of Local Funds Transfer across Intrabank with Post No Debit Beneficiary Account Number</t>
  </si>
  <si>
    <t>500027172523</t>
  </si>
  <si>
    <t>TS-EB-PRODUCTS-0065_1</t>
  </si>
  <si>
    <t>TS-EB-PRODUCTS-0065_1: Send Funds via Local Fund Transfer v1.0_Initiate Local Funds Transfer API_Verify Initiation of Local Funds Transfer across all Intrabank with Post No Credit Beneficiary Account Number</t>
  </si>
  <si>
    <t>500027172531</t>
  </si>
  <si>
    <t>TS-EB-PRODUCTS-0065_2</t>
  </si>
  <si>
    <t>TS-EB-PRODUCTS-0065_2: Send Funds via Local Fund Transfer v1.0_Initiate Local Funds Transfer API_Verify Initiation of Local Funds Transfer across all Intrabank with Post No Credit Beneficiary Account Number</t>
  </si>
  <si>
    <t>TS-EB-PRODUCTS-0066_1</t>
  </si>
  <si>
    <t>TS-EB-PRODUCTS-0066_1: Send Funds via Local Fund Transfer v1.0_Initiate Local Funds Transfer API_Verify Initiation of Local Funds Transfer across all Intrabank with Post No Entries Beneficiary Account Number</t>
  </si>
  <si>
    <t>500027172547</t>
  </si>
  <si>
    <t>TS-EB-PRODUCTS-0066_2: Send Funds via Local Fund Transfer v1.0_Initiate Local Funds Transfer API_Verify Initiation of Local Funds Transfer across all Intrabank with Post No Entries Beneficiary Account Number</t>
  </si>
  <si>
    <t>TS-EB-PRODUCTS-0066_2</t>
  </si>
  <si>
    <t>200061812554</t>
  </si>
  <si>
    <t>200061871313</t>
  </si>
  <si>
    <t>200061871321</t>
  </si>
  <si>
    <t>TS-EB-PRODUCTS-0079_1</t>
  </si>
  <si>
    <t>TS-EB-PRODUCTS-0079_2</t>
  </si>
  <si>
    <t>TS-EB-PRODUCTS-0080_1</t>
  </si>
  <si>
    <t>TS-EB-PRODUCTS-0080_2</t>
  </si>
  <si>
    <t>TS-EB-PRODUCTS-0081_1</t>
  </si>
  <si>
    <t>TS-EB-PRODUCTS-0081_2</t>
  </si>
  <si>
    <t>TS-EB-PRODUCTS-0079_1: Send Funds via Local Fund Transfer v1.0_Initiate Local Funds Transfer API_Verify Initiation of Local Funds Transfer across Intrabank with Post No Debit Customer CIF / Customer ID (Destination)</t>
  </si>
  <si>
    <t>TS-EB-PRODUCTS-0079_2: Send Funds via Local Fund Transfer v1.0_Initiate Local Funds Transfer API_Verify Initiation of Local Funds Transfer across Intrabank with Post No Debit Customer CIF / Customer ID (Destination)</t>
  </si>
  <si>
    <t>TS-EB-PRODUCTS-0080_1: Send Funds via Local Fund Transfer v1.0_Initiate Local Funds Transfer API_Verify Initiation of Local Funds Transfer across Intrabank with Post No Credit Customer CIF / Customer ID / Customer ID (Destination)</t>
  </si>
  <si>
    <t>TS-EB-PRODUCTS-0080_2: Send Funds via Local Fund Transfer v1.0_Initiate Local Funds Transfer API_Verify Initiation of Local Funds Transfer across Intrabank with Post No Credit Customer CIF / Customer ID / Customer ID (Destination)</t>
  </si>
  <si>
    <t>TS-EB-PRODUCTS-0081_1: Send Funds via Local Fund Transfer v1.0_Initiate Local Funds Transfer API_Verify Initiation of Local Funds Transfer across Intrabank with Post No Entries Customer CIF / Customer ID(Destination)</t>
  </si>
  <si>
    <t>TS-EB-PRODUCTS-0081_2: Send Funds via Local Fund Transfer v1.0_Initiate Local Funds Transfer API_Verify Initiation of Local Funds Transfer across Intrabank with Post No Entries Customer CIF / Customer ID(Destination)</t>
  </si>
  <si>
    <t>500027172574</t>
  </si>
  <si>
    <t>500027185088</t>
  </si>
  <si>
    <t>500027185099</t>
  </si>
  <si>
    <t>200061812546</t>
  </si>
  <si>
    <t>500027172566</t>
  </si>
  <si>
    <t>583100311931</t>
  </si>
  <si>
    <t>STLAPH22XXX</t>
  </si>
  <si>
    <t>100.78</t>
  </si>
  <si>
    <t>EWBCPHMMXKX</t>
  </si>
  <si>
    <t>Bank code not supported</t>
  </si>
  <si>
    <t>INTRABAN</t>
  </si>
  <si>
    <t>Channel must be one of: INTRABANK, INSTAPAY, or PESONET</t>
  </si>
  <si>
    <t>IN_NonGeneratedToken</t>
  </si>
  <si>
    <t>TS-EB-PRODUCTS-0143_1</t>
  </si>
  <si>
    <t>TS-EB-PRODUCTS-0143_2</t>
  </si>
  <si>
    <t>TS-EB-PRODUCTS-0143_3</t>
  </si>
  <si>
    <t>TS-EB-PRODUCTS-0143_4</t>
  </si>
  <si>
    <t>TS-EB-PRODUCTS-0143_1: Send Funds via Local Fund Transfer v1.0_Initiate Local Funds Transfer API_Verify that the request proceeds only when the source account is registered as Client‑Owned in Client Hub and the supplied Access Token is explicitly bound to t</t>
  </si>
  <si>
    <t>TS-EB-PRODUCTS-0143_2: Send Funds via Local Fund Transfer v1.0_Initiate Local Funds Transfer API_Verify that the request proceeds only when the source account is registered as Client‑Owned in Client Hub and the supplied Access Token is explicitly bound to t</t>
  </si>
  <si>
    <t>TS-EB-PRODUCTS-0143_3: Send Funds via Local Fund Transfer v1.0_Initiate Local Funds Transfer API_Verify that the request proceeds only when the source account is registered as Client‑Owned in Client Hub and the supplied Access Token is explicitly bound to t</t>
  </si>
  <si>
    <t>TS-EB-PRODUCTS-0143_4: Send Funds via Local Fund Transfer v1.0_Initiate Local Funds Transfer API_Verify that the request proceeds only when the source account is registered as Client‑Owned in Client Hub and the supplied Access Token is explicitly bound to t</t>
  </si>
  <si>
    <t>TS-EB-PRODUCTS-0145_1</t>
  </si>
  <si>
    <t>TS-EB-PRODUCTS-0145_2</t>
  </si>
  <si>
    <t>TS-EB-PRODUCTS-0145_1: Send Funds via Local Fund Transfer v1.0_Initiate Local Funds Transfer API_Verify that Transaction ID is generated on successful Intrabank transaction</t>
  </si>
  <si>
    <t>TS-EB-PRODUCTS-0145_2: Send Funds via Local Fund Transfer v1.0_Initiate Local Funds Transfer API_Verify that Transaction ID is generated on successful Intrabank transaction</t>
  </si>
  <si>
    <t>TS-EB-PRODUCTS-0144_1: Send Funds via Local Fund Transfer v1.0_Initiate Local Funds Transfer API_Verify that the request does not proceed when the source account is not registered as Client‑Owned in Client Hub.</t>
  </si>
  <si>
    <t>q57M0hB1oJFrrr2Hrztr8ZQ3ZvB088PH</t>
  </si>
  <si>
    <t>TS-EB-PRODUCTS-0148_1</t>
  </si>
  <si>
    <t>TS-EB-PRODUCTS-0148_2</t>
  </si>
  <si>
    <t>TS-EB-PRODUCTS-0148_1: Send Funds via Local Fund Transfer v1.0_Initiate Local Funds Transfer API_Verify that apiTxnId format containts 36 BIGINT auto-increment primary key of Intrabank transaction</t>
  </si>
  <si>
    <t>TS-EB-PRODUCTS-0148_2: Send Funds via Local Fund Transfer v1.0_Initiate Local Funds Transfer API_Verify that apiTxnId format containts 36 BIGINT auto-increment primary key of Intrabank transaction</t>
  </si>
  <si>
    <t>TS-EB-PRODUCTS-0151_1</t>
  </si>
  <si>
    <t>TS-EB-PRODUCTS-0151_2</t>
  </si>
  <si>
    <t>TS-EB-PRODUCTS-0151_1: Send Funds via Local Fund Transfer v1.0_Initiate Local Funds Transfer API_Verify that apiTxnRef has correct format of Intrabank transaction</t>
  </si>
  <si>
    <t>TS-EB-PRODUCTS-0154_1</t>
  </si>
  <si>
    <t>TS-EB-PRODUCTS-0154_2</t>
  </si>
  <si>
    <t>TS-EB-PRODUCTS-0154_1: Send Funds via Local Fund Transfer v1.0_Initiate Local Funds Transfer API_Verify that apiTxnRef has propagated to downstream system upon doing Intrabank transaction</t>
  </si>
  <si>
    <t>TS-EB-PRODUCTS-0154_2: Send Funds via Local Fund Transfer v1.0_Initiate Local Funds Transfer API_Verify that apiTxnRef has propagated to downstream system upon doing Intrabank transaction</t>
  </si>
  <si>
    <t>TS-EB-PRODUCTS-0157_1</t>
  </si>
  <si>
    <t>TS-EB-PRODUCTS-0157_2</t>
  </si>
  <si>
    <t>TS-EB-PRODUCTS-0157_3</t>
  </si>
  <si>
    <t>TS-EB-PRODUCTS-0157_4</t>
  </si>
  <si>
    <t>TS-EB-PRODUCTS-0157_1: Send Funds via Local Fund Transfer v1.0_Initiate Local Funds Transfer API_Verify Intrabank/InstaPay/PESONETrail Initial Status</t>
  </si>
  <si>
    <t>TS-EB-PRODUCTS-0157_2: Send Funds via Local Fund Transfer v1.0_Initiate Local Funds Transfer API_Verify Intrabank/InstaPay/PESONETrail Initial Status</t>
  </si>
  <si>
    <t>TS-EB-PRODUCTS-0157_3: Send Funds via Local Fund Transfer v1.0_Initiate Local Funds Transfer API_Verify Intrabank/InstaPay/PESONETrail Initial Status</t>
  </si>
  <si>
    <t>TS-EB-PRODUCTS-0157_4: Send Funds via Local Fund Transfer v1.0_Initiate Local Funds Transfer API_Verify Intrabank/InstaPay/PESONETrail Initial Status</t>
  </si>
  <si>
    <t>TS-EB-PRODUCTS-0159_1</t>
  </si>
  <si>
    <t>TS-EB-PRODUCTS-0159_2</t>
  </si>
  <si>
    <t>TS-EB-PRODUCTS-0159_3</t>
  </si>
  <si>
    <t>TS-EB-PRODUCTS-0159_4</t>
  </si>
  <si>
    <t>TS-EB-PRODUCTS-0159_1: Send Funds via Local Fund Transfer v1.0_Initiate Local Funds Transfer API_Verify strict reconciliation between API Portal, Core Banking, and payment rails</t>
  </si>
  <si>
    <t>TS-EB-PRODUCTS-0159_2: Send Funds via Local Fund Transfer v1.0_Initiate Local Funds Transfer API_Verify strict reconciliation between API Portal, Core Banking, and payment rails</t>
  </si>
  <si>
    <t>TS-EB-PRODUCTS-0159_3: Send Funds via Local Fund Transfer v1.0_Initiate Local Funds Transfer API_Verify strict reconciliation between API Portal, Core Banking, and payment rails</t>
  </si>
  <si>
    <t>TS-EB-PRODUCTS-0159_4: Send Funds via Local Fund Transfer v1.0_Initiate Local Funds Transfer API_Verify strict reconciliation between API Portal, Core Banking, and payment rails</t>
  </si>
  <si>
    <t>TS-EB-PRODUCTS-0162_1</t>
  </si>
  <si>
    <t>TS-EB-PRODUCTS-0162_2</t>
  </si>
  <si>
    <t>TS-EB-PRODUCTS-0162_3</t>
  </si>
  <si>
    <t>TS-EB-PRODUCTS-0162_4</t>
  </si>
  <si>
    <t>TS-EB-PRODUCTS-0162_1: Send Funds via Local Fund Transfer v1.0_Initiate Local Funds Transfer API_Verify Status progression of created transfer</t>
  </si>
  <si>
    <t>TS-EB-PRODUCTS-0162_2: Send Funds via Local Fund Transfer v1.0_Initiate Local Funds Transfer API_Verify Status progression of created transfer</t>
  </si>
  <si>
    <t>TS-EB-PRODUCTS-0162_3: Send Funds via Local Fund Transfer v1.0_Initiate Local Funds Transfer API_Verify Status progression of created transfer</t>
  </si>
  <si>
    <t>TS-EB-PRODUCTS-0162_4: Send Funds via Local Fund Transfer v1.0_Initiate Local Funds Transfer API_Verify Status progression of created transfer</t>
  </si>
  <si>
    <t>TS-EB-PRODUCTS-0165_2</t>
  </si>
  <si>
    <t>TS-EB-PRODUCTS-0165_1</t>
  </si>
  <si>
    <t>TS-EB-PRODUCTS-0165_3</t>
  </si>
  <si>
    <t>TS-EB-PRODUCTS-0165_4</t>
  </si>
  <si>
    <t>TS-EB-PRODUCTS-0165_1: Send Funds via Local Fund Transfer v1.0_Initiate Local Funds Transfer API_Verify handling of mismatch status of transactions existed</t>
  </si>
  <si>
    <t>TS-EB-PRODUCTS-0165_2: Send Funds via Local Fund Transfer v1.0_Initiate Local Funds Transfer API_Verify handling of mismatch status of transactions existed</t>
  </si>
  <si>
    <t>TS-EB-PRODUCTS-0165_3: Send Funds via Local Fund Transfer v1.0_Initiate Local Funds Transfer API_Verify handling of mismatch status of transactions existed</t>
  </si>
  <si>
    <t>TS-EB-PRODUCTS-0165_4: Send Funds via Local Fund Transfer v1.0_Initiate Local Funds Transfer API_Verify handling of mismatch status of transactions existed</t>
  </si>
  <si>
    <t>TS-EB-PRODUCTS-0167_1</t>
  </si>
  <si>
    <t>TS-EB-PRODUCTS-0167_2</t>
  </si>
  <si>
    <t>TS-EB-PRODUCTS-0167_1: Send Funds via Local Fund Transfer v1.0_Initiate Local Funds Transfer API_Verify that a valid intrabank fund transfer request is forwarded to EWB Core and processed immediately</t>
  </si>
  <si>
    <t>TS-EB-PRODUCTS-0167_2: Send Funds via Local Fund Transfer v1.0_Initiate Local Funds Transfer API_Verify that a valid intrabank fund transfer request is forwarded to EWB Core and processed immediately</t>
  </si>
  <si>
    <t>TS-EB-PRODUCTS-0171_1</t>
  </si>
  <si>
    <t>TS-EB-PRODUCTS-0171_2</t>
  </si>
  <si>
    <t>TS-EB-PRODUCTS-0171_3</t>
  </si>
  <si>
    <t>TS-EB-PRODUCTS-0171_4</t>
  </si>
  <si>
    <t>TS-EB-PRODUCTS-0171_2: Send Funds via Local Fund Transfer v1.0_Initiate Local Funds Transfer API_Verify error response status of failed request due to missing or invalid access token</t>
  </si>
  <si>
    <t>TS-EB-PRODUCTS-0171_1: Send Funds via Local Fund Transfer v1.0_Initiate Local Funds Transfer API_Verify error response status of failed request due to missing or invalid access token</t>
  </si>
  <si>
    <t>TS-EB-PRODUCTS-0171_3: Send Funds via Local Fund Transfer v1.0_Initiate Local Funds Transfer API_Verify error response status of failed request due to missing or invalid access token</t>
  </si>
  <si>
    <t>TS-EB-PRODUCTS-0171_4: Send Funds via Local Fund Transfer v1.0_Initiate Local Funds Transfer API_Verify error response status of failed request due to missing or invalid access token</t>
  </si>
  <si>
    <t>ejZzBOLuKQd70u6mR19jdzPRRxN7m4KI</t>
  </si>
  <si>
    <t>TS-EB-PRODUCTS-0172_1</t>
  </si>
  <si>
    <t>TS-EB-PRODUCTS-0172_1: Send Funds via Local Fund Transfer v1.0_Initiate Local Funds Transfer API_Verify error response status of failed request due to unauthorized application access (Correct credentials but no access to the resource)</t>
  </si>
  <si>
    <t>TS-EB-PRODUCTS-0172_2</t>
  </si>
  <si>
    <t>TS-EB-PRODUCTS-0172_3</t>
  </si>
  <si>
    <t>TS-EB-PRODUCTS-0172_4</t>
  </si>
  <si>
    <t>TS-EB-PRODUCTS-0172_2: Send Funds via Local Fund Transfer v1.0_Initiate Local Funds Transfer API_Verify error response status of failed request due to unauthorized application access (Correct credentials but no access to the resource)</t>
  </si>
  <si>
    <t>TS-EB-PRODUCTS-0172_3: Send Funds via Local Fund Transfer v1.0_Initiate Local Funds Transfer API_Verify error response status of failed request due to unauthorized application access (Correct credentials but no access to the resource)</t>
  </si>
  <si>
    <t>TS-EB-PRODUCTS-0172_4: Send Funds via Local Fund Transfer v1.0_Initiate Local Funds Transfer API_Verify error response status of failed request due to unauthorized application access (Correct credentials but no access to the resource)</t>
  </si>
  <si>
    <t>TS-EB-PRODUCTS-0151_2: Send Funds via Local Fund Transfer v1.0_Initiate Local Funds Transfer API_Verify that apiTxnRef has correct format of Intrabank transaction</t>
  </si>
  <si>
    <t>Joo2giYCyDBtdvoHHKHZkg0Damrp0JP8</t>
  </si>
  <si>
    <t>HcIGK7Ffws0n2R1JGqTySShzQrNbKd62</t>
  </si>
  <si>
    <t>TS-EB-PRODUCTS-0176_1</t>
  </si>
  <si>
    <t>TS-EB-PRODUCTS-0176_2</t>
  </si>
  <si>
    <t>TS-EB-PRODUCTS-0176_3</t>
  </si>
  <si>
    <t>TS-EB-PRODUCTS-0176_4</t>
  </si>
  <si>
    <t>TS-EB-PRODUCTS-0176_1: Send Funds via Local Fund Transfer v1.0_Initiate Local Funds Transfer API_Verify error response structure for failed local funds transfer initiation</t>
  </si>
  <si>
    <t>TS-EB-PRODUCTS-0176_2: Send Funds via Local Fund Transfer v1.0_Initiate Local Funds Transfer API_Verify error response structure for failed local funds transfer initiation</t>
  </si>
  <si>
    <t>TS-EB-PRODUCTS-0176_3: Send Funds via Local Fund Transfer v1.0_Initiate Local Funds Transfer API_Verify error response structure for failed local funds transfer initiation</t>
  </si>
  <si>
    <t>TS-EB-PRODUCTS-0176_4: Send Funds via Local Fund Transfer v1.0_Initiate Local Funds Transfer API_Verify error response structure for failed local funds transfer initiation</t>
  </si>
  <si>
    <t>TS-EB-PRODUCTS-0182_1</t>
  </si>
  <si>
    <t>TS-EB-PRODUCTS-0182_2</t>
  </si>
  <si>
    <t>TS-EB-PRODUCTS-0182_3</t>
  </si>
  <si>
    <t>TS-EB-PRODUCTS-0182_4</t>
  </si>
  <si>
    <t>TS-EB-PRODUCTS-0182_1: Send Funds via Local Fund Transfer v1.0_Initiate Local Funds Transfer API_Verify that successful authentication request of transaction is logged</t>
  </si>
  <si>
    <t>TS-EB-PRODUCTS-0182_2: Send Funds via Local Fund Transfer v1.0_Initiate Local Funds Transfer API_Verify that successful authentication request of transaction is logged</t>
  </si>
  <si>
    <t>TS-EB-PRODUCTS-0182_3: Send Funds via Local Fund Transfer v1.0_Initiate Local Funds Transfer API_Verify that successful authentication request of transaction is logged</t>
  </si>
  <si>
    <t>TS-EB-PRODUCTS-0182_4: Send Funds via Local Fund Transfer v1.0_Initiate Local Funds Transfer API_Verify that successful authentication request of transaction is logged</t>
  </si>
  <si>
    <t>TS-EB-PRODUCTS-0183_1</t>
  </si>
  <si>
    <t>TS-EB-PRODUCTS-0183_2</t>
  </si>
  <si>
    <t>TS-EB-PRODUCTS-0183_3</t>
  </si>
  <si>
    <t>TS-EB-PRODUCTS-0183_4</t>
  </si>
  <si>
    <t>TS-EB-PRODUCTS-0183_1: Send Funds via Local Fund Transfer v1.0_Initiate Local Funds Transfer API_Verify that failed authentication request of transaction is logged</t>
  </si>
  <si>
    <t>TS-EB-PRODUCTS-0183_2: Send Funds via Local Fund Transfer v1.0_Initiate Local Funds Transfer API_Verify that failed authentication request of transaction is logged</t>
  </si>
  <si>
    <t>TS-EB-PRODUCTS-0183_3: Send Funds via Local Fund Transfer v1.0_Initiate Local Funds Transfer API_Verify that failed authentication request of transaction is logged</t>
  </si>
  <si>
    <t>TS-EB-PRODUCTS-0183_4: Send Funds via Local Fund Transfer v1.0_Initiate Local Funds Transfer API_Verify that failed authentication request of transaction is logged</t>
  </si>
  <si>
    <t>Test Case can be confirmed using the previous test cases/ Related Test Case</t>
  </si>
  <si>
    <t>DuNZoeHA43ANE1CPKzAlXp8YVJPy0JmF</t>
  </si>
  <si>
    <t>200061858667</t>
  </si>
  <si>
    <t>Lorenzo Ecle</t>
  </si>
  <si>
    <t>200061522874</t>
  </si>
  <si>
    <t>500027161653</t>
  </si>
  <si>
    <t>CHSVPHM1XXX</t>
  </si>
  <si>
    <t>604602029418</t>
  </si>
  <si>
    <t>Mark Angelico</t>
  </si>
  <si>
    <t>Lorenzo Nery</t>
  </si>
  <si>
    <t>TS-EB-LIVE-PRODUCTS-0012_1</t>
  </si>
  <si>
    <t>TS-EB-LIVE-PRODUCTS-0012_1: Send Funds via Local Fund Transfer v1.0_Initiate Local Funds Transfer API_Transfer with minimum allowed amount</t>
  </si>
  <si>
    <t>TS-EB-LIVE-PRODUCTS-0012_2: Send Funds via Local Fund Transfer v1.0_Initiate Local Funds Transfer API_Transfer with minimum allowed amount</t>
  </si>
  <si>
    <t>TS-EB-LIVE-PRODUCTS-0012_3: Send Funds via Local Fund Transfer v1.0_Initiate Local Funds Transfer API_Transfer with minimum allowed amount</t>
  </si>
  <si>
    <t>TS-EB-LIVE-PRODUCTS-0012_4: Send Funds via Local Fund Transfer v1.0_Initiate Local Funds Transfer API_Transfer with minimum allowed amount</t>
  </si>
  <si>
    <t>TS-EB-LIVE-PRODUCTS-0012_2</t>
  </si>
  <si>
    <t>TS-EB-LIVE-PRODUCTS-0012_3</t>
  </si>
  <si>
    <t>TS-EB-LIVE-PRODUCTS-0012_4</t>
  </si>
  <si>
    <t>1</t>
  </si>
  <si>
    <t>TS-EB-LIVE-PRODUCTS-0013_1</t>
  </si>
  <si>
    <t>TS-EB-LIVE-PRODUCTS-0013_2</t>
  </si>
  <si>
    <t>TS-EB-LIVE-PRODUCTS-0013_3</t>
  </si>
  <si>
    <t>TS-EB-LIVE-PRODUCTS-0013_4</t>
  </si>
  <si>
    <t>TS-EB-LIVE-PRODUCTS-0013_1: Send Funds via Local Fund Transfer v1.0_Initiate Local Funds Transfer API_Transfer with maximum allowed amount</t>
  </si>
  <si>
    <t>TS-EB-LIVE-PRODUCTS-0013_2: Send Funds via Local Fund Transfer v1.0_Initiate Local Funds Transfer API_Transfer with maximum allowed amount</t>
  </si>
  <si>
    <t>TS-EB-LIVE-PRODUCTS-0013_3: Send Funds via Local Fund Transfer v1.0_Initiate Local Funds Transfer API_Transfer with maximum allowed amount</t>
  </si>
  <si>
    <t>TS-EB-LIVE-PRODUCTS-0013_4: Send Funds via Local Fund Transfer v1.0_Initiate Local Funds Transfer API_Transfer with maximum allowed amount</t>
  </si>
  <si>
    <t>TS-EB-LIVE-PRODUCTS-0016_1</t>
  </si>
  <si>
    <t>TS-EB-LIVE-PRODUCTS-0016_2</t>
  </si>
  <si>
    <t>TS-EB-LIVE-PRODUCTS-0016_1: Send Funds via Local Fund Transfer v1.0_Initiate Local Funds Transfer API_Verify Successful initiation of a Local Funds Transfer via Intrabank but Failed transaction upon using Inactive EWB Beneficiary Account</t>
  </si>
  <si>
    <t>TS-EB-LIVE-PRODUCTS-0016_2: Send Funds via Local Fund Transfer v1.0_Initiate Local Funds Transfer API_Verify Successful initiation of a Local Funds Transfer via Intrabank but Failed transaction upon using Inactive EWB Beneficiary Account</t>
  </si>
  <si>
    <t>200061522890</t>
  </si>
  <si>
    <t>500027161690</t>
  </si>
  <si>
    <t>TS-EB-LIVE-PRODUCTS-0020_1</t>
  </si>
  <si>
    <t>TS-EB-LIVE-PRODUCTS-0020_2</t>
  </si>
  <si>
    <t>TS-EB-LIVE-PRODUCTS-0020_3</t>
  </si>
  <si>
    <t>TS-EB-LIVE-PRODUCTS-0020_4</t>
  </si>
  <si>
    <t>TS-EB-LIVE-PRODUCTS-0020_1: Send Funds via Local Fund Transfer v1.0_Initiate Local Funds Transfer API_Transfer with Zero amount</t>
  </si>
  <si>
    <t>TS-EB-LIVE-PRODUCTS-0020_2: Send Funds via Local Fund Transfer v1.0_Initiate Local Funds Transfer API_Transfer with Zero amount</t>
  </si>
  <si>
    <t>TS-EB-LIVE-PRODUCTS-0020_3: Send Funds via Local Fund Transfer v1.0_Initiate Local Funds Transfer API_Transfer with Zero amount</t>
  </si>
  <si>
    <t>TS-EB-LIVE-PRODUCTS-0020_4: Send Funds via Local Fund Transfer v1.0_Initiate Local Funds Transfer API_Transfer with Zero amount</t>
  </si>
  <si>
    <t>TS-EB-LIVE-PRODUCTS-0021_1</t>
  </si>
  <si>
    <t>TS-EB-LIVE-PRODUCTS-0021_1: Send Funds via Local Fund Transfer v1.0_Initiate Local Funds Transfer API_Transfer with Negative amount</t>
  </si>
  <si>
    <t>TS-EB-LIVE-PRODUCTS-0021_2</t>
  </si>
  <si>
    <t>TS-EB-LIVE-PRODUCTS-0021_3</t>
  </si>
  <si>
    <t>TS-EB-LIVE-PRODUCTS-0021_4</t>
  </si>
  <si>
    <t>TS-EB-LIVE-PRODUCTS-0021_2: Send Funds via Local Fund Transfer v1.0_Initiate Local Funds Transfer API_Transfer with Negative amount</t>
  </si>
  <si>
    <t>TS-EB-LIVE-PRODUCTS-0021_3: Send Funds via Local Fund Transfer v1.0_Initiate Local Funds Transfer API_Transfer with Negative amount</t>
  </si>
  <si>
    <t>TS-EB-LIVE-PRODUCTS-0021_4: Send Funds via Local Fund Transfer v1.0_Initiate Local Funds Transfer API_Transfer with Negative amount</t>
  </si>
  <si>
    <t>-458.90</t>
  </si>
  <si>
    <t>TS-EB-LIVE-PRODUCTS-0022_1</t>
  </si>
  <si>
    <t>TS-EB-LIVE-PRODUCTS-0022_2</t>
  </si>
  <si>
    <t>TS-EB-LIVE-PRODUCTS-0022_3</t>
  </si>
  <si>
    <t>TS-EB-LIVE-PRODUCTS-0022_4</t>
  </si>
  <si>
    <t>TS-EB-LIVE-PRODUCTS-0022_1: Send Funds via Local Fund Transfer v1.0_Initiate Local Funds Transfer API_Transfer with Insufficient Balance</t>
  </si>
  <si>
    <t>TS-EB-LIVE-PRODUCTS-0022_2: Send Funds via Local Fund Transfer v1.0_Initiate Local Funds Transfer API_Transfer with Insufficient Balance</t>
  </si>
  <si>
    <t>TS-EB-LIVE-PRODUCTS-0022_3: Send Funds via Local Fund Transfer v1.0_Initiate Local Funds Transfer API_Transfer with Insufficient Balance</t>
  </si>
  <si>
    <t>TS-EB-LIVE-PRODUCTS-0022_4: Send Funds via Local Fund Transfer v1.0_Initiate Local Funds Transfer API_Transfer with Insufficient Balance</t>
  </si>
  <si>
    <t>Successful 200 OK</t>
  </si>
  <si>
    <t>1000</t>
  </si>
  <si>
    <t>1000.01</t>
  </si>
  <si>
    <t>1000.78</t>
  </si>
  <si>
    <t>800.55</t>
  </si>
  <si>
    <t>200061858678</t>
  </si>
  <si>
    <t>TS-EB-LIVE-PRODUCTS-0023_1</t>
  </si>
  <si>
    <t>TS-EB-LIVE-PRODUCTS-0023_2</t>
  </si>
  <si>
    <t>TS-EB-LIVE-PRODUCTS-0023_3</t>
  </si>
  <si>
    <t>TS-EB-LIVE-PRODUCTS-0023_4</t>
  </si>
  <si>
    <t>TS-EB-LIVE-PRODUCTS-0023_1: Send Funds via Local Fund Transfer v1.0_Initiate Local Funds Transfer API_Transfer with No Amount</t>
  </si>
  <si>
    <t>TS-EB-LIVE-PRODUCTS-0023_2: Send Funds via Local Fund Transfer v1.0_Initiate Local Funds Transfer API_Transfer with No Amount</t>
  </si>
  <si>
    <t>TS-EB-LIVE-PRODUCTS-0023_3: Send Funds via Local Fund Transfer v1.0_Initiate Local Funds Transfer API_Transfer with No Amount</t>
  </si>
  <si>
    <t>TS-EB-LIVE-PRODUCTS-0023_4: Send Funds via Local Fund Transfer v1.0_Initiate Local Funds Transfer API_Transfer with No Amount</t>
  </si>
  <si>
    <t>TS-EB-LIVE-PRODUCTS-0024_1</t>
  </si>
  <si>
    <t>TS-EB-LIVE-PRODUCTS-0024_2</t>
  </si>
  <si>
    <t>TS-EB-LIVE-PRODUCTS-0024_3</t>
  </si>
  <si>
    <t>TS-EB-LIVE-PRODUCTS-0024_4</t>
  </si>
  <si>
    <t>TS-EB-LIVE-PRODUCTS-0024_1: Send Funds via Local Fund Transfer v1.0_Initiate Local Funds Transfer API_Transfer with Alphanumeric amount</t>
  </si>
  <si>
    <t>TS-EB-LIVE-PRODUCTS-0024_2: Send Funds via Local Fund Transfer v1.0_Initiate Local Funds Transfer API_Transfer with Alphanumeric amount</t>
  </si>
  <si>
    <t>TS-EB-LIVE-PRODUCTS-0024_3: Send Funds via Local Fund Transfer v1.0_Initiate Local Funds Transfer API_Transfer with Alphanumeric amount</t>
  </si>
  <si>
    <t>TS-EB-LIVE-PRODUCTS-0024_4: Send Funds via Local Fund Transfer v1.0_Initiate Local Funds Transfer API_Transfer with Alphanumeric amount</t>
  </si>
  <si>
    <t>678.9O</t>
  </si>
  <si>
    <t xml:space="preserve">T5  </t>
  </si>
  <si>
    <t xml:space="preserve">123.8I </t>
  </si>
  <si>
    <t>TS-EB-LIVE-PRODUCTS-0025_1</t>
  </si>
  <si>
    <t>TS-EB-LIVE-PRODUCTS-0025_2</t>
  </si>
  <si>
    <t>TS-EB-LIVE-PRODUCTS-0025_3</t>
  </si>
  <si>
    <t>TS-EB-LIVE-PRODUCTS-0025_4</t>
  </si>
  <si>
    <t>TS-EB-LIVE-PRODUCTS-0025_1: Send Funds via Local Fund Transfer v1.0_Initiate Local Funds Transfer API_Verify Invalid Scope in Access Token - Access token does not include sendfunds.initiate</t>
  </si>
  <si>
    <t>TS-EB-LIVE-PRODUCTS-0025_2: Send Funds via Local Fund Transfer v1.0_Initiate Local Funds Transfer API_Verify Invalid Scope in Access Token - Access token does not include sendfunds.initiate</t>
  </si>
  <si>
    <t>TS-EB-LIVE-PRODUCTS-0025_3: Send Funds via Local Fund Transfer v1.0_Initiate Local Funds Transfer API_Verify Invalid Scope in Access Token - Access token does not include sendfunds.initiate</t>
  </si>
  <si>
    <t>TS-EB-LIVE-PRODUCTS-0025_4: Send Funds via Local Fund Transfer v1.0_Initiate Local Funds Transfer API_Verify Invalid Scope in Access Token - Access token does not include sendfunds.initiate</t>
  </si>
  <si>
    <t>hHt6FT18j6w48goAlB2pBQVYgLRuHw40</t>
  </si>
  <si>
    <t>iNomUvD6zyJu1d8rCuzyRx4ZZB71Gp01</t>
  </si>
  <si>
    <t>TS-EB-LIVE-PRODUCTS-0026_1</t>
  </si>
  <si>
    <t>TS-EB-LIVE-PRODUCTS-0026_1: Send Funds via Local Fund Transfer v1.0_Initiate Local Funds Transfer API_Verify if Expired Access Token is use in Local Fund Transfer</t>
  </si>
  <si>
    <t>xaoBFZ6RwKQCW8yP24NppmQX6PCuH8vu</t>
  </si>
  <si>
    <t>TS-EB-LIVE-PRODUCTS-0027_1</t>
  </si>
  <si>
    <t>TS-EB-LIVE-PRODUCTS-0027_1: Send Funds via Local Fund Transfer v1.0_Initiate Local Funds Transfer API_Verify if Invalid Client Credentials is use in Local Fund Transfer</t>
  </si>
  <si>
    <t>TS-EB-LIVE-PRODUCTS-0026_2: Send Funds via Local Fund Transfer v1.0_Initiate Local Funds Transfer API_Verify if Expired Access Token is use in Local Fund Transfer</t>
  </si>
  <si>
    <t>TS-EB-LIVE-PRODUCTS-0026_3: Send Funds via Local Fund Transfer v1.0_Initiate Local Funds Transfer API_Verify if Expired Access Token is use in Local Fund Transfer</t>
  </si>
  <si>
    <t>TS-EB-LIVE-PRODUCTS-0026_4: Send Funds via Local Fund Transfer v1.0_Initiate Local Funds Transfer API_Verify if Expired Access Token is use in Local Fund Transfer</t>
  </si>
  <si>
    <t>TS-EB-LIVE-PRODUCTS-0027_2</t>
  </si>
  <si>
    <t>TS-EB-LIVE-PRODUCTS-0027_3</t>
  </si>
  <si>
    <t>TS-EB-LIVE-PRODUCTS-0027_4</t>
  </si>
  <si>
    <t>TS-EB-LIVE-PRODUCTS-0027_2: Send Funds via Local Fund Transfer v1.0_Initiate Local Funds Transfer API_Verify if Invalid Client Credentials is use in Local Fund Transfer</t>
  </si>
  <si>
    <t>TS-EB-LIVE-PRODUCTS-0027_3: Send Funds via Local Fund Transfer v1.0_Initiate Local Funds Transfer API_Verify if Invalid Client Credentials is use in Local Fund Transfer</t>
  </si>
  <si>
    <t>TS-EB-LIVE-PRODUCTS-0027_14 Send Funds via Local Fund Transfer v1.0_Initiate Local Funds Transfer API_Verify if Invalid Client Credentials is use in Local Fund Transfer</t>
  </si>
  <si>
    <t>TS-EB-LIVE-PRODUCTS-0028_1</t>
  </si>
  <si>
    <t>TS-EB-LIVE-PRODUCTS-0028_2</t>
  </si>
  <si>
    <t>TS-EB-LIVE-PRODUCTS-0028_3</t>
  </si>
  <si>
    <t>TS-EB-LIVE-PRODUCTS-0028_4</t>
  </si>
  <si>
    <t>TS-EB-LIVE-PRODUCTS-0028_1: Send Funds via Local Fund Transfer v1.0_Initiate Local Funds Transfer API_Verify if Invalid Partner ID is use in Local Fund Transfer</t>
  </si>
  <si>
    <t>TS-EB-LIVE-PRODUCTS-0028_2: Send Funds via Local Fund Transfer v1.0_Initiate Local Funds Transfer API_Verify if Invalid Partner ID is use in Local Fund Transfer</t>
  </si>
  <si>
    <t>TS-EB-LIVE-PRODUCTS-0028_3: Send Funds via Local Fund Transfer v1.0_Initiate Local Funds Transfer API_Verify if Invalid Partner ID is use in Local Fund Transfer</t>
  </si>
  <si>
    <t>TS-EB-LIVE-PRODUCTS-0028_4: Send Funds via Local Fund Transfer v1.0_Initiate Local Funds Transfer API_Verify if Invalid Partner ID is use in Local Fund Transfer</t>
  </si>
  <si>
    <t>281090c6e6</t>
  </si>
  <si>
    <t>281090c6e7</t>
  </si>
  <si>
    <t>281090c6e8</t>
  </si>
  <si>
    <t>TS-EB-LIVE-PRODUCTS-0029_1</t>
  </si>
  <si>
    <t>TS-EB-LIVE-PRODUCTS-0029_1: Send Funds via Local Fund Transfer v1.0_Initiate Local Funds Transfer API_Verify if Missing Access Token is use in Local Fund Transfer</t>
  </si>
  <si>
    <t>TS-EB-LIVE-PRODUCTS-0029_2</t>
  </si>
  <si>
    <t>TS-EB-LIVE-PRODUCTS-0029_3</t>
  </si>
  <si>
    <t>TS-EB-LIVE-PRODUCTS-0029_4</t>
  </si>
  <si>
    <t>TS-EB-LIVE-PRODUCTS-0029_2: Send Funds via Local Fund Transfer v1.0_Initiate Local Funds Transfer API_Verify if Missing Access Token is use in Local Fund Transfer</t>
  </si>
  <si>
    <t>TS-EB-LIVE-PRODUCTS-0029_3: Send Funds via Local Fund Transfer v1.0_Initiate Local Funds Transfer API_Verify if Missing Access Token is use in Local Fund Transfer</t>
  </si>
  <si>
    <t>TS-EB-LIVE-PRODUCTS-0029_4: Send Funds via Local Fund Transfer v1.0_Initiate Local Funds Transfer API_Verify if Missing Access Token is use in Local Fund Transfer</t>
  </si>
  <si>
    <t>htKLGRMfV5JXvYyUxLu8W7ugOX5iLWhu</t>
  </si>
  <si>
    <t>Account not found for accountNumber=200061858669 and partnerId=281090c6e2</t>
  </si>
  <si>
    <t>200061858669</t>
  </si>
  <si>
    <t>200061519458</t>
  </si>
  <si>
    <t>TS-EB-LIVE-PRODUCTS-0038_1</t>
  </si>
  <si>
    <t>TS-EB-LIVE-PRODUCTS-0038_2</t>
  </si>
  <si>
    <t>45.90</t>
  </si>
  <si>
    <t>123.66</t>
  </si>
  <si>
    <t>10</t>
  </si>
  <si>
    <t>20</t>
  </si>
  <si>
    <t>15</t>
  </si>
  <si>
    <t>TS-EB-LIVE-PRODUCTS-0038_1: Send Funds via Local Fund Transfer v1.0_Initiate Local Funds Transfer API_Verify Initiation of Local Funds Transfer with Pending Closure Beneficiary Account via Intrabank</t>
  </si>
  <si>
    <t>TS-EB-LIVE-PRODUCTS-0038_2: Send Funds via Local Fund Transfer v1.0_Initiate Local Funds Transfer API_Verify Initiation of Local Funds Transfer with Pending Closure Beneficiary Account via Intrabank</t>
  </si>
  <si>
    <t>500027172582</t>
  </si>
  <si>
    <t>200061519466</t>
  </si>
  <si>
    <t>TS-EB-LIVE-PRODUCTS-0043_1</t>
  </si>
  <si>
    <t>TS-EB-LIVE-PRODUCTS-0043_2</t>
  </si>
  <si>
    <t>TS-EB-LIVE-PRODUCTS-0043_1: Send Funds via Local Fund Transfer v1.0_Initiate Local Funds Transfer API_Verify Local Fund Transfer if Beneficiary Account is Closed or Inactive via Intrabank</t>
  </si>
  <si>
    <t>TS-EB-LIVE-PRODUCTS-0043_2: Send Funds via Local Fund Transfer v1.0_Initiate Local Funds Transfer API_Verify Local Fund Transfer if Beneficiary Account is Closed or Inactive via Intrabank</t>
  </si>
  <si>
    <t>200061777945</t>
  </si>
  <si>
    <t>200061517666</t>
  </si>
  <si>
    <t>200061522889</t>
  </si>
  <si>
    <t>500026161677</t>
  </si>
  <si>
    <t>604602029490</t>
  </si>
  <si>
    <t>0670000090</t>
  </si>
  <si>
    <t>200061404049</t>
  </si>
  <si>
    <t>200061404057</t>
  </si>
  <si>
    <t>200061319238</t>
  </si>
  <si>
    <t>TS-EB-LIVE-PRODUCTS-0064_1</t>
  </si>
  <si>
    <t>TS-EB-LIVE-PRODUCTS-0064_2</t>
  </si>
  <si>
    <t>TS-EB-LIVE-PRODUCTS-0064_1: Send Funds via Local Fund Transfer v1.0_Initiate Local Funds Transfer API_Verify Initiation of Local Funds Transfer across Intrabank with Post No Debit Beneficiary Account Number</t>
  </si>
  <si>
    <t>500027158164</t>
  </si>
  <si>
    <t>TS-EB-LIVE-PRODUCTS-0064_2: Send Funds via Local Fund Transfer v1.0_Initiate Local Funds Transfer API_Verify Initiation of Local Funds Transfer across Intrabank with Post No Debit Beneficiary Account Number</t>
  </si>
  <si>
    <t>TS-EB-LIVE-PRODUCTS-0065_1: Send Funds via Local Fund Transfer v1.0_Initiate Local Funds Transfer API_Verify Initiation of Local Funds Transfer across all Intrabank with Post No Credit Beneficiary Account Number</t>
  </si>
  <si>
    <t>TS-EB-LIVE-PRODUCTS-0065_1</t>
  </si>
  <si>
    <t>TS-EB-LIVE-PRODUCTS-0065_2</t>
  </si>
  <si>
    <t>TS-EB-LIVE-PRODUCTS-0065_2: Send Funds via Local Fund Transfer v1.0_Initiate Local Funds Transfer API_Verify Initiation of Local Funds Transfer across all Intrabank with Post No Credit Beneficiary Account Number</t>
  </si>
  <si>
    <t>500027162048</t>
  </si>
  <si>
    <t>TS-EB-LIVE-PRODUCTS-0066_1: Send Funds via Local Fund Transfer v1.0_Initiate Local Funds Transfer API_Verify Initiation of Local Funds Transfer across all Intrabank with Post No Entries Beneficiary Account Number</t>
  </si>
  <si>
    <t>TS-EB-LIVE-PRODUCTS-0066_1</t>
  </si>
  <si>
    <t>TS-EB-LIVE-PRODUCTS-0066_2</t>
  </si>
  <si>
    <t>TS-EB-LIVE-PRODUCTS-0066_2: Send Funds via Local Fund Transfer v1.0_Initiate Local Funds Transfer API_Verify Initiation of Local Funds Transfer across all Intrabank with Post No Entries Beneficiary Account Number</t>
  </si>
  <si>
    <t>500027158172</t>
  </si>
  <si>
    <t>200061871356</t>
  </si>
  <si>
    <t>200061871364</t>
  </si>
  <si>
    <t>200061871372</t>
  </si>
  <si>
    <t>TS-EB-LIVE-PRODUCTS-0079_1: Send Funds via Local Fund Transfer v1.0_Initiate Local Funds Transfer API_Verify Initiation of Local Funds Transfer across Intrabank with Post No Debit Customer CIF / Customer ID (Destination)</t>
  </si>
  <si>
    <t>TS-EB-LIVE-PRODUCTS-0079_1</t>
  </si>
  <si>
    <t>TS-EB-LIVE-PRODUCTS-0079_2</t>
  </si>
  <si>
    <t>TS-EB-LIVE-PRODUCTS-0079_2: Send Funds via Local Fund Transfer v1.0_Initiate Local Funds Transfer API_Verify Initiation of Local Funds Transfer across Intrabank with Post No Debit Customer CIF / Customer ID (Destination)</t>
  </si>
  <si>
    <t>TS-EB-LIVE-PRODUCTS-0080_1</t>
  </si>
  <si>
    <t>TS-EB-LIVE-PRODUCTS-0080_2</t>
  </si>
  <si>
    <t>TS-EB-LIVE-PRODUCTS-0080_2: Send Funds via Local Fund Transfer v1.0_Initiate Local Funds Transfer API_Verify Initiation of Local Funds Transfer across Intrabank with Post No Credit Customer CIF / Customer ID / Customer ID (Destination)</t>
  </si>
  <si>
    <t>TS-EB-LIVE-PRODUCTS-0080_1: Send Funds via Local Fund Transfer v1.0_Initiate Local Funds Transfer API_Verify Initiation of Local Funds Transfer across Intrabank with Post No Credit Customer CIF / Customer ID / Customer ID (Destination)</t>
  </si>
  <si>
    <t>TS-EB-LIVE-PRODUCTS-0081_1</t>
  </si>
  <si>
    <t>TS-EB-LIVE-PRODUCTS-0081_2</t>
  </si>
  <si>
    <t>TS-EB-LIVE-PRODUCTS-0081_1: Send Funds via Local Fund Transfer v1.0_Initiate Local Funds Transfer API_Verify Initiation of Local Funds Transfer across Intrabank with Post No Entries Customer CIF / Customer ID(Destination)</t>
  </si>
  <si>
    <t>TS-EB-LIVE-PRODUCTS-0081_2: Send Funds via Local Fund Transfer v1.0_Initiate Local Funds Transfer API_Verify Initiation of Local Funds Transfer across Intrabank with Post No Entries Customer CIF / Customer ID(Destination)</t>
  </si>
  <si>
    <t>500027185102</t>
  </si>
  <si>
    <t>500027185118</t>
  </si>
  <si>
    <t>500027185129</t>
  </si>
  <si>
    <t xml:space="preserve"> Missing required parameter: targetAccountNumber</t>
  </si>
  <si>
    <t>200061522866</t>
  </si>
  <si>
    <t>500027158032</t>
  </si>
  <si>
    <t>Missing required parameter: bankCode</t>
  </si>
  <si>
    <t>CHSVPHM1KXX</t>
  </si>
  <si>
    <t>Missing required parameter: channel; Channel must be one of: INTRABANK, INSTAPAY, or PESONET</t>
  </si>
  <si>
    <t>Target account number cannot be determined if EWB or KOMO based on INTRABANK transactions</t>
  </si>
  <si>
    <t>Need to Add Cells for Additional parameters (body)</t>
  </si>
  <si>
    <t>TS-EB-LIVE-PRODUCTS-0134_1</t>
  </si>
  <si>
    <t>TS-EB-LIVE-PRODUCTS-0134_2</t>
  </si>
  <si>
    <t>TS-EB-LIVE-PRODUCTS-0134_3</t>
  </si>
  <si>
    <t>TS-EB-LIVE-PRODUCTS-0134_4</t>
  </si>
  <si>
    <t>TS-EB-LIVE-PRODUCTS-0134_1: Send Funds via Local Fund Transfer v1.0_Initiate Local Funds Transfer API_Verify that the idempotency-key is logged</t>
  </si>
  <si>
    <t>TS-EB-LIVE-PRODUCTS-0134_2: Send Funds via Local Fund Transfer v1.0_Initiate Local Funds Transfer API_Verify that the idempotency-key is logged</t>
  </si>
  <si>
    <t>TS-EB-LIVE-PRODUCTS-0134_3: Send Funds via Local Fund Transfer v1.0_Initiate Local Funds Transfer API_Verify that the idempotency-key is logged</t>
  </si>
  <si>
    <t>TS-EB-LIVE-PRODUCTS-0134_4: Send Funds via Local Fund Transfer v1.0_Initiate Local Funds Transfer API_Verify that the idempotency-key is logged</t>
  </si>
  <si>
    <t>TS-EB-LIVE-PRODUCTS-0137_1</t>
  </si>
  <si>
    <t>TS-EB-LIVE-PRODUCTS-0137_2</t>
  </si>
  <si>
    <t>TS-EB-LIVE-PRODUCTS-0137_3</t>
  </si>
  <si>
    <t>TS-EB-LIVE-PRODUCTS-0137_4</t>
  </si>
  <si>
    <t>TS-EB-LIVE-PRODUCTS-0137_1: Send Funds via Local Fund Transfer v1.0_Initiate Local Funds Transfer API_Verify that a request with valid API credentials, Partner ID, access token, and active product subscription is successfully authenticated.</t>
  </si>
  <si>
    <t>TS-EB-LIVE-PRODUCTS-0137_2: Send Funds via Local Fund Transfer v1.0_Initiate Local Funds Transfer API_Verify that a request with valid API credentials, Partner ID, access token, and active product subscription is successfully authenticated.</t>
  </si>
  <si>
    <t>TS-EB-LIVE-PRODUCTS-0137_3: Send Funds via Local Fund Transfer v1.0_Initiate Local Funds Transfer API_Verify that a request with valid API credentials, Partner ID, access token, and active product subscription is successfully authenticated.</t>
  </si>
  <si>
    <t>TS-EB-LIVE-PRODUCTS-0137_4: Send Funds via Local Fund Transfer v1.0_Initiate Local Funds Transfer API_Verify that a request with valid API credentials, Partner ID, access token, and active product subscription is successfully authenticated.</t>
  </si>
  <si>
    <t>TS-EB-LIVE-PRODUCTS-0141_1</t>
  </si>
  <si>
    <t>TS-EB-LIVE-PRODUCTS-0141_2</t>
  </si>
  <si>
    <t>TS-EB-LIVE-PRODUCTS-0141_3</t>
  </si>
  <si>
    <t>TS-EB-LIVE-PRODUCTS-0141_4</t>
  </si>
  <si>
    <t>TS-EB-LIVE-PRODUCTS-0141_1: Send Funds via Local Fund Transfer v1.0_Initiate Local Funds Transfer API_Verify rejection when the Partner ID is not associated with the application.</t>
  </si>
  <si>
    <t>69300781eb</t>
  </si>
  <si>
    <t>TS-EB-LIVE-PRODUCTS-0141_2: Send Funds via Local Fund Transfer v1.0_Initiate Local Funds Transfer API_Verify rejection when the Partner ID is not associated with the application.</t>
  </si>
  <si>
    <t>TS-EB-LIVE-PRODUCTS-0141_3: Send Funds via Local Fund Transfer v1.0_Initiate Local Funds Transfer API_Verify rejection when the Partner ID is not associated with the application.</t>
  </si>
  <si>
    <t>TS-EB-LIVE-PRODUCTS-0141_4: Send Funds via Local Fund Transfer v1.0_Initiate Local Funds Transfer API_Verify rejection when the Partner ID is not associated with the application.</t>
  </si>
  <si>
    <t>TS-EB-LIVE-PRODUCTS-0142_1: Send Funds via Local Fund Transfer v1.0_Initiate Local Funds Transfer API_Verify behavior when the Application is not subscribed to the Send Funds Via Local Funds Transfer product.</t>
  </si>
  <si>
    <t>TS-EB-LIVE-PRODUCTS-0142_1</t>
  </si>
  <si>
    <t>TS-EB-LIVE-PRODUCTS-0142_2</t>
  </si>
  <si>
    <t>TS-EB-LIVE-PRODUCTS-0142_3</t>
  </si>
  <si>
    <t>TS-EB-LIVE-PRODUCTS-0142_4</t>
  </si>
  <si>
    <t>TS-EB-LIVE-PRODUCTS-0142_2: Send Funds via Local Fund Transfer v1.0_Initiate Local Funds Transfer API_Verify behavior when the Application is not subscribed to the Send Funds Via Local Funds Transfer product.</t>
  </si>
  <si>
    <t>TS-EB-LIVE-PRODUCTS-0142_3: Send Funds via Local Fund Transfer v1.0_Initiate Local Funds Transfer API_Verify behavior when the Application is not subscribed to the Send Funds Via Local Funds Transfer product.</t>
  </si>
  <si>
    <t>TS-EB-LIVE-PRODUCTS-0142_4: Send Funds via Local Fund Transfer v1.0_Initiate Local Funds Transfer API_Verify behavior when the Application is not subscribed to the Send Funds Via Local Funds Transfer product.</t>
  </si>
  <si>
    <t>TS-EB-LIVE-PRODUCTS-0143_1: Send Funds via Local Fund Transfer v1.0_Initiate Local Funds Transfer API_Verify that the request proceeds only when the source account is registered as Client‑Owned in Client Hub and the supplied Access Token is explicitly bound</t>
  </si>
  <si>
    <t>TS-EB-LIVE-PRODUCTS-0143_1</t>
  </si>
  <si>
    <t>TS-EB-LIVE-PRODUCTS-0143_2</t>
  </si>
  <si>
    <t>TS-EB-LIVE-PRODUCTS-0143_3</t>
  </si>
  <si>
    <t>TS-EB-LIVE-PRODUCTS-0143_4</t>
  </si>
  <si>
    <t>TS-EB-LIVE-PRODUCTS-0143_2: Send Funds via Local Fund Transfer v1.0_Initiate Local Funds Transfer API_Verify that the request proceeds only when the source account is registered as Client‑Owned in Client Hub and the supplied Access Token is explicitly bound</t>
  </si>
  <si>
    <t>TS-EB-LIVE-PRODUCTS-0143_3: Send Funds via Local Fund Transfer v1.0_Initiate Local Funds Transfer API_Verify that the request proceeds only when the source account is registered as Client‑Owned in Client Hub and the supplied Access Token is explicitly bound</t>
  </si>
  <si>
    <t>TS-EB-LIVE-PRODUCTS-0143_4: Send Funds via Local Fund Transfer v1.0_Initiate Local Funds Transfer API_Verify that the request proceeds only when the source account is registered as Client‑Owned in Client Hub and the supplied Access Token is explicitly bound</t>
  </si>
  <si>
    <t>TS-EB-LIVE-PRODUCTS-0145_1</t>
  </si>
  <si>
    <t>TS-EB-LIVE-PRODUCTS-0145_1: Send Funds via Local Fund Transfer v1.0_Initiate Local Funds Transfer API_Verify that Transaction ID is generated on successful Intrabank transaction</t>
  </si>
  <si>
    <t>TS-EB-LIVE-PRODUCTS-0145_2</t>
  </si>
  <si>
    <t>TS-EB-LIVE-PRODUCTS-0148_1</t>
  </si>
  <si>
    <t>TS-EB-LIVE-PRODUCTS-0148_2</t>
  </si>
  <si>
    <t>TS-EB-LIVE-PRODUCTS-0148_1: Send Funds via Local Fund Transfer v1.0_Initiate Local Funds Transfer API_Verify that apiTxnId format containts 36 BIGINT auto-increment primary key of Intrabank transaction</t>
  </si>
  <si>
    <t>TS-EB-LIVE-PRODUCTS-0148_2: Send Funds via Local Fund Transfer v1.0_Initiate Local Funds Transfer API_Verify that apiTxnId format containts 36 BIGINT auto-increment primary key of Intrabank transaction</t>
  </si>
  <si>
    <t>TS-EB-LIVE-PRODUCTS-0151_1</t>
  </si>
  <si>
    <t>TS-EB-LIVE-PRODUCTS-0151_1: Send Funds via Local Fund Transfer v1.0_Initiate Local Funds Transfer API_Verify that apiTxnRef has correct format of Intrabank transaction</t>
  </si>
  <si>
    <t>TS-EB-LIVE-PRODUCTS-0151_2</t>
  </si>
  <si>
    <t>TS-EB-LIVE-PRODUCTS-0154_1</t>
  </si>
  <si>
    <t>TS-EB-LIVE-PRODUCTS-0154_2</t>
  </si>
  <si>
    <t>TS-EB-LIVE-PRODUCTS-0154_1: Send Funds via Local Fund Transfer v1.0_Initiate Local Funds Transfer API_Verify that apiTxnRef has propagated to downstream system upon doing Intrabank transaction</t>
  </si>
  <si>
    <t>TS-EB-LIVE-PRODUCTS-0154_2: Send Funds via Local Fund Transfer v1.0_Initiate Local Funds Transfer API_Verify that apiTxnRef has propagated to downstream system upon doing Intrabank transaction</t>
  </si>
  <si>
    <t>TS-EB-LIVE-PRODUCTS-0157_1</t>
  </si>
  <si>
    <t>TS-EB-LIVE-PRODUCTS-0157_2</t>
  </si>
  <si>
    <t>TS-EB-LIVE-PRODUCTS-0157_3</t>
  </si>
  <si>
    <t>TS-EB-LIVE-PRODUCTS-0157_4</t>
  </si>
  <si>
    <t>TS-EB-LIVE-PRODUCTS-0157_1: Send Funds via Local Fund Transfer v1.0_Initiate Local Funds Transfer API_Verify Intrabank/InstaPay/PESONETrail Initial Status</t>
  </si>
  <si>
    <t>TS-EB-LIVE-PRODUCTS-0157_2: Send Funds via Local Fund Transfer v1.0_Initiate Local Funds Transfer API_Verify Intrabank/InstaPay/PESONETrail Initial Status</t>
  </si>
  <si>
    <t>TS-EB-LIVE-PRODUCTS-0157_3: Send Funds via Local Fund Transfer v1.0_Initiate Local Funds Transfer API_Verify Intrabank/InstaPay/PESONETrail Initial Status</t>
  </si>
  <si>
    <t>TS-EB-LIVE-PRODUCTS-0157_4: Send Funds via Local Fund Transfer v1.0_Initiate Local Funds Transfer API_Verify Intrabank/InstaPay/PESONETrail Initial Status</t>
  </si>
  <si>
    <t>TS-EB-LIVE-PRODUCTS-0158_1</t>
  </si>
  <si>
    <t>TS-EB-LIVE-PRODUCTS-0158_1: Send Funds via Local Fund Transfer v1.0_Initiate Local Funds Transfer API_Verify Intrabank/InstaPay/PESONET rail Initial Status processing time</t>
  </si>
  <si>
    <t>TS-EB-LIVE-PRODUCTS-0158_2</t>
  </si>
  <si>
    <t>TS-EB-LIVE-PRODUCTS-0158_3</t>
  </si>
  <si>
    <t>TS-EB-LIVE-PRODUCTS-0158_4</t>
  </si>
  <si>
    <t>TS-EB-LIVE-PRODUCTS-0159_1</t>
  </si>
  <si>
    <t>TS-EB-LIVE-PRODUCTS-0159_1: Send Funds via Local Fund Transfer v1.0_Initiate Local Funds Transfer API_Verify strict reconciliation between API Portal, Core Banking, and payment rails</t>
  </si>
  <si>
    <t>TS-EB-LIVE-PRODUCTS-0159_2</t>
  </si>
  <si>
    <t>TS-EB-LIVE-PRODUCTS-0159_3</t>
  </si>
  <si>
    <t>TS-EB-LIVE-PRODUCTS-0159_4</t>
  </si>
  <si>
    <t>TS-EB-LIVE-PRODUCTS-0159_2: Send Funds via Local Fund Transfer v1.0_Initiate Local Funds Transfer API_Verify strict reconciliation between API Portal, Core Banking, and payment rails</t>
  </si>
  <si>
    <t>TS-EB-LIVE-PRODUCTS-0159_3: Send Funds via Local Fund Transfer v1.0_Initiate Local Funds Transfer API_Verify strict reconciliation between API Portal, Core Banking, and payment rails</t>
  </si>
  <si>
    <t>TS-EB-LIVE-PRODUCTS-0159_4: Send Funds via Local Fund Transfer v1.0_Initiate Local Funds Transfer API_Verify strict reconciliation between API Portal, Core Banking, and payment rails</t>
  </si>
  <si>
    <t>TS-EB-LIVE-PRODUCTS-0161_1</t>
  </si>
  <si>
    <t>TS-EB-LIVE-PRODUCTS-0161_2</t>
  </si>
  <si>
    <t>TS-EB-LIVE-PRODUCTS-0161_3</t>
  </si>
  <si>
    <t>TS-EB-LIVE-PRODUCTS-0161_1: Send Funds via Local Fund Transfer v1.0_Initiate Local Funds Transfer API_Verify status updates processing time for real-time rails</t>
  </si>
  <si>
    <t>TS-EB-LIVE-PRODUCTS-0161_2: Send Funds via Local Fund Transfer v1.0_Initiate Local Funds Transfer API_Verify status updates processing time for real-time rails</t>
  </si>
  <si>
    <t>TS-EB-LIVE-PRODUCTS-0161_3: Send Funds via Local Fund Transfer v1.0_Initiate Local Funds Transfer API_Verify status updates processing time for real-time rails</t>
  </si>
  <si>
    <t>TS-EB-LIVE-PRODUCTS-0165_1</t>
  </si>
  <si>
    <t>TS-EB-LIVE-PRODUCTS-0165_1: Send Funds via Local Fund Transfer v1.0_Initiate Local Funds Transfer API_Verify handling of mismatch status of transactions existed</t>
  </si>
  <si>
    <t>TS-EB-LIVE-PRODUCTS-0165_2</t>
  </si>
  <si>
    <t>TS-EB-LIVE-PRODUCTS-0165_3</t>
  </si>
  <si>
    <t>TS-EB-LIVE-PRODUCTS-0165_4</t>
  </si>
  <si>
    <t>TS-EB-LIVE-PRODUCTS-0165_2: Send Funds via Local Fund Transfer v1.0_Initiate Local Funds Transfer API_Verify handling of mismatch status of transactions existed</t>
  </si>
  <si>
    <t>TS-EB-LIVE-PRODUCTS-0165_3: Send Funds via Local Fund Transfer v1.0_Initiate Local Funds Transfer API_Verify handling of mismatch status of transactions existed</t>
  </si>
  <si>
    <t>TS-EB-LIVE-PRODUCTS-0165_4: Send Funds via Local Fund Transfer v1.0_Initiate Local Funds Transfer API_Verify handling of mismatch status of transactions existed</t>
  </si>
  <si>
    <t>TS-EB-LIVE-PRODUCTS-0166_1</t>
  </si>
  <si>
    <t>TS-EB-LIVE-PRODUCTS-0166_1: Send Funds via Local Fund Transfer v1.0_Initiate Local Funds Transfer API_Verify all transaction status transitions are logged and auditable in the Dedicated External API Portal Database</t>
  </si>
  <si>
    <t>TS-EB-LIVE-PRODUCTS-0166_2</t>
  </si>
  <si>
    <t>TS-EB-LIVE-PRODUCTS-0166_3</t>
  </si>
  <si>
    <t>TS-EB-LIVE-PRODUCTS-0166_4</t>
  </si>
  <si>
    <t>TS-EB-LIVE-PRODUCTS-0166_2: Send Funds via Local Fund Transfer v1.0_Initiate Local Funds Transfer API_Verify all transaction status transitions are logged and auditable in the Dedicated External API Portal Database</t>
  </si>
  <si>
    <t>TS-EB-LIVE-PRODUCTS-0166_3: Send Funds via Local Fund Transfer v1.0_Initiate Local Funds Transfer API_Verify all transaction status transitions are logged and auditable in the Dedicated External API Portal Database</t>
  </si>
  <si>
    <t>TS-EB-LIVE-PRODUCTS-0166_4: Send Funds via Local Fund Transfer v1.0_Initiate Local Funds Transfer API_Verify all transaction status transitions are logged and auditable in the Dedicated External API Portal Database</t>
  </si>
  <si>
    <t>TS-EB-LIVE-PRODUCTS-0167_1</t>
  </si>
  <si>
    <t>TS-EB-LIVE-PRODUCTS-0167_1: Send Funds via Local Fund Transfer v1.0_Initiate Local Funds Transfer API_Verify that a valid intrabank fund transfer request is forwarded to EWB Core and processed immediately</t>
  </si>
  <si>
    <t>TS-EB-LIVE-PRODUCTS-0167_2</t>
  </si>
  <si>
    <t>TS-EB-LIVE-PRODUCTS-0167_2: Send Funds via Local Fund Transfer v1.0_Initiate Local Funds Transfer API_Verify that a valid intrabank fund transfer request is forwarded to EWB Core and processed immediately</t>
  </si>
  <si>
    <t>TS-EB-LIVE-PRODUCTS-0158_2: Send Funds via Local Fund Transfer v1.0_Initiate Local Funds Transfer API_Verify Intrabank/InstaPay/PESONET rail Initial Status processing time</t>
  </si>
  <si>
    <t>TS-EB-LIVE-PRODUCTS-0158_3: Send Funds via Local Fund Transfer v1.0_Initiate Local Funds Transfer API_Verify Intrabank/InstaPay/PESONET rail Initial Status processing time</t>
  </si>
  <si>
    <t>TS-EB-LIVE-PRODUCTS-0158_4: Send Funds via Local Fund Transfer v1.0_Initiate Local Funds Transfer API_Verify Intrabank/InstaPay/PESONET rail Initial Status processing time</t>
  </si>
  <si>
    <t>TS-EB-LIVE-PRODUCTS-0151_2: Send Funds via Local Fund Transfer v1.0_Initiate Local Funds Transfer API_Verify that apiTxnRef has correct format of Intrabank transaction</t>
  </si>
  <si>
    <t>TS-EB-LIVE-PRODUCTS-0145_2: Send Funds via Local Fund Transfer v1.0_Initiate Local Funds Transfer API_Verify that Transaction ID is generated on successful Intrabank transaction</t>
  </si>
  <si>
    <t>TS-EB-LIVE-PRODUCTS-0171_1</t>
  </si>
  <si>
    <t>TS-EB-LIVE-PRODUCTS-0171_1: Send Funds via Local Fund Transfer v1.0_Initiate Local Funds Transfer API_Verify error response status of failed request due to missing or invalid access token</t>
  </si>
  <si>
    <t>TS-EB-LIVE-PRODUCTS-0171_2</t>
  </si>
  <si>
    <t>TS-EB-LIVE-PRODUCTS-0171_3</t>
  </si>
  <si>
    <t>TS-EB-LIVE-PRODUCTS-0171_4</t>
  </si>
  <si>
    <t>TS-EB-LIVE-PRODUCTS-0171_2: Send Funds via Local Fund Transfer v1.0_Initiate Local Funds Transfer API_Verify error response status of failed request due to missing or invalid access token</t>
  </si>
  <si>
    <t>TS-EB-LIVE-PRODUCTS-0171_3: Send Funds via Local Fund Transfer v1.0_Initiate Local Funds Transfer API_Verify error response status of failed request due to missing or invalid access token</t>
  </si>
  <si>
    <t>TS-EB-LIVE-PRODUCTS-0171_4: Send Funds via Local Fund Transfer v1.0_Initiate Local Funds Transfer API_Verify error response status of failed request due to missing or invalid access token</t>
  </si>
  <si>
    <t>TS-EB-LIVE-PRODUCTS-0172_1</t>
  </si>
  <si>
    <t>TS-EB-LIVE-PRODUCTS-0172_1: Send Funds via Local Fund Transfer v1.0_Initiate Local Funds Transfer API_Verify error response status of failed request due to unauthorized application access (Correct credentials but no access to the resource)</t>
  </si>
  <si>
    <t>TS-EB-LIVE-PRODUCTS-0172_2</t>
  </si>
  <si>
    <t>TS-EB-LIVE-PRODUCTS-0172_3</t>
  </si>
  <si>
    <t>TS-EB-LIVE-PRODUCTS-0172_4</t>
  </si>
  <si>
    <t>TS-EB-LIVE-PRODUCTS-0172_2: Send Funds via Local Fund Transfer v1.0_Initiate Local Funds Transfer API_Verify error response status of failed request due to unauthorized application access (Correct credentials but no access to the resource)</t>
  </si>
  <si>
    <t>TS-EB-LIVE-PRODUCTS-0172_3: Send Funds via Local Fund Transfer v1.0_Initiate Local Funds Transfer API_Verify error response status of failed request due to unauthorized application access (Correct credentials but no access to the resource)</t>
  </si>
  <si>
    <t>TS-EB-LIVE-PRODUCTS-0172_4: Send Funds via Local Fund Transfer v1.0_Initiate Local Funds Transfer API_Verify error response status of failed request due to unauthorized application access (Correct credentials but no access to the resource)</t>
  </si>
  <si>
    <t>TS-EB-LIVE-PRODUCTS-0173_1</t>
  </si>
  <si>
    <t>TS-EB-LIVE-PRODUCTS-0173_1: Send Funds via Local Fund Transfer v1.0_Initiate Local Funds Transfer API_Verify error response status of failed request due to invalid or incomplete request payload/details</t>
  </si>
  <si>
    <t>TS-EB-LIVE-PRODUCTS-0173_2</t>
  </si>
  <si>
    <t>TS-EB-LIVE-PRODUCTS-0173_3</t>
  </si>
  <si>
    <t>TS-EB-LIVE-PRODUCTS-0173_4</t>
  </si>
  <si>
    <t>TS-EB-LIVE-PRODUCTS-0173_2: Send Funds via Local Fund Transfer v1.0_Initiate Local Funds Transfer API_Verify error response status of failed request due to invalid or incomplete request payload/details</t>
  </si>
  <si>
    <t>TS-EB-LIVE-PRODUCTS-0173_3: Send Funds via Local Fund Transfer v1.0_Initiate Local Funds Transfer API_Verify error response status of failed request due to invalid or incomplete request payload/details</t>
  </si>
  <si>
    <t>TS-EB-LIVE-PRODUCTS-0173_4: Send Funds via Local Fund Transfer v1.0_Initiate Local Funds Transfer API_Verify error response status of failed request due to invalid or incomplete request payload/details</t>
  </si>
  <si>
    <t>TS-EB-LIVE-PRODUCTS-0182_1</t>
  </si>
  <si>
    <t>TS-EB-LIVE-PRODUCTS-0182_1: Send Funds via Local Fund Transfer v1.0_Initiate Local Funds Transfer API_Verify that successful authentication request of transaction is logged</t>
  </si>
  <si>
    <t>TS-EB-LIVE-PRODUCTS-0183_1: Send Funds via Local Fund Transfer v1.0_Initiate Local Funds Transfer API_Verify that failed authentication request of transaction is logged</t>
  </si>
  <si>
    <t>TS-EB-LIVE-PRODUCTS-0183_1</t>
  </si>
  <si>
    <t>TS-EB-LIVE-PRODUCTS-0182_2</t>
  </si>
  <si>
    <t>TS-EB-LIVE-PRODUCTS-0182_3</t>
  </si>
  <si>
    <t>TS-EB-LIVE-PRODUCTS-0182_4</t>
  </si>
  <si>
    <t>TS-EB-LIVE-PRODUCTS-0182_2: Send Funds via Local Fund Transfer v1.0_Initiate Local Funds Transfer API_Verify that successful authentication request of transaction is logged</t>
  </si>
  <si>
    <t>TS-EB-LIVE-PRODUCTS-0182_3: Send Funds via Local Fund Transfer v1.0_Initiate Local Funds Transfer API_Verify that successful authentication request of transaction is logged</t>
  </si>
  <si>
    <t>TS-EB-LIVE-PRODUCTS-0182_4: Send Funds via Local Fund Transfer v1.0_Initiate Local Funds Transfer API_Verify that successful authentication request of transaction is logged</t>
  </si>
  <si>
    <t>TS-EB-LIVE-PRODUCTS-0183_2</t>
  </si>
  <si>
    <t>TS-EB-LIVE-PRODUCTS-0183_3</t>
  </si>
  <si>
    <t>TS-EB-LIVE-PRODUCTS-0183_4</t>
  </si>
  <si>
    <t>TS-EB-LIVE-PRODUCTS-0183_2: Send Funds via Local Fund Transfer v1.0_Initiate Local Funds Transfer API_Verify that failed authentication request of transaction is logged</t>
  </si>
  <si>
    <t>TS-EB-LIVE-PRODUCTS-0183_3: Send Funds via Local Fund Transfer v1.0_Initiate Local Funds Transfer API_Verify that failed authentication request of transaction is logged</t>
  </si>
  <si>
    <t>TS-EB-LIVE-PRODUCTS-0183_4: Send Funds via Local Fund Transfer v1.0_Initiate Local Funds Transfer API_Verify that failed authentication request of transaction is logged</t>
  </si>
  <si>
    <t>TS-EB-LIVE-PRODUCTS-0184_1</t>
  </si>
  <si>
    <t>TS-EB-LIVE-PRODUCTS-0184_1: Send Funds via Local Fund Transfer v1.0_Initiate Local Funds Transfer API_Verify that successful idempotency handling is logged</t>
  </si>
  <si>
    <t>TS-EB-LIVE-PRODUCTS-0184_2</t>
  </si>
  <si>
    <t>TS-EB-LIVE-PRODUCTS-0184_3</t>
  </si>
  <si>
    <t>TS-EB-LIVE-PRODUCTS-0184_4</t>
  </si>
  <si>
    <t>TS-EB-LIVE-PRODUCTS-0184_2: Send Funds via Local Fund Transfer v1.0_Initiate Local Funds Transfer API_Verify that successful idempotency handling is logged</t>
  </si>
  <si>
    <t>TS-EB-LIVE-PRODUCTS-0184_3: Send Funds via Local Fund Transfer v1.0_Initiate Local Funds Transfer API_Verify that successful idempotency handling is logged</t>
  </si>
  <si>
    <t>TS-EB-LIVE-PRODUCTS-0184_4: Send Funds via Local Fund Transfer v1.0_Initiate Local Funds Transfer API_Verify that successful idempotency handling is logged</t>
  </si>
  <si>
    <t>TS-EB-LIVE-PRODUCTS-0185_1: Send Funds via Local Fund Transfer v1.0_Initiate Local Funds Transfer API_Verify that status changes of transaction is logged</t>
  </si>
  <si>
    <t>TS-EB-LIVE-PRODUCTS-0185_1</t>
  </si>
  <si>
    <t>TS-EB-LIVE-PRODUCTS-0185_2</t>
  </si>
  <si>
    <t>TS-EB-LIVE-PRODUCTS-0185_3</t>
  </si>
  <si>
    <t>TS-EB-LIVE-PRODUCTS-0185_4</t>
  </si>
  <si>
    <t>TS-EB-LIVE-PRODUCTS-0185_2: Send Funds via Local Fund Transfer v1.0_Initiate Local Funds Transfer API_Verify that status changes of transaction is logged</t>
  </si>
  <si>
    <t>TS-EB-LIVE-PRODUCTS-0185_3: Send Funds via Local Fund Transfer v1.0_Initiate Local Funds Transfer API_Verify that status changes of transaction is logged</t>
  </si>
  <si>
    <t>TS-EB-LIVE-PRODUCTS-0185_4: Send Funds via Local Fund Transfer v1.0_Initiate Local Funds Transfer API_Verify that status changes of transaction is logged</t>
  </si>
  <si>
    <t>TS-EB-LIVE-PRODUCTS-0186_1</t>
  </si>
  <si>
    <t>TS-EB-LIVE-PRODUCTS-0186_1: Send Funds via Local Fund Transfer v1.0_Initiate Local Funds Transfer API_Verify that Transaction ID Generation is logged</t>
  </si>
  <si>
    <t>TS-EB-LIVE-PRODUCTS-0186_2</t>
  </si>
  <si>
    <t>TS-EB-LIVE-PRODUCTS-0186_3</t>
  </si>
  <si>
    <t>TS-EB-LIVE-PRODUCTS-0186_4</t>
  </si>
  <si>
    <t>TS-EB-LIVE-PRODUCTS-0186_2: Send Funds via Local Fund Transfer v1.0_Initiate Local Funds Transfer API_Verify that Transaction ID Generation is logged</t>
  </si>
  <si>
    <t>TS-EB-LIVE-PRODUCTS-0186_3: Send Funds via Local Fund Transfer v1.0_Initiate Local Funds Transfer API_Verify that Transaction ID Generation is logged</t>
  </si>
  <si>
    <t>TS-EB-LIVE-PRODUCTS-0186_4: Send Funds via Local Fund Transfer v1.0_Initiate Local Funds Transfer API_Verify that Transaction ID Generation is logged</t>
  </si>
  <si>
    <t>09176296119855</t>
  </si>
  <si>
    <t>TS-EB-LIVE-PRODUCTS-0175_1</t>
  </si>
  <si>
    <t>TS-EB-LIVE-PRODUCTS-0175_1: Send Funds via Local Fund Transfer v1.0_Initiate Local Funds Transfer API_Verify failed local funds transfer initiation due to the following erross: 
temporary network issue to core/rail
core banking system unavailable
payment r</t>
  </si>
  <si>
    <t>TS-EB-LIVE-PRODUCTS-0175_2</t>
  </si>
  <si>
    <t>TS-EB-LIVE-PRODUCTS-0175_3</t>
  </si>
  <si>
    <t>TS-EB-LIVE-PRODUCTS-0175_4</t>
  </si>
  <si>
    <t>TS-EB-LIVE-PRODUCTS-0175_2: Send Funds via Local Fund Transfer v1.0_Initiate Local Funds Transfer API_Verify failed local funds transfer initiation due to the following erross: 
temporary network issue to core/rail
core banking system unavailable
payment r</t>
  </si>
  <si>
    <t>TS-EB-LIVE-PRODUCTS-0175_3: Send Funds via Local Fund Transfer v1.0_Initiate Local Funds Transfer API_Verify failed local funds transfer initiation due to the following erross: 
temporary network issue to core/rail
core banking system unavailable
payment r</t>
  </si>
  <si>
    <t>TS-EB-LIVE-PRODUCTS-0175_4: Send Funds via Local Fund Transfer v1.0_Initiate Local Funds Transfer API_Verify failed local funds transfer initiation due to the following erross: 
temporary network issue to core/rail
core banking system unavailable
payment r</t>
  </si>
  <si>
    <t>TS-EB-LIVE-PRODUCTS-0176_1</t>
  </si>
  <si>
    <t>TS-EB-LIVE-PRODUCTS-0176_1: Send Funds via Local Fund Transfer v1.0_Initiate Local Funds Transfer API_Verify error response structure for failed local funds transfer initiation</t>
  </si>
  <si>
    <t>TS-EB-LIVE-PRODUCTS-0176_2</t>
  </si>
  <si>
    <t>TS-EB-LIVE-PRODUCTS-0176_3</t>
  </si>
  <si>
    <t>TS-EB-LIVE-PRODUCTS-0176_4</t>
  </si>
  <si>
    <t>TS-EB-LIVE-PRODUCTS-0176_2: Send Funds via Local Fund Transfer v1.0_Initiate Local Funds Transfer API_Verify error response structure for failed local funds transfer initiation</t>
  </si>
  <si>
    <t>TS-EB-LIVE-PRODUCTS-0176_3: Send Funds via Local Fund Transfer v1.0_Initiate Local Funds Transfer API_Verify error response structure for failed local funds transfer initiation</t>
  </si>
  <si>
    <t>TS-EB-LIVE-PRODUCTS-0176_4: Send Funds via Local Fund Transfer v1.0_Initiate Local Funds Transfer API_Verify error response structure for failed local funds transfer initiation</t>
  </si>
  <si>
    <t>Channel must be one of: INTRABANK, INSTAPAY, or PESONET; Missing required parameter: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</si>
</sst>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ptos Narrow"/>
      <family val="2"/>
    </font>
    <font>
      <sz val="11"/>
      <color rgb="FF000000"/>
      <name val="Calibri"/>
      <family val="2"/>
    </font>
    <font>
      <sz val="11"/>
      <color theme="1"/>
      <name val="Calibri"/>
      <family val="2"/>
    </font>
    <font>
      <sz val="11"/>
      <color rgb="FF000000"/>
      <name val="Aptos Narrow"/>
      <family val="2"/>
    </font>
    <font>
      <sz val="10"/>
      <color rgb="FF000000"/>
      <name val="Aptos Narrow"/>
      <family val="2"/>
    </font>
    <font>
      <sz val="11"/>
      <color rgb="FFFF0000"/>
      <name val="Aptos Narrow"/>
      <family val="2"/>
    </font>
    <font>
      <sz val="10"/>
      <color rgb="FF000000"/>
      <name val="Calibri Light"/>
      <family val="2"/>
    </font>
    <font>
      <sz val="11"/>
      <color rgb="FF242424"/>
      <name val="Aptos Narrow"/>
      <family val="2"/>
    </font>
    <font>
      <b/>
      <sz val="11"/>
      <color rgb="FF78206E"/>
      <name val="Aptos Narrow"/>
      <family val="2"/>
    </font>
    <font>
      <sz val="8"/>
      <name val="Calibri"/>
      <family val="2"/>
      <scheme val="minor"/>
    </font>
    <font>
      <sz val="9"/>
      <color indexed="81"/>
      <name val="Tahoma"/>
      <family val="2"/>
    </font>
  </fonts>
  <fills count="27">
    <fill>
      <patternFill patternType="none"/>
    </fill>
    <fill>
      <patternFill patternType="gray125"/>
    </fill>
    <fill>
      <patternFill patternType="solid">
        <fgColor rgb="FFD86ECC"/>
      </patternFill>
    </fill>
    <fill>
      <patternFill patternType="solid">
        <fgColor rgb="FFFFC000"/>
      </patternFill>
    </fill>
    <fill>
      <patternFill patternType="solid">
        <fgColor rgb="FF00B0F0"/>
      </patternFill>
    </fill>
    <fill>
      <patternFill patternType="solid">
        <fgColor rgb="FFC1E5F5"/>
      </patternFill>
    </fill>
    <fill>
      <patternFill patternType="solid">
        <fgColor rgb="FFFFFF00"/>
      </patternFill>
    </fill>
    <fill>
      <patternFill patternType="solid">
        <fgColor rgb="FFD1D1D1"/>
      </patternFill>
    </fill>
    <fill>
      <patternFill patternType="solid">
        <fgColor rgb="FF47D45A"/>
      </patternFill>
    </fill>
    <fill>
      <patternFill patternType="solid">
        <fgColor rgb="FFD9F2D0"/>
      </patternFill>
    </fill>
    <fill>
      <patternFill patternType="solid">
        <fgColor rgb="FFF6C6AD"/>
      </patternFill>
    </fill>
    <fill>
      <patternFill patternType="solid">
        <fgColor rgb="FFD9D9D9"/>
      </patternFill>
    </fill>
    <fill>
      <patternFill patternType="solid">
        <fgColor rgb="FFFFFFFF"/>
      </patternFill>
    </fill>
    <fill>
      <patternFill patternType="solid">
        <fgColor rgb="FFB4E5A2"/>
      </patternFill>
    </fill>
    <fill>
      <patternFill patternType="solid">
        <fgColor rgb="FF7F7F7F"/>
      </patternFill>
    </fill>
    <fill>
      <patternFill patternType="solid">
        <fgColor rgb="FFFFA3A3"/>
      </patternFill>
    </fill>
    <fill>
      <patternFill patternType="solid">
        <fgColor rgb="FFE59EDD"/>
      </patternFill>
    </fill>
    <fill>
      <patternFill patternType="solid">
        <fgColor theme="5"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2" tint="-9.9978637043366805E-2"/>
        <bgColor indexed="64"/>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4">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wrapText="1"/>
    </xf>
    <xf numFmtId="3" fontId="1" fillId="0" borderId="1" xfId="0" applyNumberFormat="1" applyFont="1" applyBorder="1" applyAlignment="1">
      <alignment horizontal="center" wrapText="1"/>
    </xf>
    <xf numFmtId="0" fontId="1" fillId="2" borderId="2" xfId="0" applyFont="1" applyFill="1" applyBorder="1" applyAlignment="1">
      <alignment horizontal="center" wrapText="1"/>
    </xf>
    <xf numFmtId="0" fontId="1" fillId="3" borderId="2" xfId="0" applyFont="1" applyFill="1" applyBorder="1" applyAlignment="1">
      <alignment horizontal="center" wrapText="1"/>
    </xf>
    <xf numFmtId="0" fontId="1" fillId="4" borderId="2" xfId="0" applyFont="1" applyFill="1" applyBorder="1" applyAlignment="1">
      <alignment horizontal="center" wrapText="1"/>
    </xf>
    <xf numFmtId="0" fontId="1" fillId="5" borderId="2" xfId="0" applyFont="1" applyFill="1" applyBorder="1" applyAlignment="1">
      <alignment horizontal="center" wrapText="1"/>
    </xf>
    <xf numFmtId="1" fontId="1" fillId="5" borderId="2" xfId="0" applyNumberFormat="1" applyFont="1" applyFill="1" applyBorder="1" applyAlignment="1">
      <alignment horizontal="center" wrapText="1"/>
    </xf>
    <xf numFmtId="3" fontId="1" fillId="4" borderId="2" xfId="0" applyNumberFormat="1" applyFont="1" applyFill="1" applyBorder="1" applyAlignment="1">
      <alignment horizontal="center" wrapText="1"/>
    </xf>
    <xf numFmtId="49" fontId="1" fillId="4" borderId="2" xfId="0" applyNumberFormat="1" applyFont="1" applyFill="1" applyBorder="1" applyAlignment="1">
      <alignment horizontal="center" wrapText="1"/>
    </xf>
    <xf numFmtId="0" fontId="1" fillId="6" borderId="2" xfId="0" applyFont="1" applyFill="1" applyBorder="1" applyAlignment="1">
      <alignment horizontal="center" wrapText="1"/>
    </xf>
    <xf numFmtId="3" fontId="2" fillId="0" borderId="1" xfId="0" applyNumberFormat="1"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3" fontId="2" fillId="0" borderId="1" xfId="0" applyNumberFormat="1" applyFont="1" applyBorder="1" applyAlignment="1">
      <alignment horizontal="right"/>
    </xf>
    <xf numFmtId="0" fontId="2" fillId="0" borderId="1" xfId="0" applyFont="1" applyBorder="1" applyAlignment="1">
      <alignment horizontal="left" wrapText="1"/>
    </xf>
    <xf numFmtId="1" fontId="2" fillId="0" borderId="1" xfId="0" applyNumberFormat="1" applyFont="1" applyBorder="1" applyAlignment="1">
      <alignment horizontal="left" wrapText="1"/>
    </xf>
    <xf numFmtId="3" fontId="2" fillId="0" borderId="1" xfId="0" applyNumberFormat="1" applyFont="1" applyBorder="1" applyAlignment="1">
      <alignment horizontal="right" wrapText="1"/>
    </xf>
    <xf numFmtId="0" fontId="3" fillId="0" borderId="1" xfId="0" applyFont="1" applyBorder="1" applyAlignment="1">
      <alignment horizontal="left" wrapText="1"/>
    </xf>
    <xf numFmtId="0" fontId="0" fillId="0" borderId="0" xfId="0" applyAlignment="1">
      <alignment wrapText="1"/>
    </xf>
    <xf numFmtId="3" fontId="2" fillId="0" borderId="1" xfId="0" applyNumberFormat="1" applyFont="1" applyBorder="1" applyAlignment="1">
      <alignment horizontal="center" wrapText="1"/>
    </xf>
    <xf numFmtId="1" fontId="2" fillId="0" borderId="1" xfId="0" applyNumberFormat="1" applyFont="1" applyBorder="1" applyAlignment="1">
      <alignment horizontal="center" wrapText="1"/>
    </xf>
    <xf numFmtId="49" fontId="2" fillId="0" borderId="1" xfId="0" applyNumberFormat="1" applyFont="1" applyBorder="1" applyAlignment="1">
      <alignment horizontal="center" wrapText="1"/>
    </xf>
    <xf numFmtId="3" fontId="0" fillId="0" borderId="0" xfId="0" applyNumberFormat="1" applyAlignment="1">
      <alignment horizontal="center"/>
    </xf>
    <xf numFmtId="0" fontId="0" fillId="0" borderId="0" xfId="0" applyAlignment="1">
      <alignment horizontal="right" wrapText="1"/>
    </xf>
    <xf numFmtId="0" fontId="0" fillId="0" borderId="0" xfId="0" applyAlignment="1">
      <alignment horizontal="center" wrapText="1"/>
    </xf>
    <xf numFmtId="3" fontId="0" fillId="0" borderId="0" xfId="0" applyNumberFormat="1" applyAlignment="1">
      <alignment horizontal="right"/>
    </xf>
    <xf numFmtId="0" fontId="0" fillId="0" borderId="0" xfId="0" applyAlignment="1">
      <alignment horizontal="left" wrapText="1"/>
    </xf>
    <xf numFmtId="1" fontId="0" fillId="0" borderId="0" xfId="0" applyNumberFormat="1" applyAlignment="1">
      <alignment horizontal="left" wrapText="1"/>
    </xf>
    <xf numFmtId="3" fontId="0" fillId="0" borderId="0" xfId="0" applyNumberFormat="1" applyAlignment="1">
      <alignment horizontal="right" wrapText="1"/>
    </xf>
    <xf numFmtId="49" fontId="0" fillId="0" borderId="0" xfId="0" applyNumberFormat="1" applyAlignment="1">
      <alignment horizontal="right" wrapText="1"/>
    </xf>
    <xf numFmtId="1" fontId="1" fillId="0" borderId="1" xfId="0" applyNumberFormat="1" applyFont="1" applyBorder="1" applyAlignment="1">
      <alignment horizontal="center" wrapText="1"/>
    </xf>
    <xf numFmtId="0" fontId="1" fillId="8" borderId="2" xfId="0" applyFont="1" applyFill="1" applyBorder="1" applyAlignment="1">
      <alignment horizontal="center" wrapText="1"/>
    </xf>
    <xf numFmtId="0" fontId="2" fillId="9" borderId="2" xfId="0" applyFont="1" applyFill="1" applyBorder="1" applyAlignment="1">
      <alignment horizontal="center" wrapText="1"/>
    </xf>
    <xf numFmtId="1" fontId="0" fillId="0" borderId="0" xfId="0" applyNumberFormat="1" applyAlignment="1">
      <alignment horizontal="center" wrapText="1"/>
    </xf>
    <xf numFmtId="3" fontId="1" fillId="0" borderId="3" xfId="0" applyNumberFormat="1" applyFont="1" applyBorder="1" applyAlignment="1">
      <alignment horizontal="center"/>
    </xf>
    <xf numFmtId="0" fontId="1" fillId="0" borderId="3" xfId="0" applyFont="1" applyBorder="1" applyAlignment="1">
      <alignment horizontal="center" wrapText="1"/>
    </xf>
    <xf numFmtId="3" fontId="1" fillId="0" borderId="3" xfId="0" applyNumberFormat="1" applyFont="1" applyBorder="1" applyAlignment="1">
      <alignment horizontal="center" wrapText="1"/>
    </xf>
    <xf numFmtId="0" fontId="1" fillId="3" borderId="3" xfId="0" applyFont="1" applyFill="1" applyBorder="1" applyAlignment="1">
      <alignment horizontal="center" wrapText="1"/>
    </xf>
    <xf numFmtId="1" fontId="1" fillId="4" borderId="3" xfId="0" applyNumberFormat="1" applyFont="1" applyFill="1" applyBorder="1" applyAlignment="1">
      <alignment horizontal="center" wrapText="1"/>
    </xf>
    <xf numFmtId="0" fontId="1" fillId="4" borderId="3" xfId="0" applyFont="1" applyFill="1" applyBorder="1" applyAlignment="1">
      <alignment horizontal="center" wrapText="1"/>
    </xf>
    <xf numFmtId="0" fontId="2" fillId="9" borderId="3" xfId="0" applyFont="1" applyFill="1" applyBorder="1" applyAlignment="1">
      <alignment horizontal="center" wrapText="1"/>
    </xf>
    <xf numFmtId="0" fontId="2" fillId="11" borderId="3" xfId="0" applyFont="1" applyFill="1" applyBorder="1" applyAlignment="1">
      <alignment horizontal="center" wrapText="1"/>
    </xf>
    <xf numFmtId="0" fontId="2" fillId="9" borderId="2" xfId="0" applyFont="1" applyFill="1" applyBorder="1" applyAlignment="1">
      <alignment horizontal="center"/>
    </xf>
    <xf numFmtId="3" fontId="2" fillId="9" borderId="2" xfId="0" applyNumberFormat="1" applyFont="1" applyFill="1" applyBorder="1" applyAlignment="1">
      <alignment horizontal="center" wrapText="1"/>
    </xf>
    <xf numFmtId="49" fontId="2" fillId="9" borderId="2" xfId="0" applyNumberFormat="1" applyFont="1" applyFill="1" applyBorder="1" applyAlignment="1">
      <alignment horizontal="center" wrapText="1"/>
    </xf>
    <xf numFmtId="3" fontId="0" fillId="0" borderId="0" xfId="0" applyNumberFormat="1" applyAlignment="1">
      <alignment horizontal="center" wrapText="1"/>
    </xf>
    <xf numFmtId="49" fontId="0" fillId="0" borderId="0" xfId="0" applyNumberFormat="1" applyAlignment="1">
      <alignment horizontal="center" wrapText="1"/>
    </xf>
    <xf numFmtId="3" fontId="1" fillId="8" borderId="2" xfId="0" applyNumberFormat="1" applyFont="1" applyFill="1" applyBorder="1" applyAlignment="1">
      <alignment horizontal="center" wrapText="1"/>
    </xf>
    <xf numFmtId="3" fontId="1" fillId="3" borderId="2" xfId="0" applyNumberFormat="1" applyFont="1" applyFill="1" applyBorder="1" applyAlignment="1">
      <alignment horizontal="center" wrapText="1"/>
    </xf>
    <xf numFmtId="3" fontId="2" fillId="0" borderId="1" xfId="0" applyNumberFormat="1" applyFont="1" applyBorder="1" applyAlignment="1">
      <alignment horizontal="left" wrapText="1"/>
    </xf>
    <xf numFmtId="3" fontId="0" fillId="0" borderId="0" xfId="0" applyNumberFormat="1" applyAlignment="1">
      <alignment horizontal="left" wrapText="1"/>
    </xf>
    <xf numFmtId="0" fontId="0" fillId="0" borderId="0" xfId="0" applyAlignment="1">
      <alignment horizontal="left"/>
    </xf>
    <xf numFmtId="1" fontId="0" fillId="0" borderId="0" xfId="0" applyNumberFormat="1" applyAlignment="1">
      <alignment horizontal="center"/>
    </xf>
    <xf numFmtId="3" fontId="2" fillId="0" borderId="3" xfId="0" applyNumberFormat="1" applyFont="1" applyBorder="1" applyAlignment="1">
      <alignment horizontal="center"/>
    </xf>
    <xf numFmtId="1" fontId="2" fillId="11" borderId="3" xfId="0" applyNumberFormat="1" applyFont="1" applyFill="1" applyBorder="1" applyAlignment="1">
      <alignment horizontal="right" wrapText="1"/>
    </xf>
    <xf numFmtId="3" fontId="2" fillId="11" borderId="3" xfId="0" applyNumberFormat="1" applyFont="1" applyFill="1" applyBorder="1" applyAlignment="1">
      <alignment horizontal="center"/>
    </xf>
    <xf numFmtId="1" fontId="0" fillId="0" borderId="0" xfId="0" applyNumberFormat="1" applyAlignment="1">
      <alignment horizontal="right" wrapText="1"/>
    </xf>
    <xf numFmtId="1" fontId="1" fillId="4" borderId="2" xfId="0" applyNumberFormat="1" applyFont="1" applyFill="1" applyBorder="1" applyAlignment="1">
      <alignment horizontal="center" wrapText="1"/>
    </xf>
    <xf numFmtId="1" fontId="2" fillId="0" borderId="1" xfId="0" applyNumberFormat="1" applyFont="1" applyBorder="1" applyAlignment="1">
      <alignment horizontal="center"/>
    </xf>
    <xf numFmtId="1" fontId="2" fillId="0" borderId="1" xfId="0" applyNumberFormat="1" applyFont="1" applyBorder="1" applyAlignment="1">
      <alignment horizontal="left"/>
    </xf>
    <xf numFmtId="1" fontId="0" fillId="0" borderId="0" xfId="0" applyNumberFormat="1" applyAlignment="1">
      <alignment horizontal="left"/>
    </xf>
    <xf numFmtId="0" fontId="2" fillId="11" borderId="2" xfId="0" applyFont="1" applyFill="1" applyBorder="1" applyAlignment="1">
      <alignment horizontal="left"/>
    </xf>
    <xf numFmtId="0" fontId="3" fillId="0" borderId="1" xfId="0" applyFont="1" applyBorder="1" applyAlignment="1">
      <alignment horizontal="left"/>
    </xf>
    <xf numFmtId="0" fontId="1" fillId="12" borderId="2" xfId="0" applyFont="1" applyFill="1" applyBorder="1" applyAlignment="1">
      <alignment horizontal="left"/>
    </xf>
    <xf numFmtId="0" fontId="1" fillId="13" borderId="2" xfId="0" applyFont="1" applyFill="1" applyBorder="1" applyAlignment="1">
      <alignment horizontal="left"/>
    </xf>
    <xf numFmtId="0" fontId="2" fillId="14" borderId="3" xfId="0" applyFont="1" applyFill="1" applyBorder="1" applyAlignment="1">
      <alignment horizontal="left"/>
    </xf>
    <xf numFmtId="0" fontId="2" fillId="12" borderId="3" xfId="0" applyFont="1" applyFill="1" applyBorder="1" applyAlignment="1">
      <alignment horizontal="left"/>
    </xf>
    <xf numFmtId="0" fontId="2" fillId="12" borderId="2" xfId="0" applyFont="1" applyFill="1" applyBorder="1" applyAlignment="1">
      <alignment horizontal="left"/>
    </xf>
    <xf numFmtId="0" fontId="2" fillId="9" borderId="3" xfId="0" applyFont="1" applyFill="1" applyBorder="1" applyAlignment="1">
      <alignment horizontal="left"/>
    </xf>
    <xf numFmtId="0" fontId="2" fillId="10" borderId="3" xfId="0" applyFont="1" applyFill="1" applyBorder="1" applyAlignment="1">
      <alignment horizontal="left"/>
    </xf>
    <xf numFmtId="0" fontId="2" fillId="15" borderId="3" xfId="0" applyFont="1" applyFill="1" applyBorder="1" applyAlignment="1">
      <alignment horizontal="left"/>
    </xf>
    <xf numFmtId="0" fontId="2" fillId="0" borderId="3" xfId="0" applyFont="1" applyBorder="1" applyAlignment="1">
      <alignment horizontal="left"/>
    </xf>
    <xf numFmtId="0" fontId="1" fillId="16" borderId="2" xfId="0" applyFont="1" applyFill="1" applyBorder="1" applyAlignment="1">
      <alignment horizontal="left"/>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8" fillId="0" borderId="1" xfId="0" applyFont="1" applyBorder="1" applyAlignment="1">
      <alignment horizontal="left" vertical="center" wrapText="1"/>
    </xf>
    <xf numFmtId="0" fontId="0" fillId="0" borderId="0" xfId="0" applyAlignment="1">
      <alignment horizontal="left" vertical="center" wrapText="1"/>
    </xf>
    <xf numFmtId="0" fontId="2" fillId="0" borderId="0" xfId="0" applyFont="1" applyAlignment="1">
      <alignment horizontal="center"/>
    </xf>
    <xf numFmtId="1" fontId="0" fillId="0" borderId="0" xfId="0" applyNumberFormat="1" applyAlignment="1">
      <alignment horizontal="center" vertical="center"/>
    </xf>
    <xf numFmtId="3" fontId="1" fillId="0" borderId="1" xfId="0" applyNumberFormat="1" applyFont="1"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1" fontId="1" fillId="5" borderId="2" xfId="0" applyNumberFormat="1" applyFont="1" applyFill="1" applyBorder="1" applyAlignment="1">
      <alignment horizontal="center" vertical="center" wrapText="1"/>
    </xf>
    <xf numFmtId="3" fontId="1" fillId="4" borderId="2" xfId="0" applyNumberFormat="1" applyFont="1" applyFill="1" applyBorder="1" applyAlignment="1">
      <alignment horizontal="center" vertical="center" wrapText="1"/>
    </xf>
    <xf numFmtId="49" fontId="1" fillId="4" borderId="2" xfId="0" applyNumberFormat="1" applyFont="1" applyFill="1" applyBorder="1" applyAlignment="1">
      <alignment horizontal="center" vertical="center" wrapText="1"/>
    </xf>
    <xf numFmtId="0" fontId="1" fillId="6" borderId="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11" borderId="3"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9" borderId="3"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1" fillId="2" borderId="2" xfId="0" applyFont="1" applyFill="1" applyBorder="1" applyAlignment="1">
      <alignment horizontal="center" vertical="center"/>
    </xf>
    <xf numFmtId="1" fontId="2" fillId="0" borderId="1" xfId="0" applyNumberFormat="1" applyFont="1" applyBorder="1" applyAlignment="1">
      <alignment horizontal="center" vertical="center" wrapText="1"/>
    </xf>
    <xf numFmtId="0" fontId="2" fillId="11" borderId="2" xfId="0" applyFont="1" applyFill="1" applyBorder="1" applyAlignment="1">
      <alignment horizontal="center" vertical="center"/>
    </xf>
    <xf numFmtId="0" fontId="1" fillId="0" borderId="3" xfId="0" applyFont="1" applyBorder="1" applyAlignment="1">
      <alignment horizontal="center" vertical="center"/>
    </xf>
    <xf numFmtId="0" fontId="4" fillId="0" borderId="3" xfId="0" applyFont="1" applyBorder="1" applyAlignment="1">
      <alignment horizontal="center" vertical="center"/>
    </xf>
    <xf numFmtId="0" fontId="2" fillId="0" borderId="3" xfId="0" applyFont="1" applyBorder="1" applyAlignment="1">
      <alignment horizontal="center" vertical="center"/>
    </xf>
    <xf numFmtId="0" fontId="4" fillId="11" borderId="3" xfId="0" applyFont="1" applyFill="1" applyBorder="1" applyAlignment="1">
      <alignment horizontal="center" vertical="center"/>
    </xf>
    <xf numFmtId="0" fontId="4" fillId="7" borderId="3" xfId="0" applyFont="1" applyFill="1" applyBorder="1" applyAlignment="1">
      <alignment horizontal="center" vertical="center"/>
    </xf>
    <xf numFmtId="0" fontId="2" fillId="11" borderId="3" xfId="0" applyFont="1" applyFill="1" applyBorder="1" applyAlignment="1">
      <alignment horizontal="center" vertical="center"/>
    </xf>
    <xf numFmtId="0" fontId="5" fillId="11" borderId="3" xfId="0" applyFont="1" applyFill="1" applyBorder="1" applyAlignment="1">
      <alignment horizontal="center" vertical="center"/>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5" fillId="11" borderId="3" xfId="0" applyFont="1" applyFill="1" applyBorder="1" applyAlignment="1">
      <alignment horizontal="center" vertical="center" wrapText="1"/>
    </xf>
    <xf numFmtId="0" fontId="2" fillId="11" borderId="3" xfId="0" applyFont="1" applyFill="1" applyBorder="1" applyAlignment="1">
      <alignment horizontal="left" vertical="center" wrapText="1"/>
    </xf>
    <xf numFmtId="0" fontId="5" fillId="0" borderId="3" xfId="0" applyFont="1" applyBorder="1" applyAlignment="1">
      <alignment horizontal="center" vertical="center"/>
    </xf>
    <xf numFmtId="0" fontId="2" fillId="9" borderId="1" xfId="0" applyFont="1" applyFill="1" applyBorder="1" applyAlignment="1">
      <alignment horizontal="center" vertical="center"/>
    </xf>
    <xf numFmtId="0" fontId="2" fillId="9" borderId="2" xfId="0" applyFont="1" applyFill="1" applyBorder="1" applyAlignment="1">
      <alignment horizontal="center" vertical="center"/>
    </xf>
    <xf numFmtId="0" fontId="0" fillId="0" borderId="0" xfId="0" quotePrefix="1" applyAlignment="1">
      <alignment horizontal="center" vertical="center"/>
    </xf>
    <xf numFmtId="3" fontId="2" fillId="0" borderId="1" xfId="0" applyNumberFormat="1" applyFont="1" applyBorder="1" applyAlignment="1">
      <alignment horizontal="center" vertical="center"/>
    </xf>
    <xf numFmtId="1" fontId="2" fillId="9" borderId="2" xfId="0" applyNumberFormat="1" applyFont="1" applyFill="1" applyBorder="1" applyAlignment="1">
      <alignment horizontal="center" vertical="center" wrapText="1"/>
    </xf>
    <xf numFmtId="0" fontId="2" fillId="10" borderId="2" xfId="0" applyFont="1" applyFill="1" applyBorder="1" applyAlignment="1">
      <alignment horizontal="center" vertical="center" wrapText="1"/>
    </xf>
    <xf numFmtId="1" fontId="2" fillId="10" borderId="2" xfId="0" applyNumberFormat="1" applyFont="1" applyFill="1" applyBorder="1" applyAlignment="1">
      <alignment horizontal="center" vertical="center" wrapText="1"/>
    </xf>
    <xf numFmtId="3" fontId="2" fillId="0" borderId="1" xfId="0" applyNumberFormat="1" applyFont="1" applyBorder="1" applyAlignment="1">
      <alignment horizontal="center" vertical="center" wrapText="1"/>
    </xf>
    <xf numFmtId="1" fontId="2" fillId="11" borderId="2" xfId="0" applyNumberFormat="1" applyFont="1" applyFill="1" applyBorder="1" applyAlignment="1">
      <alignment horizontal="center" vertical="center" wrapText="1"/>
    </xf>
    <xf numFmtId="3" fontId="2" fillId="11" borderId="2" xfId="0" applyNumberFormat="1" applyFont="1" applyFill="1" applyBorder="1" applyAlignment="1">
      <alignment horizontal="center" vertical="center"/>
    </xf>
    <xf numFmtId="0" fontId="3" fillId="0" borderId="1" xfId="0" applyFont="1" applyBorder="1" applyAlignment="1">
      <alignment horizontal="center" vertical="center" wrapText="1"/>
    </xf>
    <xf numFmtId="3" fontId="0" fillId="0" borderId="0" xfId="0" applyNumberFormat="1" applyAlignment="1">
      <alignment horizontal="center" vertical="center"/>
    </xf>
    <xf numFmtId="1" fontId="0" fillId="0" borderId="0" xfId="0" applyNumberFormat="1" applyAlignment="1">
      <alignment horizontal="center" vertical="center" wrapText="1"/>
    </xf>
    <xf numFmtId="3" fontId="4" fillId="0" borderId="3" xfId="0" applyNumberFormat="1" applyFont="1" applyBorder="1" applyAlignment="1">
      <alignment horizontal="center" vertical="center"/>
    </xf>
    <xf numFmtId="1" fontId="2" fillId="9" borderId="3" xfId="0" applyNumberFormat="1" applyFont="1" applyFill="1" applyBorder="1" applyAlignment="1">
      <alignment horizontal="center" vertical="center" wrapText="1"/>
    </xf>
    <xf numFmtId="1" fontId="6" fillId="10" borderId="3" xfId="0" applyNumberFormat="1" applyFont="1" applyFill="1" applyBorder="1" applyAlignment="1">
      <alignment horizontal="center" vertical="center" wrapText="1"/>
    </xf>
    <xf numFmtId="0" fontId="6"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1" fontId="2" fillId="10" borderId="3" xfId="0" applyNumberFormat="1" applyFont="1" applyFill="1" applyBorder="1" applyAlignment="1">
      <alignment horizontal="center" vertical="center" wrapText="1"/>
    </xf>
    <xf numFmtId="0" fontId="4" fillId="10" borderId="3" xfId="0" applyFont="1" applyFill="1" applyBorder="1" applyAlignment="1">
      <alignment horizontal="center" vertical="center" wrapText="1"/>
    </xf>
    <xf numFmtId="1" fontId="4" fillId="11" borderId="3" xfId="0" applyNumberFormat="1" applyFont="1" applyFill="1" applyBorder="1" applyAlignment="1">
      <alignment horizontal="center" vertical="center" wrapText="1"/>
    </xf>
    <xf numFmtId="3" fontId="4" fillId="11" borderId="3" xfId="0" applyNumberFormat="1" applyFont="1" applyFill="1" applyBorder="1" applyAlignment="1">
      <alignment horizontal="center" vertical="center" wrapText="1"/>
    </xf>
    <xf numFmtId="1" fontId="2" fillId="11" borderId="3" xfId="0" applyNumberFormat="1" applyFont="1" applyFill="1" applyBorder="1" applyAlignment="1">
      <alignment horizontal="center" vertical="center" wrapText="1"/>
    </xf>
    <xf numFmtId="3" fontId="4" fillId="11" borderId="3" xfId="0" applyNumberFormat="1" applyFont="1" applyFill="1" applyBorder="1" applyAlignment="1">
      <alignment horizontal="center" vertical="center"/>
    </xf>
    <xf numFmtId="3" fontId="2" fillId="11" borderId="3" xfId="0" applyNumberFormat="1" applyFont="1" applyFill="1" applyBorder="1" applyAlignment="1">
      <alignment horizontal="center" vertical="center" wrapText="1"/>
    </xf>
    <xf numFmtId="3" fontId="4" fillId="7" borderId="3" xfId="0" applyNumberFormat="1" applyFont="1" applyFill="1" applyBorder="1" applyAlignment="1">
      <alignment horizontal="center" vertical="center"/>
    </xf>
    <xf numFmtId="0" fontId="2" fillId="7" borderId="3" xfId="0" applyFont="1" applyFill="1" applyBorder="1" applyAlignment="1">
      <alignment horizontal="center" vertical="center" wrapText="1"/>
    </xf>
    <xf numFmtId="3" fontId="2" fillId="7" borderId="3" xfId="0" applyNumberFormat="1" applyFont="1" applyFill="1" applyBorder="1" applyAlignment="1">
      <alignment horizontal="center" vertical="center" wrapText="1"/>
    </xf>
    <xf numFmtId="1" fontId="4" fillId="7" borderId="3" xfId="0" applyNumberFormat="1" applyFont="1" applyFill="1" applyBorder="1" applyAlignment="1">
      <alignment horizontal="center" vertical="center" wrapText="1"/>
    </xf>
    <xf numFmtId="3" fontId="2" fillId="0" borderId="3" xfId="0" applyNumberFormat="1" applyFont="1" applyBorder="1" applyAlignment="1">
      <alignment horizontal="center" vertical="center"/>
    </xf>
    <xf numFmtId="3" fontId="2" fillId="11" borderId="3" xfId="0" applyNumberFormat="1" applyFont="1" applyFill="1" applyBorder="1" applyAlignment="1">
      <alignment horizontal="center" vertical="center"/>
    </xf>
    <xf numFmtId="3" fontId="0" fillId="0" borderId="0" xfId="0" applyNumberFormat="1" applyAlignment="1">
      <alignment horizontal="center" vertical="center" wrapText="1"/>
    </xf>
    <xf numFmtId="0" fontId="0" fillId="0" borderId="0" xfId="0" applyAlignment="1">
      <alignment horizontal="center"/>
    </xf>
    <xf numFmtId="0" fontId="2" fillId="12" borderId="1" xfId="0" applyFont="1" applyFill="1" applyBorder="1" applyAlignment="1">
      <alignment horizontal="left"/>
    </xf>
    <xf numFmtId="0" fontId="2" fillId="17" borderId="1" xfId="0" applyFont="1" applyFill="1" applyBorder="1" applyAlignment="1">
      <alignment horizontal="center" vertical="center" wrapText="1"/>
    </xf>
    <xf numFmtId="0" fontId="2" fillId="17" borderId="1" xfId="0" quotePrefix="1" applyFont="1" applyFill="1" applyBorder="1" applyAlignment="1">
      <alignment horizontal="center" vertical="center" wrapText="1"/>
    </xf>
    <xf numFmtId="3" fontId="2" fillId="18" borderId="1" xfId="0" applyNumberFormat="1" applyFont="1" applyFill="1" applyBorder="1" applyAlignment="1">
      <alignment horizontal="center" vertical="center"/>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2" fillId="18" borderId="1" xfId="0" quotePrefix="1"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19" borderId="1" xfId="0" quotePrefix="1" applyFont="1" applyFill="1" applyBorder="1" applyAlignment="1">
      <alignment horizontal="center" vertical="center" wrapText="1"/>
    </xf>
    <xf numFmtId="0" fontId="2" fillId="19" borderId="1" xfId="0" applyFont="1" applyFill="1" applyBorder="1" applyAlignment="1">
      <alignment horizontal="center" vertical="center"/>
    </xf>
    <xf numFmtId="1" fontId="2" fillId="19" borderId="1" xfId="0" applyNumberFormat="1" applyFont="1" applyFill="1" applyBorder="1" applyAlignment="1">
      <alignment horizontal="center" vertical="center" wrapText="1"/>
    </xf>
    <xf numFmtId="3" fontId="2" fillId="19" borderId="1" xfId="0" applyNumberFormat="1" applyFont="1" applyFill="1" applyBorder="1" applyAlignment="1">
      <alignment horizontal="center" vertical="center" wrapText="1"/>
    </xf>
    <xf numFmtId="3" fontId="2" fillId="19" borderId="1" xfId="0" quotePrefix="1" applyNumberFormat="1" applyFont="1" applyFill="1" applyBorder="1" applyAlignment="1">
      <alignment horizontal="center" vertical="center" wrapText="1"/>
    </xf>
    <xf numFmtId="0" fontId="0" fillId="18" borderId="0" xfId="0" applyFill="1" applyAlignment="1">
      <alignment horizontal="center" vertical="center" wrapText="1"/>
    </xf>
    <xf numFmtId="1" fontId="2" fillId="18" borderId="1" xfId="0" applyNumberFormat="1" applyFont="1" applyFill="1" applyBorder="1" applyAlignment="1">
      <alignment horizontal="center" vertical="center" wrapText="1"/>
    </xf>
    <xf numFmtId="3" fontId="2" fillId="18" borderId="1" xfId="0" applyNumberFormat="1" applyFont="1" applyFill="1" applyBorder="1" applyAlignment="1">
      <alignment horizontal="center" vertical="center" wrapText="1"/>
    </xf>
    <xf numFmtId="3" fontId="2" fillId="18" borderId="1" xfId="0" quotePrefix="1" applyNumberFormat="1" applyFont="1" applyFill="1" applyBorder="1" applyAlignment="1">
      <alignment horizontal="center" vertical="center" wrapText="1"/>
    </xf>
    <xf numFmtId="3" fontId="2" fillId="17" borderId="1" xfId="0" applyNumberFormat="1" applyFont="1" applyFill="1" applyBorder="1" applyAlignment="1">
      <alignment horizontal="center" vertical="center" wrapText="1"/>
    </xf>
    <xf numFmtId="11" fontId="2" fillId="17" borderId="1" xfId="0" quotePrefix="1" applyNumberFormat="1" applyFont="1" applyFill="1" applyBorder="1" applyAlignment="1">
      <alignment horizontal="center" vertical="center" wrapText="1"/>
    </xf>
    <xf numFmtId="3" fontId="2" fillId="19" borderId="1" xfId="0" applyNumberFormat="1" applyFont="1" applyFill="1" applyBorder="1" applyAlignment="1">
      <alignment horizontal="center" vertical="center"/>
    </xf>
    <xf numFmtId="3" fontId="2" fillId="17" borderId="1" xfId="0" quotePrefix="1" applyNumberFormat="1"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left" wrapText="1"/>
    </xf>
    <xf numFmtId="0" fontId="2" fillId="18" borderId="1" xfId="0" applyFont="1" applyFill="1" applyBorder="1" applyAlignment="1">
      <alignment horizontal="left" vertical="center" wrapText="1"/>
    </xf>
    <xf numFmtId="0" fontId="0" fillId="18" borderId="0" xfId="0" applyFill="1" applyAlignment="1">
      <alignment vertical="center" wrapText="1"/>
    </xf>
    <xf numFmtId="3" fontId="2" fillId="18" borderId="1" xfId="0" applyNumberFormat="1" applyFont="1" applyFill="1" applyBorder="1" applyAlignment="1">
      <alignment horizontal="right"/>
    </xf>
    <xf numFmtId="3" fontId="2" fillId="18" borderId="1" xfId="0" applyNumberFormat="1" applyFont="1" applyFill="1" applyBorder="1" applyAlignment="1">
      <alignment horizontal="center" wrapText="1"/>
    </xf>
    <xf numFmtId="0" fontId="2" fillId="17" borderId="1" xfId="0" applyFont="1" applyFill="1" applyBorder="1" applyAlignment="1">
      <alignment horizontal="center" wrapText="1"/>
    </xf>
    <xf numFmtId="0" fontId="0" fillId="20" borderId="0" xfId="0" applyFill="1"/>
    <xf numFmtId="0" fontId="3" fillId="20" borderId="1" xfId="0" applyFont="1" applyFill="1" applyBorder="1" applyAlignment="1">
      <alignment horizontal="left"/>
    </xf>
    <xf numFmtId="3" fontId="2" fillId="20" borderId="1" xfId="0" applyNumberFormat="1" applyFont="1" applyFill="1" applyBorder="1" applyAlignment="1">
      <alignment horizontal="right"/>
    </xf>
    <xf numFmtId="0" fontId="1" fillId="20" borderId="2" xfId="0" applyFont="1" applyFill="1" applyBorder="1" applyAlignment="1">
      <alignment horizontal="left"/>
    </xf>
    <xf numFmtId="0" fontId="2" fillId="20" borderId="2" xfId="0" applyFont="1" applyFill="1" applyBorder="1" applyAlignment="1">
      <alignment horizontal="left"/>
    </xf>
    <xf numFmtId="3" fontId="2" fillId="20" borderId="2" xfId="0" applyNumberFormat="1" applyFont="1" applyFill="1" applyBorder="1" applyAlignment="1">
      <alignment horizontal="right"/>
    </xf>
    <xf numFmtId="3" fontId="1" fillId="20" borderId="2" xfId="0" applyNumberFormat="1" applyFont="1" applyFill="1" applyBorder="1" applyAlignment="1">
      <alignment horizontal="right"/>
    </xf>
    <xf numFmtId="0" fontId="0" fillId="20" borderId="0" xfId="0" applyFill="1" applyAlignment="1">
      <alignment horizontal="left"/>
    </xf>
    <xf numFmtId="3" fontId="0" fillId="20" borderId="0" xfId="0" applyNumberFormat="1" applyFill="1" applyAlignment="1">
      <alignment horizontal="right"/>
    </xf>
    <xf numFmtId="3" fontId="1" fillId="21" borderId="1" xfId="0" applyNumberFormat="1" applyFont="1" applyFill="1" applyBorder="1" applyAlignment="1">
      <alignment horizontal="center" wrapText="1"/>
    </xf>
    <xf numFmtId="0" fontId="2" fillId="9" borderId="2" xfId="0" quotePrefix="1" applyFont="1" applyFill="1" applyBorder="1" applyAlignment="1">
      <alignment horizontal="center" vertical="center" wrapText="1"/>
    </xf>
    <xf numFmtId="3" fontId="2" fillId="11" borderId="2" xfId="0" applyNumberFormat="1" applyFont="1" applyFill="1" applyBorder="1" applyAlignment="1">
      <alignment horizontal="center" vertical="center" wrapText="1"/>
    </xf>
    <xf numFmtId="1" fontId="2" fillId="0" borderId="2" xfId="0" applyNumberFormat="1" applyFont="1" applyBorder="1" applyAlignment="1">
      <alignment horizontal="center" vertical="center" wrapText="1"/>
    </xf>
    <xf numFmtId="3" fontId="2" fillId="19" borderId="1" xfId="0" quotePrefix="1" applyNumberFormat="1" applyFont="1" applyFill="1" applyBorder="1" applyAlignment="1">
      <alignment horizontal="center" vertical="center"/>
    </xf>
    <xf numFmtId="49" fontId="2" fillId="19" borderId="1" xfId="0" applyNumberFormat="1" applyFont="1" applyFill="1" applyBorder="1" applyAlignment="1">
      <alignment horizontal="center" vertical="center" wrapText="1"/>
    </xf>
    <xf numFmtId="0" fontId="4" fillId="18" borderId="1" xfId="0" applyFont="1" applyFill="1" applyBorder="1" applyAlignment="1">
      <alignment horizontal="center" vertical="center" wrapText="1"/>
    </xf>
    <xf numFmtId="3" fontId="2" fillId="18" borderId="1" xfId="0" quotePrefix="1" applyNumberFormat="1" applyFont="1" applyFill="1" applyBorder="1" applyAlignment="1">
      <alignment horizontal="center" vertical="center"/>
    </xf>
    <xf numFmtId="49" fontId="2" fillId="18" borderId="1" xfId="0" applyNumberFormat="1" applyFont="1" applyFill="1" applyBorder="1" applyAlignment="1">
      <alignment horizontal="center" vertical="center" wrapText="1"/>
    </xf>
    <xf numFmtId="1" fontId="2" fillId="19" borderId="1" xfId="0" quotePrefix="1" applyNumberFormat="1" applyFont="1" applyFill="1" applyBorder="1" applyAlignment="1">
      <alignment horizontal="center" vertical="center" wrapText="1"/>
    </xf>
    <xf numFmtId="1" fontId="2" fillId="18" borderId="1" xfId="0" quotePrefix="1" applyNumberFormat="1" applyFont="1" applyFill="1" applyBorder="1" applyAlignment="1">
      <alignment horizontal="center" vertical="center" wrapText="1"/>
    </xf>
    <xf numFmtId="3" fontId="2" fillId="19" borderId="1" xfId="0" applyNumberFormat="1" applyFont="1" applyFill="1" applyBorder="1" applyAlignment="1">
      <alignment horizontal="center" wrapText="1"/>
    </xf>
    <xf numFmtId="0" fontId="2" fillId="22" borderId="1"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2" fillId="17" borderId="3" xfId="0" applyFont="1" applyFill="1" applyBorder="1" applyAlignment="1">
      <alignment horizontal="center" vertical="center" wrapText="1"/>
    </xf>
    <xf numFmtId="3" fontId="0" fillId="18" borderId="0" xfId="0" applyNumberFormat="1" applyFill="1" applyAlignment="1">
      <alignment horizontal="center" vertical="center" wrapText="1"/>
    </xf>
    <xf numFmtId="0" fontId="8" fillId="18" borderId="1" xfId="0" applyFont="1" applyFill="1" applyBorder="1" applyAlignment="1">
      <alignment horizontal="left" vertical="center" wrapText="1"/>
    </xf>
    <xf numFmtId="1" fontId="2" fillId="9" borderId="2" xfId="0" quotePrefix="1" applyNumberFormat="1" applyFont="1" applyFill="1" applyBorder="1" applyAlignment="1">
      <alignment horizontal="center" vertical="center" wrapText="1"/>
    </xf>
    <xf numFmtId="3" fontId="2" fillId="9" borderId="2" xfId="0" quotePrefix="1" applyNumberFormat="1" applyFont="1" applyFill="1" applyBorder="1" applyAlignment="1">
      <alignment horizontal="center" wrapText="1"/>
    </xf>
    <xf numFmtId="0" fontId="2" fillId="18" borderId="1" xfId="0" applyFont="1" applyFill="1" applyBorder="1" applyAlignment="1">
      <alignment horizontal="center"/>
    </xf>
    <xf numFmtId="1" fontId="2" fillId="18" borderId="1" xfId="0" applyNumberFormat="1" applyFont="1" applyFill="1" applyBorder="1" applyAlignment="1">
      <alignment horizontal="center" wrapText="1"/>
    </xf>
    <xf numFmtId="49" fontId="2" fillId="18" borderId="1" xfId="0" applyNumberFormat="1" applyFont="1" applyFill="1" applyBorder="1" applyAlignment="1">
      <alignment horizontal="center" wrapText="1"/>
    </xf>
    <xf numFmtId="0" fontId="0" fillId="18" borderId="1" xfId="0" applyFill="1" applyBorder="1" applyAlignment="1">
      <alignment horizontal="center" vertical="center"/>
    </xf>
    <xf numFmtId="0" fontId="0" fillId="18" borderId="1" xfId="0" applyFill="1" applyBorder="1"/>
    <xf numFmtId="1" fontId="2" fillId="18" borderId="1" xfId="0" applyNumberFormat="1" applyFont="1" applyFill="1" applyBorder="1" applyAlignment="1">
      <alignment horizontal="left" wrapText="1"/>
    </xf>
    <xf numFmtId="3" fontId="2" fillId="18" borderId="1" xfId="0" applyNumberFormat="1" applyFont="1" applyFill="1" applyBorder="1" applyAlignment="1">
      <alignment horizontal="right" wrapText="1"/>
    </xf>
    <xf numFmtId="0" fontId="2" fillId="9" borderId="2" xfId="0" quotePrefix="1" applyFont="1" applyFill="1" applyBorder="1" applyAlignment="1">
      <alignment horizontal="center" wrapText="1"/>
    </xf>
    <xf numFmtId="3" fontId="2" fillId="17" borderId="2" xfId="0" quotePrefix="1" applyNumberFormat="1" applyFont="1" applyFill="1" applyBorder="1" applyAlignment="1">
      <alignment horizontal="center" wrapText="1"/>
    </xf>
    <xf numFmtId="3" fontId="2" fillId="19" borderId="2" xfId="0" quotePrefix="1" applyNumberFormat="1" applyFont="1" applyFill="1" applyBorder="1" applyAlignment="1">
      <alignment horizontal="center" wrapText="1"/>
    </xf>
    <xf numFmtId="0" fontId="2" fillId="17" borderId="2" xfId="0" applyFont="1" applyFill="1" applyBorder="1" applyAlignment="1">
      <alignment horizontal="center" wrapText="1"/>
    </xf>
    <xf numFmtId="0" fontId="2" fillId="18" borderId="2" xfId="0" applyFont="1" applyFill="1" applyBorder="1" applyAlignment="1">
      <alignment horizontal="center" vertical="center" wrapText="1"/>
    </xf>
    <xf numFmtId="0" fontId="2" fillId="18" borderId="2" xfId="0" applyFont="1" applyFill="1" applyBorder="1" applyAlignment="1">
      <alignment horizontal="center" wrapText="1"/>
    </xf>
    <xf numFmtId="0" fontId="2" fillId="18" borderId="2" xfId="0" applyFont="1" applyFill="1" applyBorder="1" applyAlignment="1">
      <alignment horizontal="center"/>
    </xf>
    <xf numFmtId="1" fontId="2" fillId="18" borderId="2" xfId="0" applyNumberFormat="1" applyFont="1" applyFill="1" applyBorder="1" applyAlignment="1">
      <alignment horizontal="center" vertical="center" wrapText="1"/>
    </xf>
    <xf numFmtId="3" fontId="2" fillId="18" borderId="2" xfId="0" quotePrefix="1" applyNumberFormat="1" applyFont="1" applyFill="1" applyBorder="1" applyAlignment="1">
      <alignment horizontal="center" wrapText="1"/>
    </xf>
    <xf numFmtId="49" fontId="2" fillId="18" borderId="2" xfId="0" applyNumberFormat="1" applyFont="1" applyFill="1" applyBorder="1" applyAlignment="1">
      <alignment horizontal="center" wrapText="1"/>
    </xf>
    <xf numFmtId="1" fontId="2" fillId="18" borderId="2" xfId="0" quotePrefix="1" applyNumberFormat="1" applyFont="1" applyFill="1" applyBorder="1" applyAlignment="1">
      <alignment horizontal="center" vertical="center" wrapText="1"/>
    </xf>
    <xf numFmtId="0" fontId="2" fillId="17" borderId="2" xfId="0" quotePrefix="1" applyFont="1" applyFill="1" applyBorder="1" applyAlignment="1">
      <alignment horizontal="center" vertical="center"/>
    </xf>
    <xf numFmtId="3" fontId="2" fillId="23" borderId="1" xfId="0" applyNumberFormat="1" applyFont="1" applyFill="1" applyBorder="1" applyAlignment="1">
      <alignment horizontal="center" vertical="center"/>
    </xf>
    <xf numFmtId="0" fontId="0" fillId="23" borderId="0" xfId="0" applyFill="1"/>
    <xf numFmtId="0" fontId="2" fillId="17" borderId="2" xfId="0" quotePrefix="1" applyFont="1" applyFill="1" applyBorder="1" applyAlignment="1">
      <alignment horizontal="center" wrapText="1"/>
    </xf>
    <xf numFmtId="1" fontId="2" fillId="17" borderId="2" xfId="0" quotePrefix="1" applyNumberFormat="1" applyFont="1" applyFill="1" applyBorder="1" applyAlignment="1">
      <alignment horizontal="center" vertical="center" wrapText="1"/>
    </xf>
    <xf numFmtId="3" fontId="2" fillId="18" borderId="1" xfId="0" applyNumberFormat="1" applyFont="1" applyFill="1" applyBorder="1" applyAlignment="1">
      <alignment horizontal="center"/>
    </xf>
    <xf numFmtId="0" fontId="2" fillId="17" borderId="1" xfId="0" quotePrefix="1" applyFont="1" applyFill="1" applyBorder="1" applyAlignment="1">
      <alignment horizontal="center" wrapText="1"/>
    </xf>
    <xf numFmtId="1" fontId="2" fillId="17" borderId="2" xfId="0" applyNumberFormat="1" applyFont="1" applyFill="1" applyBorder="1" applyAlignment="1">
      <alignment horizontal="center" vertical="center" wrapText="1"/>
    </xf>
    <xf numFmtId="0" fontId="2" fillId="19" borderId="2" xfId="0" quotePrefix="1" applyFont="1" applyFill="1" applyBorder="1" applyAlignment="1">
      <alignment horizontal="center" wrapText="1"/>
    </xf>
    <xf numFmtId="0" fontId="2" fillId="19" borderId="2" xfId="0" applyFont="1" applyFill="1" applyBorder="1" applyAlignment="1">
      <alignment horizontal="center" vertical="center"/>
    </xf>
    <xf numFmtId="0" fontId="2" fillId="18" borderId="2" xfId="0" applyFont="1" applyFill="1" applyBorder="1" applyAlignment="1">
      <alignment horizontal="center" vertical="center"/>
    </xf>
    <xf numFmtId="0" fontId="2" fillId="18" borderId="2" xfId="0" quotePrefix="1" applyFont="1" applyFill="1" applyBorder="1" applyAlignment="1">
      <alignment horizontal="center" vertical="center"/>
    </xf>
    <xf numFmtId="0" fontId="2" fillId="18" borderId="2" xfId="0" quotePrefix="1" applyFont="1" applyFill="1" applyBorder="1" applyAlignment="1">
      <alignment horizontal="center" wrapText="1"/>
    </xf>
    <xf numFmtId="3" fontId="0" fillId="18" borderId="0" xfId="0" applyNumberFormat="1" applyFill="1" applyAlignment="1">
      <alignment horizontal="right"/>
    </xf>
    <xf numFmtId="0" fontId="0" fillId="18" borderId="0" xfId="0" applyFill="1"/>
    <xf numFmtId="0" fontId="2" fillId="18" borderId="0" xfId="0" applyFont="1" applyFill="1" applyAlignment="1">
      <alignment horizontal="center"/>
    </xf>
    <xf numFmtId="0" fontId="2" fillId="24" borderId="1" xfId="0" applyFont="1" applyFill="1" applyBorder="1" applyAlignment="1">
      <alignment horizontal="center" vertical="center" wrapText="1"/>
    </xf>
    <xf numFmtId="0" fontId="2" fillId="24" borderId="1" xfId="0" applyFont="1" applyFill="1" applyBorder="1" applyAlignment="1">
      <alignment horizontal="center" vertical="center"/>
    </xf>
    <xf numFmtId="0" fontId="2" fillId="24" borderId="1" xfId="0" applyFont="1" applyFill="1" applyBorder="1" applyAlignment="1">
      <alignment horizontal="left" vertical="center" wrapText="1"/>
    </xf>
    <xf numFmtId="0" fontId="2" fillId="24" borderId="1" xfId="0" applyFont="1" applyFill="1" applyBorder="1" applyAlignment="1">
      <alignment horizontal="center" wrapText="1"/>
    </xf>
    <xf numFmtId="3" fontId="0" fillId="24" borderId="0" xfId="0" applyNumberFormat="1" applyFill="1" applyAlignment="1">
      <alignment horizontal="right"/>
    </xf>
    <xf numFmtId="0" fontId="2" fillId="24" borderId="1" xfId="0" applyFont="1" applyFill="1" applyBorder="1" applyAlignment="1">
      <alignment horizontal="left" wrapText="1"/>
    </xf>
    <xf numFmtId="0" fontId="0" fillId="24" borderId="0" xfId="0" applyFill="1"/>
    <xf numFmtId="1" fontId="2" fillId="24" borderId="1" xfId="0" applyNumberFormat="1" applyFont="1" applyFill="1" applyBorder="1" applyAlignment="1">
      <alignment horizontal="left" wrapText="1"/>
    </xf>
    <xf numFmtId="3" fontId="2" fillId="24" borderId="1" xfId="0" applyNumberFormat="1" applyFont="1" applyFill="1" applyBorder="1" applyAlignment="1">
      <alignment horizontal="right" wrapText="1"/>
    </xf>
    <xf numFmtId="49" fontId="2" fillId="24" borderId="1" xfId="0" applyNumberFormat="1" applyFont="1" applyFill="1" applyBorder="1" applyAlignment="1">
      <alignment horizontal="center" wrapText="1"/>
    </xf>
    <xf numFmtId="0" fontId="0" fillId="19" borderId="0" xfId="0" applyFill="1" applyAlignment="1">
      <alignment horizontal="center" vertical="center"/>
    </xf>
    <xf numFmtId="1" fontId="0" fillId="0" borderId="0" xfId="0" quotePrefix="1" applyNumberFormat="1" applyAlignment="1">
      <alignment horizontal="center" vertical="center"/>
    </xf>
    <xf numFmtId="0" fontId="0" fillId="19" borderId="0" xfId="0" applyFill="1" applyAlignment="1">
      <alignment horizontal="center" vertical="center" wrapText="1"/>
    </xf>
    <xf numFmtId="0" fontId="0" fillId="19" borderId="0" xfId="0" applyFill="1" applyAlignment="1">
      <alignment vertical="center" wrapText="1"/>
    </xf>
    <xf numFmtId="0" fontId="0" fillId="19" borderId="0" xfId="0" quotePrefix="1" applyFill="1" applyAlignment="1">
      <alignment horizontal="center" vertical="center" wrapText="1"/>
    </xf>
    <xf numFmtId="1" fontId="0" fillId="19" borderId="0" xfId="0" quotePrefix="1" applyNumberFormat="1" applyFill="1" applyAlignment="1">
      <alignment horizontal="center" vertical="center" wrapText="1"/>
    </xf>
    <xf numFmtId="0" fontId="0" fillId="19" borderId="0" xfId="0" applyFill="1" applyAlignment="1">
      <alignment vertical="center"/>
    </xf>
    <xf numFmtId="0" fontId="0" fillId="19" borderId="0" xfId="0" quotePrefix="1" applyFill="1" applyAlignment="1">
      <alignment horizontal="center" vertical="center"/>
    </xf>
    <xf numFmtId="1" fontId="0" fillId="19" borderId="0" xfId="0" quotePrefix="1" applyNumberFormat="1" applyFill="1" applyAlignment="1">
      <alignment horizontal="center" vertical="center"/>
    </xf>
    <xf numFmtId="0" fontId="2" fillId="19" borderId="2" xfId="0" applyFont="1" applyFill="1" applyBorder="1" applyAlignment="1">
      <alignment horizontal="center" vertical="center" wrapText="1"/>
    </xf>
    <xf numFmtId="1" fontId="2" fillId="19" borderId="2" xfId="0" quotePrefix="1" applyNumberFormat="1" applyFont="1" applyFill="1" applyBorder="1" applyAlignment="1">
      <alignment horizontal="center" vertical="center" wrapText="1"/>
    </xf>
    <xf numFmtId="0" fontId="0" fillId="18" borderId="0" xfId="0" applyFill="1" applyAlignment="1">
      <alignment horizontal="center" vertical="center"/>
    </xf>
    <xf numFmtId="0" fontId="0" fillId="18" borderId="0" xfId="0" applyFill="1" applyAlignment="1">
      <alignment vertical="center"/>
    </xf>
    <xf numFmtId="1" fontId="0" fillId="18" borderId="0" xfId="0" applyNumberFormat="1" applyFill="1" applyAlignment="1">
      <alignment horizontal="center" vertical="center"/>
    </xf>
    <xf numFmtId="0" fontId="0" fillId="17" borderId="0" xfId="0" quotePrefix="1" applyFill="1" applyAlignment="1">
      <alignment horizontal="center" vertical="center" wrapText="1"/>
    </xf>
    <xf numFmtId="0" fontId="0" fillId="17" borderId="0" xfId="0" applyFill="1" applyAlignment="1">
      <alignment horizontal="center" vertical="center" wrapText="1"/>
    </xf>
    <xf numFmtId="0" fontId="0" fillId="18" borderId="0" xfId="0" quotePrefix="1" applyFill="1" applyAlignment="1">
      <alignment horizontal="center" vertical="center" wrapText="1"/>
    </xf>
    <xf numFmtId="1" fontId="0" fillId="18" borderId="0" xfId="0" quotePrefix="1" applyNumberFormat="1" applyFill="1" applyAlignment="1">
      <alignment horizontal="center" vertical="center" wrapText="1"/>
    </xf>
    <xf numFmtId="0" fontId="0" fillId="18" borderId="0" xfId="0" quotePrefix="1" applyFill="1" applyAlignment="1">
      <alignment horizontal="center" vertical="center"/>
    </xf>
    <xf numFmtId="1" fontId="0" fillId="18" borderId="0" xfId="0" quotePrefix="1" applyNumberFormat="1" applyFill="1" applyAlignment="1">
      <alignment horizontal="center" vertical="center"/>
    </xf>
    <xf numFmtId="0" fontId="0" fillId="0" borderId="0" xfId="0" quotePrefix="1" applyFill="1" applyAlignment="1">
      <alignment horizontal="center" vertical="center" wrapText="1"/>
    </xf>
    <xf numFmtId="0" fontId="0" fillId="18" borderId="0" xfId="0" applyFill="1" applyAlignment="1">
      <alignment horizontal="left" vertical="center" wrapText="1"/>
    </xf>
    <xf numFmtId="1" fontId="0" fillId="17" borderId="0" xfId="0" quotePrefix="1" applyNumberFormat="1" applyFill="1" applyAlignment="1">
      <alignment horizontal="center" vertical="center" wrapText="1"/>
    </xf>
    <xf numFmtId="1" fontId="0" fillId="17" borderId="0" xfId="0" quotePrefix="1" applyNumberFormat="1" applyFill="1" applyAlignment="1">
      <alignment horizontal="center" vertical="center"/>
    </xf>
    <xf numFmtId="1" fontId="0" fillId="17" borderId="0" xfId="0" quotePrefix="1" applyNumberFormat="1" applyFont="1" applyFill="1" applyAlignment="1">
      <alignment horizontal="center" vertical="center" wrapText="1"/>
    </xf>
    <xf numFmtId="1" fontId="0" fillId="17" borderId="0" xfId="0" quotePrefix="1" applyNumberFormat="1" applyFont="1"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vertical="center" wrapText="1"/>
    </xf>
    <xf numFmtId="1" fontId="0" fillId="0" borderId="0" xfId="0" quotePrefix="1" applyNumberFormat="1" applyFill="1" applyAlignment="1">
      <alignment horizontal="center" vertical="center" wrapText="1"/>
    </xf>
    <xf numFmtId="0" fontId="0" fillId="0" borderId="0" xfId="0" applyFill="1" applyAlignment="1">
      <alignment horizontal="center" vertical="center"/>
    </xf>
    <xf numFmtId="0" fontId="0" fillId="0" borderId="0" xfId="0" quotePrefix="1" applyFill="1" applyAlignment="1">
      <alignment horizontal="center" vertical="center"/>
    </xf>
    <xf numFmtId="1" fontId="0" fillId="0" borderId="0" xfId="0" quotePrefix="1" applyNumberFormat="1" applyFill="1" applyAlignment="1">
      <alignment horizontal="center" vertical="center"/>
    </xf>
    <xf numFmtId="0" fontId="2" fillId="0" borderId="2" xfId="0" applyFont="1" applyFill="1" applyBorder="1" applyAlignment="1">
      <alignment horizontal="center" vertical="center" wrapText="1"/>
    </xf>
    <xf numFmtId="1" fontId="2" fillId="0" borderId="2" xfId="0" quotePrefix="1" applyNumberFormat="1" applyFont="1" applyFill="1" applyBorder="1" applyAlignment="1">
      <alignment horizontal="center" vertical="center" wrapText="1"/>
    </xf>
    <xf numFmtId="0" fontId="0" fillId="0" borderId="0" xfId="0" applyFill="1" applyAlignment="1">
      <alignment horizontal="left" vertical="center" wrapText="1"/>
    </xf>
    <xf numFmtId="3" fontId="2" fillId="0" borderId="1" xfId="0" quotePrefix="1" applyNumberFormat="1" applyFont="1" applyBorder="1" applyAlignment="1">
      <alignment horizontal="center" vertical="center" wrapText="1"/>
    </xf>
    <xf numFmtId="0" fontId="2" fillId="19" borderId="2" xfId="0" quotePrefix="1" applyFont="1" applyFill="1" applyBorder="1" applyAlignment="1">
      <alignment horizontal="center" vertical="center" wrapText="1"/>
    </xf>
    <xf numFmtId="0" fontId="0" fillId="25" borderId="0" xfId="0" applyFill="1" applyAlignment="1">
      <alignment horizontal="center" vertical="center" wrapText="1"/>
    </xf>
    <xf numFmtId="0" fontId="0" fillId="25" borderId="0" xfId="0" applyFill="1" applyAlignment="1">
      <alignment vertical="center" wrapText="1"/>
    </xf>
    <xf numFmtId="0" fontId="0" fillId="25" borderId="0" xfId="0" quotePrefix="1" applyFill="1" applyAlignment="1">
      <alignment horizontal="center" vertical="center" wrapText="1"/>
    </xf>
    <xf numFmtId="1" fontId="0" fillId="25" borderId="0" xfId="0" quotePrefix="1" applyNumberFormat="1" applyFill="1" applyAlignment="1">
      <alignment horizontal="center" vertical="center" wrapText="1"/>
    </xf>
    <xf numFmtId="0" fontId="0" fillId="25" borderId="0" xfId="0" applyFill="1" applyAlignment="1">
      <alignment vertical="center"/>
    </xf>
    <xf numFmtId="0" fontId="0" fillId="25" borderId="0" xfId="0" applyFill="1" applyAlignment="1">
      <alignment horizontal="center" vertical="center"/>
    </xf>
    <xf numFmtId="0" fontId="0" fillId="25" borderId="0" xfId="0" quotePrefix="1" applyFill="1" applyAlignment="1">
      <alignment horizontal="center" vertical="center"/>
    </xf>
    <xf numFmtId="1" fontId="0" fillId="25" borderId="0" xfId="0" quotePrefix="1" applyNumberFormat="1" applyFill="1" applyAlignment="1">
      <alignment horizontal="center" vertical="center"/>
    </xf>
    <xf numFmtId="0" fontId="2" fillId="25" borderId="2" xfId="0" applyFont="1" applyFill="1" applyBorder="1" applyAlignment="1">
      <alignment horizontal="center" vertical="center" wrapText="1"/>
    </xf>
    <xf numFmtId="1" fontId="2" fillId="25" borderId="2" xfId="0" quotePrefix="1" applyNumberFormat="1" applyFont="1" applyFill="1" applyBorder="1" applyAlignment="1">
      <alignment horizontal="center" vertical="center" wrapText="1"/>
    </xf>
    <xf numFmtId="0" fontId="0" fillId="25" borderId="0" xfId="0" applyFill="1"/>
    <xf numFmtId="0" fontId="0" fillId="26" borderId="0" xfId="0" applyFill="1" applyAlignment="1">
      <alignment horizontal="center" vertical="center"/>
    </xf>
    <xf numFmtId="0" fontId="0" fillId="26" borderId="0" xfId="0" applyFill="1" applyAlignment="1">
      <alignment horizontal="left" vertical="center" wrapText="1"/>
    </xf>
    <xf numFmtId="0" fontId="0" fillId="26" borderId="0" xfId="0" applyFill="1" applyAlignment="1">
      <alignment horizontal="center" vertical="center" wrapText="1"/>
    </xf>
    <xf numFmtId="0" fontId="0" fillId="26" borderId="0" xfId="0" applyFill="1" applyAlignment="1">
      <alignment vertical="center" wrapText="1"/>
    </xf>
    <xf numFmtId="0" fontId="0" fillId="26" borderId="0" xfId="0" applyFill="1" applyAlignment="1">
      <alignment vertical="center"/>
    </xf>
    <xf numFmtId="3" fontId="0" fillId="26" borderId="0" xfId="0" applyNumberFormat="1" applyFill="1" applyAlignment="1">
      <alignment horizontal="right"/>
    </xf>
    <xf numFmtId="1" fontId="0" fillId="26" borderId="0" xfId="0" applyNumberFormat="1" applyFill="1" applyAlignment="1">
      <alignment horizontal="center" vertical="center"/>
    </xf>
    <xf numFmtId="0" fontId="0" fillId="24" borderId="0" xfId="0" applyFill="1" applyAlignment="1">
      <alignment horizontal="center" vertical="center"/>
    </xf>
    <xf numFmtId="0" fontId="0" fillId="24" borderId="0" xfId="0" applyFill="1" applyAlignment="1">
      <alignment horizontal="left" vertical="center" wrapText="1"/>
    </xf>
    <xf numFmtId="0" fontId="0" fillId="24" borderId="0" xfId="0" applyFill="1" applyAlignment="1">
      <alignment horizontal="center" vertical="center" wrapText="1"/>
    </xf>
    <xf numFmtId="0" fontId="0" fillId="24" borderId="0" xfId="0" applyFill="1" applyAlignment="1">
      <alignment vertical="center" wrapText="1"/>
    </xf>
    <xf numFmtId="0" fontId="0" fillId="24" borderId="0" xfId="0" applyFill="1" applyAlignment="1">
      <alignment vertical="center"/>
    </xf>
    <xf numFmtId="1" fontId="0" fillId="24" borderId="0" xfId="0" applyNumberFormat="1" applyFill="1" applyAlignment="1">
      <alignment horizontal="center" vertical="center"/>
    </xf>
    <xf numFmtId="0" fontId="0" fillId="24" borderId="0" xfId="0" quotePrefix="1" applyFill="1" applyAlignment="1">
      <alignment horizontal="center" vertical="center" wrapText="1"/>
    </xf>
    <xf numFmtId="1" fontId="0" fillId="24" borderId="0" xfId="0" quotePrefix="1" applyNumberFormat="1" applyFill="1" applyAlignment="1">
      <alignment horizontal="center" vertical="center" wrapText="1"/>
    </xf>
    <xf numFmtId="0" fontId="0" fillId="24" borderId="0" xfId="0" quotePrefix="1" applyFill="1" applyAlignment="1">
      <alignment horizontal="center" vertical="center"/>
    </xf>
    <xf numFmtId="1" fontId="0" fillId="24" borderId="0" xfId="0" quotePrefix="1" applyNumberFormat="1" applyFill="1" applyAlignment="1">
      <alignment horizontal="center" vertical="center"/>
    </xf>
    <xf numFmtId="0" fontId="2" fillId="24" borderId="2" xfId="0" applyFont="1" applyFill="1" applyBorder="1" applyAlignment="1">
      <alignment horizontal="center" vertical="center" wrapText="1"/>
    </xf>
    <xf numFmtId="1" fontId="2" fillId="24" borderId="2" xfId="0" quotePrefix="1"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Matabang, Abraham Alexis  R." id="{E3F3AA84-6007-44C8-9AF1-5342D7F357BF}" userId="S::ARMatabang@eastwestbanker.com::bfce363f-6b67-428a-acd6-5229687feeb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21" dT="2026-07-24T09:12:48.41" personId="{E3F3AA84-6007-44C8-9AF1-5342D7F357BF}" id="{8DDC1EA8-838E-4DFA-8045-6FD5FD670E05}">
    <text>Non-Core</text>
  </threadedComment>
  <threadedComment ref="C122" dT="2026-07-24T09:12:48.41" personId="{E3F3AA84-6007-44C8-9AF1-5342D7F357BF}" id="{8189F749-7DAC-4F8E-9304-EB9AF70491AD}">
    <text>Non-Core</text>
  </threadedComment>
  <threadedComment ref="C123" dT="2026-07-24T09:12:48.41" personId="{E3F3AA84-6007-44C8-9AF1-5342D7F357BF}" id="{09EA743A-B0F0-4B3D-A25E-0119506FAEAB}">
    <text>Non-Core</text>
  </threadedComment>
  <threadedComment ref="C124" dT="2026-07-24T09:12:48.41" personId="{E3F3AA84-6007-44C8-9AF1-5342D7F357BF}" id="{F8605205-9702-482F-BE04-4F1DB2F78862}">
    <text>Non-Core</text>
  </threadedComment>
  <threadedComment ref="C125" dT="2026-07-24T09:12:48.41" personId="{E3F3AA84-6007-44C8-9AF1-5342D7F357BF}" id="{C884FD59-AD05-4F8F-9ECC-3F4D0C0C0814}">
    <text>Non-Core</text>
  </threadedComment>
  <threadedComment ref="C126" dT="2026-07-24T09:12:48.41" personId="{E3F3AA84-6007-44C8-9AF1-5342D7F357BF}" id="{90BBB762-607F-4E77-ABF8-BE7F19013EE7}">
    <text>Non-Core</text>
  </threadedComment>
  <threadedComment ref="C127" dT="2026-07-24T09:12:48.41" personId="{E3F3AA84-6007-44C8-9AF1-5342D7F357BF}" id="{BDCA01C6-ABC7-4B96-BA57-0C118666CEF1}">
    <text>Non-Core</text>
  </threadedComment>
  <threadedComment ref="C128" dT="2026-07-24T09:12:48.41" personId="{E3F3AA84-6007-44C8-9AF1-5342D7F357BF}" id="{C503B3EA-84A1-4C1F-B15A-C36BABD43DD7}">
    <text>Non-Core</text>
  </threadedComment>
  <threadedComment ref="C129" dT="2026-07-24T09:12:48.41" personId="{E3F3AA84-6007-44C8-9AF1-5342D7F357BF}" id="{308E38F8-3F1D-4A6F-A0A9-84F504381E11}">
    <text>Non-Core</text>
  </threadedComment>
  <threadedComment ref="C130" dT="2026-07-24T09:12:48.41" personId="{E3F3AA84-6007-44C8-9AF1-5342D7F357BF}" id="{F0511950-9721-4752-80AB-07DC311B03C9}">
    <text>Non-Core</text>
  </threadedComment>
  <threadedComment ref="C131" dT="2026-07-24T09:12:48.41" personId="{E3F3AA84-6007-44C8-9AF1-5342D7F357BF}" id="{1CD7A5AE-646E-4BF9-96B5-494AED867DB3}">
    <text>Non-Core</text>
  </threadedComment>
  <threadedComment ref="C132" dT="2026-07-24T09:12:48.41" personId="{E3F3AA84-6007-44C8-9AF1-5342D7F357BF}" id="{F1A2AEB8-8DA0-4D1F-BE96-A598893C509D}">
    <text>Non-Core</text>
  </threadedComment>
  <threadedComment ref="C171" dT="2026-07-24T09:12:48.41" personId="{E3F3AA84-6007-44C8-9AF1-5342D7F357BF}" id="{EA011FA4-3759-4603-9B71-10048E460BC4}">
    <text>Non-Core</text>
  </threadedComment>
  <threadedComment ref="C219" dT="2026-07-24T09:12:48.41" personId="{E3F3AA84-6007-44C8-9AF1-5342D7F357BF}" id="{94B26C2B-54C8-4646-9C2C-DFBF563E6942}">
    <text>Non-Core</text>
  </threadedComment>
  <threadedComment ref="C228" dT="2026-07-24T09:12:48.41" personId="{E3F3AA84-6007-44C8-9AF1-5342D7F357BF}" id="{C4279C71-C967-4850-80C1-E59AE0F8FCCD}">
    <text>Non-Core</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1:D22"/>
  <sheetViews>
    <sheetView workbookViewId="0">
      <selection activeCell="D22" sqref="D22"/>
    </sheetView>
  </sheetViews>
  <sheetFormatPr defaultColWidth="9.109375" defaultRowHeight="14.4" x14ac:dyDescent="0.3"/>
  <cols>
    <col min="1" max="1" width="2.5546875" style="185" bestFit="1" customWidth="1"/>
    <col min="2" max="2" width="9.109375" style="185" bestFit="1" customWidth="1"/>
    <col min="3" max="3" width="12.88671875" style="192" bestFit="1" customWidth="1"/>
    <col min="4" max="4" width="13.5546875" style="193" bestFit="1" customWidth="1"/>
    <col min="5" max="16384" width="9.109375" style="185"/>
  </cols>
  <sheetData>
    <row r="1" spans="2:4" ht="18.75" customHeight="1" x14ac:dyDescent="0.3">
      <c r="C1" s="186"/>
      <c r="D1" s="187"/>
    </row>
    <row r="2" spans="2:4" ht="18.75" customHeight="1" x14ac:dyDescent="0.3">
      <c r="B2" s="188" t="s">
        <v>0</v>
      </c>
      <c r="C2" s="186"/>
      <c r="D2" s="187"/>
    </row>
    <row r="3" spans="2:4" ht="18.75" customHeight="1" x14ac:dyDescent="0.3">
      <c r="C3" s="189" t="s">
        <v>1</v>
      </c>
      <c r="D3" s="190">
        <f>COUNTA(SBAuthAPI!E:E)-1</f>
        <v>26</v>
      </c>
    </row>
    <row r="4" spans="2:4" ht="18.75" customHeight="1" x14ac:dyDescent="0.3">
      <c r="C4" s="189" t="s">
        <v>2</v>
      </c>
      <c r="D4" s="190">
        <f>COUNTA(SBBankList!E:E)-1</f>
        <v>18</v>
      </c>
    </row>
    <row r="5" spans="2:4" ht="18.75" customHeight="1" x14ac:dyDescent="0.3">
      <c r="C5" s="189" t="s">
        <v>3</v>
      </c>
      <c r="D5" s="190">
        <f>COUNTA(SBCheckStatus!E:E)-1</f>
        <v>60</v>
      </c>
    </row>
    <row r="6" spans="2:4" ht="18.75" customHeight="1" x14ac:dyDescent="0.3">
      <c r="C6" s="189" t="s">
        <v>4</v>
      </c>
      <c r="D6" s="190">
        <f>COUNTA(SBSendFunds!E:E)-1</f>
        <v>114</v>
      </c>
    </row>
    <row r="7" spans="2:4" ht="18.75" customHeight="1" x14ac:dyDescent="0.3">
      <c r="C7" s="186"/>
      <c r="D7" s="191">
        <f>SUM(D3:D6)</f>
        <v>218</v>
      </c>
    </row>
    <row r="8" spans="2:4" ht="18.75" customHeight="1" x14ac:dyDescent="0.3">
      <c r="B8" s="188" t="s">
        <v>5</v>
      </c>
      <c r="C8" s="186"/>
      <c r="D8" s="187"/>
    </row>
    <row r="9" spans="2:4" ht="18.75" customHeight="1" x14ac:dyDescent="0.3">
      <c r="C9" s="189" t="s">
        <v>1</v>
      </c>
      <c r="D9" s="190">
        <f>COUNTA(PTTAuthAPI!E:E)-1</f>
        <v>27</v>
      </c>
    </row>
    <row r="10" spans="2:4" ht="18.75" customHeight="1" x14ac:dyDescent="0.3">
      <c r="C10" s="189" t="s">
        <v>2</v>
      </c>
      <c r="D10" s="190">
        <f>COUNTA(PTTBankList!E:E)-1</f>
        <v>19</v>
      </c>
    </row>
    <row r="11" spans="2:4" ht="18.75" customHeight="1" x14ac:dyDescent="0.3">
      <c r="C11" s="189" t="s">
        <v>3</v>
      </c>
      <c r="D11" s="190">
        <f>COUNTA(PTTCheckStatus!E:E)-1</f>
        <v>59</v>
      </c>
    </row>
    <row r="12" spans="2:4" ht="18.75" customHeight="1" x14ac:dyDescent="0.3">
      <c r="C12" s="189" t="s">
        <v>4</v>
      </c>
      <c r="D12" s="190">
        <f>COUNTA(PTTSendFunds!E:E)-1</f>
        <v>230</v>
      </c>
    </row>
    <row r="13" spans="2:4" ht="18.75" customHeight="1" x14ac:dyDescent="0.3">
      <c r="C13" s="186"/>
      <c r="D13" s="191">
        <f>SUM(D9:D12)</f>
        <v>335</v>
      </c>
    </row>
    <row r="14" spans="2:4" ht="18.75" customHeight="1" x14ac:dyDescent="0.3">
      <c r="B14" s="188" t="s">
        <v>6</v>
      </c>
      <c r="C14" s="186"/>
      <c r="D14" s="187"/>
    </row>
    <row r="15" spans="2:4" ht="18.75" customHeight="1" x14ac:dyDescent="0.3">
      <c r="C15" s="189" t="s">
        <v>1</v>
      </c>
      <c r="D15" s="190">
        <f>COUNTA(PTLAuthAPI!E:E)-1</f>
        <v>26</v>
      </c>
    </row>
    <row r="16" spans="2:4" ht="18.75" customHeight="1" x14ac:dyDescent="0.3">
      <c r="C16" s="189" t="s">
        <v>2</v>
      </c>
      <c r="D16" s="190">
        <f>COUNTA(PTLBankList!E:E)-1</f>
        <v>19</v>
      </c>
    </row>
    <row r="17" spans="3:4" ht="18.75" customHeight="1" x14ac:dyDescent="0.3">
      <c r="C17" s="189" t="s">
        <v>3</v>
      </c>
      <c r="D17" s="190">
        <f>COUNTA(PTLCheckStatus!E:E)-1</f>
        <v>56</v>
      </c>
    </row>
    <row r="18" spans="3:4" ht="18.75" customHeight="1" x14ac:dyDescent="0.3">
      <c r="C18" s="189" t="s">
        <v>4</v>
      </c>
      <c r="D18" s="190">
        <f>COUNTA(PTLSendFunds!E:E)-1</f>
        <v>302</v>
      </c>
    </row>
    <row r="19" spans="3:4" ht="18.75" customHeight="1" x14ac:dyDescent="0.3">
      <c r="C19" s="186"/>
      <c r="D19" s="191">
        <f>SUM(D15:D18)</f>
        <v>403</v>
      </c>
    </row>
    <row r="20" spans="3:4" ht="18.75" customHeight="1" x14ac:dyDescent="0.3">
      <c r="C20" s="186"/>
      <c r="D20" s="187"/>
    </row>
    <row r="21" spans="3:4" ht="18.75" customHeight="1" x14ac:dyDescent="0.3">
      <c r="C21" s="186"/>
      <c r="D21" s="187"/>
    </row>
    <row r="22" spans="3:4" ht="18.75" customHeight="1" x14ac:dyDescent="0.3">
      <c r="C22" s="188" t="s">
        <v>7</v>
      </c>
      <c r="D22" s="191">
        <f>SUM(D7,D13,D19)</f>
        <v>956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F21"/>
  <sheetViews>
    <sheetView workbookViewId="0">
      <selection activeCell="D15" sqref="D15"/>
    </sheetView>
  </sheetViews>
  <sheetFormatPr defaultRowHeight="14.4" x14ac:dyDescent="0.3"/>
  <cols>
    <col min="1" max="1" width="2.5546875" bestFit="1" customWidth="1"/>
    <col min="2" max="2" width="9.109375" bestFit="1" customWidth="1"/>
    <col min="3" max="3" width="71.77734375" style="53" customWidth="1"/>
    <col min="4" max="4" width="9.109375" style="53" bestFit="1" customWidth="1"/>
    <col min="5" max="5" width="44.44140625" bestFit="1" customWidth="1"/>
    <col min="6" max="6" width="13.5546875" bestFit="1" customWidth="1"/>
  </cols>
  <sheetData>
    <row r="1" spans="2:6" ht="18.75" customHeight="1" x14ac:dyDescent="0.3">
      <c r="C1" s="64"/>
      <c r="D1" s="64"/>
    </row>
    <row r="2" spans="2:6" ht="18.75" customHeight="1" x14ac:dyDescent="0.3">
      <c r="B2" s="65" t="s">
        <v>8</v>
      </c>
      <c r="C2" s="64"/>
      <c r="D2" s="64"/>
      <c r="E2" s="66" t="s">
        <v>6</v>
      </c>
    </row>
    <row r="3" spans="2:6" ht="18.75" customHeight="1" x14ac:dyDescent="0.3">
      <c r="B3" s="67"/>
      <c r="C3" s="68" t="s">
        <v>9</v>
      </c>
      <c r="D3" s="64"/>
      <c r="E3" s="69" t="s">
        <v>10</v>
      </c>
      <c r="F3" s="69" t="s">
        <v>11</v>
      </c>
    </row>
    <row r="4" spans="2:6" ht="18.75" customHeight="1" x14ac:dyDescent="0.3">
      <c r="B4" s="70"/>
      <c r="C4" s="68" t="s">
        <v>12</v>
      </c>
      <c r="D4" s="64"/>
      <c r="E4" s="69" t="s">
        <v>13</v>
      </c>
      <c r="F4" s="69" t="s">
        <v>14</v>
      </c>
    </row>
    <row r="5" spans="2:6" ht="18.75" customHeight="1" x14ac:dyDescent="0.3">
      <c r="B5" s="71"/>
      <c r="C5" s="68" t="s">
        <v>15</v>
      </c>
      <c r="D5" s="64"/>
      <c r="E5" s="69" t="s">
        <v>16</v>
      </c>
      <c r="F5" s="69" t="s">
        <v>17</v>
      </c>
    </row>
    <row r="6" spans="2:6" ht="18.75" customHeight="1" x14ac:dyDescent="0.3">
      <c r="B6" s="72"/>
      <c r="C6" s="73" t="s">
        <v>18</v>
      </c>
      <c r="D6" s="65"/>
      <c r="F6" s="157" t="s">
        <v>19</v>
      </c>
    </row>
    <row r="7" spans="2:6" ht="18.75" customHeight="1" x14ac:dyDescent="0.3">
      <c r="B7" s="68"/>
      <c r="C7" s="68" t="s">
        <v>20</v>
      </c>
      <c r="D7" s="64"/>
    </row>
    <row r="8" spans="2:6" ht="18.75" customHeight="1" x14ac:dyDescent="0.3">
      <c r="B8" s="233"/>
      <c r="C8" s="64" t="s">
        <v>2110</v>
      </c>
      <c r="D8" s="64"/>
      <c r="E8" s="74" t="s">
        <v>5</v>
      </c>
    </row>
    <row r="9" spans="2:6" ht="18.75" customHeight="1" x14ac:dyDescent="0.3">
      <c r="B9" s="253"/>
      <c r="C9" s="64" t="s">
        <v>2275</v>
      </c>
      <c r="D9" s="64"/>
      <c r="E9" s="69" t="s">
        <v>21</v>
      </c>
      <c r="F9" s="69" t="s">
        <v>11</v>
      </c>
    </row>
    <row r="10" spans="2:6" ht="18.75" customHeight="1" x14ac:dyDescent="0.3">
      <c r="B10" s="304"/>
      <c r="C10" s="64" t="s">
        <v>2469</v>
      </c>
      <c r="D10" s="64"/>
      <c r="E10" s="69" t="s">
        <v>22</v>
      </c>
      <c r="F10" s="69" t="s">
        <v>14</v>
      </c>
    </row>
    <row r="11" spans="2:6" ht="18.75" customHeight="1" x14ac:dyDescent="0.3">
      <c r="C11" s="64"/>
      <c r="D11" s="64"/>
      <c r="E11" s="69" t="s">
        <v>23</v>
      </c>
      <c r="F11" s="69" t="s">
        <v>17</v>
      </c>
    </row>
    <row r="12" spans="2:6" ht="18.75" customHeight="1" x14ac:dyDescent="0.3">
      <c r="C12" s="64"/>
      <c r="D12" s="65"/>
      <c r="F12" s="157" t="s">
        <v>19</v>
      </c>
    </row>
    <row r="13" spans="2:6" ht="18.75" customHeight="1" x14ac:dyDescent="0.3">
      <c r="B13" s="65"/>
      <c r="C13" s="64"/>
      <c r="D13" s="64"/>
    </row>
    <row r="14" spans="2:6" ht="18.75" customHeight="1" x14ac:dyDescent="0.3">
      <c r="C14" s="64"/>
      <c r="D14" s="64"/>
    </row>
    <row r="15" spans="2:6" ht="18.75" customHeight="1" x14ac:dyDescent="0.3">
      <c r="C15" s="64"/>
      <c r="D15" s="64"/>
    </row>
    <row r="16" spans="2:6" ht="18.75" customHeight="1" x14ac:dyDescent="0.3">
      <c r="C16" s="64"/>
      <c r="D16" s="64"/>
    </row>
    <row r="17" spans="3:4" ht="18.75" customHeight="1" x14ac:dyDescent="0.3">
      <c r="C17" s="64"/>
      <c r="D17" s="64"/>
    </row>
    <row r="18" spans="3:4" ht="18.75" customHeight="1" x14ac:dyDescent="0.3">
      <c r="C18" s="64"/>
      <c r="D18" s="65"/>
    </row>
    <row r="19" spans="3:4" ht="18.75" customHeight="1" x14ac:dyDescent="0.3">
      <c r="C19" s="64"/>
      <c r="D19" s="64"/>
    </row>
    <row r="20" spans="3:4" ht="18.75" customHeight="1" x14ac:dyDescent="0.3">
      <c r="C20" s="64"/>
      <c r="D20" s="64"/>
    </row>
    <row r="21" spans="3:4" ht="18.75" customHeight="1" x14ac:dyDescent="0.3">
      <c r="C21" s="65"/>
      <c r="D21" s="6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outlinePr summaryBelow="0"/>
  </sheetPr>
  <dimension ref="A1:V27"/>
  <sheetViews>
    <sheetView zoomScale="70" zoomScaleNormal="70" workbookViewId="0">
      <pane ySplit="1" topLeftCell="A15" activePane="bottomLeft" state="frozen"/>
      <selection activeCell="E3" sqref="E3"/>
      <selection pane="bottomLeft" activeCell="J13" sqref="J13"/>
    </sheetView>
  </sheetViews>
  <sheetFormatPr defaultRowHeight="14.4" x14ac:dyDescent="0.3"/>
  <cols>
    <col min="1" max="1" width="9.44140625" style="27" customWidth="1"/>
    <col min="2" max="2" width="13.6640625" style="26" bestFit="1" customWidth="1"/>
    <col min="3" max="3" width="9.109375" style="26" bestFit="1" customWidth="1"/>
    <col min="4" max="4" width="26.109375" style="77" bestFit="1" customWidth="1"/>
    <col min="5" max="5" width="58.109375" style="84" bestFit="1" customWidth="1"/>
    <col min="6" max="6" width="35.109375" style="26" bestFit="1" customWidth="1"/>
    <col min="7" max="7" width="66" style="80" bestFit="1" customWidth="1"/>
    <col min="8" max="8" width="15.33203125" style="24" bestFit="1" customWidth="1"/>
    <col min="9" max="9" width="20.5546875" style="24" customWidth="1"/>
    <col min="10" max="10" width="24" style="80" bestFit="1" customWidth="1"/>
    <col min="11" max="11" width="11.44140625" style="26" bestFit="1" customWidth="1"/>
    <col min="12" max="12" width="15.88671875" style="26" bestFit="1" customWidth="1"/>
    <col min="13" max="13" width="18.5546875" style="26" bestFit="1" customWidth="1"/>
    <col min="14" max="14" width="14" style="26" bestFit="1" customWidth="1"/>
    <col min="15" max="15" width="11.44140625" style="28" bestFit="1" customWidth="1"/>
    <col min="16" max="16" width="11.44140625" style="26" bestFit="1" customWidth="1"/>
    <col min="17" max="17" width="15.44140625" style="58" bestFit="1" customWidth="1"/>
    <col min="18" max="18" width="18" style="26" bestFit="1" customWidth="1"/>
    <col min="19" max="22" width="13.5546875" bestFit="1" customWidth="1"/>
  </cols>
  <sheetData>
    <row r="1" spans="1:22" ht="28.8" x14ac:dyDescent="0.3">
      <c r="A1" s="1" t="s">
        <v>24</v>
      </c>
      <c r="B1" s="2" t="s">
        <v>25</v>
      </c>
      <c r="C1" s="2" t="s">
        <v>26</v>
      </c>
      <c r="D1" s="75" t="s">
        <v>27</v>
      </c>
      <c r="E1" s="78" t="s">
        <v>28</v>
      </c>
      <c r="F1" s="2" t="s">
        <v>29</v>
      </c>
      <c r="G1" s="78" t="s">
        <v>30</v>
      </c>
      <c r="H1" s="3" t="s">
        <v>31</v>
      </c>
      <c r="I1" s="194" t="s">
        <v>1947</v>
      </c>
      <c r="J1" s="88" t="s">
        <v>32</v>
      </c>
      <c r="K1" s="5" t="s">
        <v>33</v>
      </c>
      <c r="L1" s="5" t="s">
        <v>34</v>
      </c>
      <c r="M1" s="5" t="s">
        <v>35</v>
      </c>
      <c r="N1" s="5" t="s">
        <v>36</v>
      </c>
      <c r="O1" s="5" t="s">
        <v>37</v>
      </c>
      <c r="P1" s="5" t="s">
        <v>38</v>
      </c>
      <c r="Q1" s="59" t="s">
        <v>39</v>
      </c>
      <c r="R1" s="6" t="s">
        <v>40</v>
      </c>
      <c r="S1" s="11" t="s">
        <v>41</v>
      </c>
      <c r="T1" s="11" t="s">
        <v>42</v>
      </c>
      <c r="U1" s="11" t="s">
        <v>43</v>
      </c>
      <c r="V1" s="11" t="s">
        <v>44</v>
      </c>
    </row>
    <row r="2" spans="1:22" ht="129.6" x14ac:dyDescent="0.3">
      <c r="A2" s="127">
        <v>1</v>
      </c>
      <c r="B2" s="79" t="s">
        <v>45</v>
      </c>
      <c r="C2" s="79" t="s">
        <v>45</v>
      </c>
      <c r="D2" s="76" t="s">
        <v>46</v>
      </c>
      <c r="E2" s="79" t="s">
        <v>47</v>
      </c>
      <c r="F2" s="79" t="s">
        <v>48</v>
      </c>
      <c r="G2" s="79" t="s">
        <v>49</v>
      </c>
      <c r="H2" s="110">
        <v>200</v>
      </c>
      <c r="I2" s="110"/>
      <c r="J2" s="102" t="s">
        <v>50</v>
      </c>
      <c r="K2" s="102" t="s">
        <v>51</v>
      </c>
      <c r="L2" s="102" t="s">
        <v>52</v>
      </c>
      <c r="M2" s="102" t="s">
        <v>53</v>
      </c>
      <c r="N2" s="195" t="s">
        <v>1952</v>
      </c>
      <c r="O2" s="102" t="s">
        <v>54</v>
      </c>
      <c r="P2" s="102" t="s">
        <v>51</v>
      </c>
      <c r="Q2" s="128">
        <v>200061777902</v>
      </c>
      <c r="R2" s="102" t="s">
        <v>55</v>
      </c>
    </row>
    <row r="3" spans="1:22" ht="115.2" x14ac:dyDescent="0.3">
      <c r="A3" s="127">
        <v>2</v>
      </c>
      <c r="B3" s="79" t="s">
        <v>45</v>
      </c>
      <c r="C3" s="79" t="s">
        <v>45</v>
      </c>
      <c r="D3" s="76" t="s">
        <v>56</v>
      </c>
      <c r="E3" s="79" t="s">
        <v>57</v>
      </c>
      <c r="F3" s="79" t="s">
        <v>58</v>
      </c>
      <c r="G3" s="79" t="s">
        <v>1946</v>
      </c>
      <c r="H3" s="110">
        <v>400</v>
      </c>
      <c r="I3" s="110" t="s">
        <v>1950</v>
      </c>
      <c r="J3" s="102" t="s">
        <v>50</v>
      </c>
      <c r="K3" s="102" t="s">
        <v>51</v>
      </c>
      <c r="L3" s="102" t="s">
        <v>52</v>
      </c>
      <c r="M3" s="102" t="s">
        <v>53</v>
      </c>
      <c r="N3" s="195" t="s">
        <v>1952</v>
      </c>
      <c r="O3" s="102" t="s">
        <v>60</v>
      </c>
      <c r="P3" s="102" t="s">
        <v>51</v>
      </c>
      <c r="Q3" s="128">
        <v>200061777902</v>
      </c>
      <c r="R3" s="129" t="s">
        <v>1963</v>
      </c>
    </row>
    <row r="4" spans="1:22" ht="72" x14ac:dyDescent="0.3">
      <c r="A4" s="127">
        <v>3</v>
      </c>
      <c r="B4" s="79" t="s">
        <v>45</v>
      </c>
      <c r="C4" s="79" t="s">
        <v>45</v>
      </c>
      <c r="D4" s="76" t="s">
        <v>61</v>
      </c>
      <c r="E4" s="79" t="s">
        <v>62</v>
      </c>
      <c r="F4" s="79" t="s">
        <v>58</v>
      </c>
      <c r="G4" s="79" t="s">
        <v>59</v>
      </c>
      <c r="H4" s="110">
        <v>400</v>
      </c>
      <c r="I4" s="110" t="s">
        <v>1949</v>
      </c>
      <c r="J4" s="102" t="s">
        <v>50</v>
      </c>
      <c r="K4" s="102" t="s">
        <v>51</v>
      </c>
      <c r="L4" s="102" t="s">
        <v>52</v>
      </c>
      <c r="M4" s="102" t="s">
        <v>53</v>
      </c>
      <c r="N4" s="195" t="s">
        <v>1952</v>
      </c>
      <c r="O4" s="102" t="s">
        <v>60</v>
      </c>
      <c r="P4" s="102" t="s">
        <v>51</v>
      </c>
      <c r="Q4" s="130" t="s">
        <v>1977</v>
      </c>
      <c r="R4" s="102" t="s">
        <v>55</v>
      </c>
    </row>
    <row r="5" spans="1:22" ht="115.2" x14ac:dyDescent="0.3">
      <c r="A5" s="127">
        <v>4</v>
      </c>
      <c r="B5" s="79" t="s">
        <v>45</v>
      </c>
      <c r="C5" s="79" t="s">
        <v>45</v>
      </c>
      <c r="D5" s="76" t="s">
        <v>63</v>
      </c>
      <c r="E5" s="79" t="s">
        <v>64</v>
      </c>
      <c r="F5" s="79" t="s">
        <v>65</v>
      </c>
      <c r="G5" s="79" t="s">
        <v>66</v>
      </c>
      <c r="H5" s="110">
        <v>200</v>
      </c>
      <c r="I5" s="110"/>
      <c r="J5" s="102" t="s">
        <v>50</v>
      </c>
      <c r="K5" s="102" t="s">
        <v>51</v>
      </c>
      <c r="L5" s="102" t="s">
        <v>52</v>
      </c>
      <c r="M5" s="102" t="s">
        <v>53</v>
      </c>
      <c r="N5" s="195" t="s">
        <v>1952</v>
      </c>
      <c r="O5" s="102" t="s">
        <v>54</v>
      </c>
      <c r="P5" s="102" t="s">
        <v>51</v>
      </c>
      <c r="Q5" s="128">
        <v>200061777902</v>
      </c>
      <c r="R5" s="102" t="s">
        <v>55</v>
      </c>
    </row>
    <row r="6" spans="1:22" ht="57.6" x14ac:dyDescent="0.3">
      <c r="A6" s="127">
        <v>5</v>
      </c>
      <c r="B6" s="79" t="s">
        <v>45</v>
      </c>
      <c r="C6" s="79" t="s">
        <v>45</v>
      </c>
      <c r="D6" s="76" t="s">
        <v>67</v>
      </c>
      <c r="E6" s="79" t="s">
        <v>68</v>
      </c>
      <c r="F6" s="79" t="s">
        <v>69</v>
      </c>
      <c r="G6" s="79" t="s">
        <v>70</v>
      </c>
      <c r="H6" s="127">
        <v>200</v>
      </c>
      <c r="I6" s="127"/>
      <c r="J6" s="102" t="s">
        <v>50</v>
      </c>
      <c r="K6" s="102" t="s">
        <v>51</v>
      </c>
      <c r="L6" s="102" t="s">
        <v>52</v>
      </c>
      <c r="M6" s="102" t="s">
        <v>53</v>
      </c>
      <c r="N6" s="195" t="s">
        <v>1952</v>
      </c>
      <c r="O6" s="102" t="s">
        <v>54</v>
      </c>
      <c r="P6" s="102" t="s">
        <v>51</v>
      </c>
      <c r="Q6" s="128">
        <v>200061777902</v>
      </c>
      <c r="R6" s="102" t="s">
        <v>55</v>
      </c>
    </row>
    <row r="7" spans="1:22" ht="57.6" x14ac:dyDescent="0.3">
      <c r="A7" s="127">
        <v>6</v>
      </c>
      <c r="B7" s="79" t="s">
        <v>45</v>
      </c>
      <c r="C7" s="79" t="s">
        <v>45</v>
      </c>
      <c r="D7" s="76" t="s">
        <v>71</v>
      </c>
      <c r="E7" s="79" t="s">
        <v>72</v>
      </c>
      <c r="F7" s="79" t="s">
        <v>73</v>
      </c>
      <c r="G7" s="79" t="s">
        <v>74</v>
      </c>
      <c r="H7" s="131">
        <v>401</v>
      </c>
      <c r="I7" s="131" t="s">
        <v>1948</v>
      </c>
      <c r="J7" s="102" t="s">
        <v>50</v>
      </c>
      <c r="K7" s="102" t="s">
        <v>51</v>
      </c>
      <c r="L7" s="129" t="s">
        <v>75</v>
      </c>
      <c r="M7" s="102" t="s">
        <v>53</v>
      </c>
      <c r="N7" s="195" t="s">
        <v>1952</v>
      </c>
      <c r="O7" s="102" t="s">
        <v>60</v>
      </c>
      <c r="P7" s="102" t="s">
        <v>51</v>
      </c>
      <c r="Q7" s="128">
        <v>200061777902</v>
      </c>
      <c r="R7" s="102" t="s">
        <v>55</v>
      </c>
    </row>
    <row r="8" spans="1:22" ht="57.6" x14ac:dyDescent="0.3">
      <c r="A8" s="127">
        <v>7</v>
      </c>
      <c r="B8" s="79" t="s">
        <v>45</v>
      </c>
      <c r="C8" s="79" t="s">
        <v>45</v>
      </c>
      <c r="D8" s="76" t="s">
        <v>76</v>
      </c>
      <c r="E8" s="79" t="s">
        <v>77</v>
      </c>
      <c r="F8" s="79" t="s">
        <v>73</v>
      </c>
      <c r="G8" s="79" t="s">
        <v>74</v>
      </c>
      <c r="H8" s="131">
        <v>401</v>
      </c>
      <c r="I8" s="131" t="s">
        <v>1948</v>
      </c>
      <c r="J8" s="102" t="s">
        <v>50</v>
      </c>
      <c r="K8" s="102" t="s">
        <v>51</v>
      </c>
      <c r="L8" s="102" t="s">
        <v>52</v>
      </c>
      <c r="M8" s="129" t="s">
        <v>78</v>
      </c>
      <c r="N8" s="195" t="s">
        <v>1952</v>
      </c>
      <c r="O8" s="102" t="s">
        <v>60</v>
      </c>
      <c r="P8" s="102" t="s">
        <v>51</v>
      </c>
      <c r="Q8" s="128">
        <v>200061777902</v>
      </c>
      <c r="R8" s="102" t="s">
        <v>55</v>
      </c>
    </row>
    <row r="9" spans="1:22" ht="57.6" x14ac:dyDescent="0.3">
      <c r="A9" s="127">
        <v>8</v>
      </c>
      <c r="B9" s="79" t="s">
        <v>45</v>
      </c>
      <c r="C9" s="79" t="s">
        <v>45</v>
      </c>
      <c r="D9" s="76" t="s">
        <v>79</v>
      </c>
      <c r="E9" s="79" t="s">
        <v>80</v>
      </c>
      <c r="F9" s="79" t="s">
        <v>73</v>
      </c>
      <c r="G9" s="79" t="s">
        <v>74</v>
      </c>
      <c r="H9" s="131">
        <v>401</v>
      </c>
      <c r="I9" s="131" t="s">
        <v>1948</v>
      </c>
      <c r="J9" s="102" t="s">
        <v>50</v>
      </c>
      <c r="K9" s="102" t="s">
        <v>51</v>
      </c>
      <c r="L9" s="129" t="s">
        <v>1977</v>
      </c>
      <c r="M9" s="102" t="s">
        <v>53</v>
      </c>
      <c r="N9" s="195" t="s">
        <v>1952</v>
      </c>
      <c r="O9" s="102" t="s">
        <v>60</v>
      </c>
      <c r="P9" s="102" t="s">
        <v>51</v>
      </c>
      <c r="Q9" s="128">
        <v>200061777902</v>
      </c>
      <c r="R9" s="102" t="s">
        <v>55</v>
      </c>
    </row>
    <row r="10" spans="1:22" ht="57.6" x14ac:dyDescent="0.3">
      <c r="A10" s="127">
        <v>9</v>
      </c>
      <c r="B10" s="79" t="s">
        <v>45</v>
      </c>
      <c r="C10" s="79" t="s">
        <v>45</v>
      </c>
      <c r="D10" s="76" t="s">
        <v>81</v>
      </c>
      <c r="E10" s="79" t="s">
        <v>82</v>
      </c>
      <c r="F10" s="79" t="s">
        <v>73</v>
      </c>
      <c r="G10" s="79" t="s">
        <v>74</v>
      </c>
      <c r="H10" s="131">
        <v>401</v>
      </c>
      <c r="I10" s="131" t="s">
        <v>1948</v>
      </c>
      <c r="J10" s="102" t="s">
        <v>50</v>
      </c>
      <c r="K10" s="102" t="s">
        <v>51</v>
      </c>
      <c r="L10" s="102" t="s">
        <v>52</v>
      </c>
      <c r="M10" s="129" t="s">
        <v>1963</v>
      </c>
      <c r="N10" s="195" t="s">
        <v>1952</v>
      </c>
      <c r="O10" s="102" t="s">
        <v>60</v>
      </c>
      <c r="P10" s="102" t="s">
        <v>51</v>
      </c>
      <c r="Q10" s="128">
        <v>200061777902</v>
      </c>
      <c r="R10" s="102" t="s">
        <v>55</v>
      </c>
    </row>
    <row r="11" spans="1:22" ht="57.6" x14ac:dyDescent="0.3">
      <c r="A11" s="127">
        <v>10</v>
      </c>
      <c r="B11" s="79" t="s">
        <v>45</v>
      </c>
      <c r="C11" s="79" t="s">
        <v>45</v>
      </c>
      <c r="D11" s="76" t="s">
        <v>83</v>
      </c>
      <c r="E11" s="79" t="s">
        <v>84</v>
      </c>
      <c r="F11" s="79" t="s">
        <v>85</v>
      </c>
      <c r="G11" s="79" t="s">
        <v>86</v>
      </c>
      <c r="H11" s="127">
        <v>200</v>
      </c>
      <c r="I11" s="127"/>
      <c r="J11" s="102" t="s">
        <v>50</v>
      </c>
      <c r="K11" s="102" t="s">
        <v>51</v>
      </c>
      <c r="L11" s="102" t="s">
        <v>52</v>
      </c>
      <c r="M11" s="102" t="s">
        <v>53</v>
      </c>
      <c r="N11" s="195" t="s">
        <v>1952</v>
      </c>
      <c r="O11" s="102" t="s">
        <v>54</v>
      </c>
      <c r="P11" s="102" t="s">
        <v>51</v>
      </c>
      <c r="Q11" s="128">
        <v>200061777902</v>
      </c>
      <c r="R11" s="102" t="s">
        <v>55</v>
      </c>
    </row>
    <row r="12" spans="1:22" ht="86.4" x14ac:dyDescent="0.3">
      <c r="A12" s="127">
        <v>11</v>
      </c>
      <c r="B12" s="79" t="s">
        <v>45</v>
      </c>
      <c r="C12" s="79" t="s">
        <v>45</v>
      </c>
      <c r="D12" s="76" t="s">
        <v>87</v>
      </c>
      <c r="E12" s="79" t="s">
        <v>88</v>
      </c>
      <c r="F12" s="79" t="s">
        <v>89</v>
      </c>
      <c r="G12" s="79" t="s">
        <v>90</v>
      </c>
      <c r="H12" s="127">
        <v>400</v>
      </c>
      <c r="I12" s="131" t="s">
        <v>1949</v>
      </c>
      <c r="J12" s="102" t="s">
        <v>50</v>
      </c>
      <c r="K12" s="102" t="s">
        <v>51</v>
      </c>
      <c r="L12" s="102" t="s">
        <v>52</v>
      </c>
      <c r="M12" s="102" t="s">
        <v>53</v>
      </c>
      <c r="N12" s="195" t="s">
        <v>1952</v>
      </c>
      <c r="O12" s="102" t="s">
        <v>60</v>
      </c>
      <c r="P12" s="102" t="s">
        <v>51</v>
      </c>
      <c r="Q12" s="130">
        <v>200061977902</v>
      </c>
      <c r="R12" s="102" t="s">
        <v>55</v>
      </c>
    </row>
    <row r="13" spans="1:22" ht="86.4" x14ac:dyDescent="0.3">
      <c r="A13" s="127">
        <v>12</v>
      </c>
      <c r="B13" s="79" t="s">
        <v>45</v>
      </c>
      <c r="C13" s="79" t="s">
        <v>45</v>
      </c>
      <c r="D13" s="76" t="s">
        <v>91</v>
      </c>
      <c r="E13" s="79" t="s">
        <v>92</v>
      </c>
      <c r="F13" s="79" t="s">
        <v>89</v>
      </c>
      <c r="G13" s="79" t="s">
        <v>90</v>
      </c>
      <c r="H13" s="127">
        <v>400</v>
      </c>
      <c r="I13" s="131" t="s">
        <v>1949</v>
      </c>
      <c r="J13" s="102" t="s">
        <v>50</v>
      </c>
      <c r="K13" s="102" t="s">
        <v>51</v>
      </c>
      <c r="L13" s="102" t="s">
        <v>52</v>
      </c>
      <c r="M13" s="102" t="s">
        <v>53</v>
      </c>
      <c r="N13" s="195" t="s">
        <v>1952</v>
      </c>
      <c r="O13" s="102" t="s">
        <v>54</v>
      </c>
      <c r="P13" s="102" t="s">
        <v>51</v>
      </c>
      <c r="Q13" s="130" t="s">
        <v>1963</v>
      </c>
      <c r="R13" s="102" t="s">
        <v>55</v>
      </c>
    </row>
    <row r="14" spans="1:22" ht="86.4" x14ac:dyDescent="0.3">
      <c r="A14" s="127">
        <v>13</v>
      </c>
      <c r="B14" s="79" t="s">
        <v>45</v>
      </c>
      <c r="C14" s="79" t="s">
        <v>45</v>
      </c>
      <c r="D14" s="76" t="s">
        <v>93</v>
      </c>
      <c r="E14" s="79" t="s">
        <v>94</v>
      </c>
      <c r="F14" s="79" t="s">
        <v>95</v>
      </c>
      <c r="G14" s="79" t="s">
        <v>96</v>
      </c>
      <c r="H14" s="127">
        <v>400</v>
      </c>
      <c r="I14" s="131" t="s">
        <v>1949</v>
      </c>
      <c r="J14" s="102" t="s">
        <v>50</v>
      </c>
      <c r="K14" s="102" t="s">
        <v>51</v>
      </c>
      <c r="L14" s="102" t="s">
        <v>52</v>
      </c>
      <c r="M14" s="102" t="s">
        <v>53</v>
      </c>
      <c r="N14" s="195" t="s">
        <v>1952</v>
      </c>
      <c r="O14" s="102" t="s">
        <v>60</v>
      </c>
      <c r="P14" s="102" t="s">
        <v>51</v>
      </c>
      <c r="Q14" s="130">
        <v>200098777902</v>
      </c>
      <c r="R14" s="102" t="s">
        <v>55</v>
      </c>
    </row>
    <row r="15" spans="1:22" ht="86.4" x14ac:dyDescent="0.3">
      <c r="A15" s="127">
        <v>14</v>
      </c>
      <c r="B15" s="79" t="s">
        <v>45</v>
      </c>
      <c r="C15" s="79" t="s">
        <v>45</v>
      </c>
      <c r="D15" s="76" t="s">
        <v>97</v>
      </c>
      <c r="E15" s="79" t="s">
        <v>98</v>
      </c>
      <c r="F15" s="79" t="s">
        <v>99</v>
      </c>
      <c r="G15" s="79" t="s">
        <v>90</v>
      </c>
      <c r="H15" s="127">
        <v>400</v>
      </c>
      <c r="I15" s="131" t="s">
        <v>1949</v>
      </c>
      <c r="J15" s="102" t="s">
        <v>50</v>
      </c>
      <c r="K15" s="102" t="s">
        <v>51</v>
      </c>
      <c r="L15" s="102" t="s">
        <v>52</v>
      </c>
      <c r="M15" s="102" t="s">
        <v>53</v>
      </c>
      <c r="N15" s="195" t="s">
        <v>1952</v>
      </c>
      <c r="O15" s="102" t="s">
        <v>60</v>
      </c>
      <c r="P15" s="102" t="s">
        <v>51</v>
      </c>
      <c r="Q15" s="130">
        <v>200081579910</v>
      </c>
      <c r="R15" s="102" t="s">
        <v>55</v>
      </c>
    </row>
    <row r="16" spans="1:22" ht="86.4" x14ac:dyDescent="0.3">
      <c r="A16" s="127">
        <v>15</v>
      </c>
      <c r="B16" s="79" t="s">
        <v>45</v>
      </c>
      <c r="C16" s="79" t="s">
        <v>45</v>
      </c>
      <c r="D16" s="76" t="s">
        <v>100</v>
      </c>
      <c r="E16" s="79" t="s">
        <v>101</v>
      </c>
      <c r="F16" s="79" t="s">
        <v>102</v>
      </c>
      <c r="G16" s="79" t="s">
        <v>90</v>
      </c>
      <c r="H16" s="127">
        <v>400</v>
      </c>
      <c r="I16" s="131" t="s">
        <v>1949</v>
      </c>
      <c r="J16" s="102" t="s">
        <v>50</v>
      </c>
      <c r="K16" s="102" t="s">
        <v>51</v>
      </c>
      <c r="L16" s="102" t="s">
        <v>52</v>
      </c>
      <c r="M16" s="102" t="s">
        <v>53</v>
      </c>
      <c r="N16" s="195" t="s">
        <v>1952</v>
      </c>
      <c r="O16" s="102" t="s">
        <v>60</v>
      </c>
      <c r="P16" s="102" t="s">
        <v>51</v>
      </c>
      <c r="Q16" s="130" t="s">
        <v>103</v>
      </c>
      <c r="R16" s="102" t="s">
        <v>55</v>
      </c>
    </row>
    <row r="17" spans="1:22" ht="72" x14ac:dyDescent="0.3">
      <c r="A17" s="127">
        <v>16</v>
      </c>
      <c r="B17" s="79" t="s">
        <v>45</v>
      </c>
      <c r="C17" s="79" t="s">
        <v>45</v>
      </c>
      <c r="D17" s="76" t="s">
        <v>104</v>
      </c>
      <c r="E17" s="79" t="s">
        <v>105</v>
      </c>
      <c r="F17" s="79" t="s">
        <v>106</v>
      </c>
      <c r="G17" s="79" t="s">
        <v>107</v>
      </c>
      <c r="H17" s="127">
        <v>200</v>
      </c>
      <c r="I17" s="131"/>
      <c r="J17" s="102" t="s">
        <v>50</v>
      </c>
      <c r="K17" s="102" t="s">
        <v>51</v>
      </c>
      <c r="L17" s="102" t="s">
        <v>52</v>
      </c>
      <c r="M17" s="102" t="s">
        <v>53</v>
      </c>
      <c r="N17" s="195" t="s">
        <v>1952</v>
      </c>
      <c r="O17" s="102" t="s">
        <v>60</v>
      </c>
      <c r="P17" s="102" t="s">
        <v>51</v>
      </c>
      <c r="Q17" s="128">
        <v>200061777902</v>
      </c>
      <c r="R17" s="102" t="s">
        <v>55</v>
      </c>
    </row>
    <row r="18" spans="1:22" ht="72" x14ac:dyDescent="0.3">
      <c r="A18" s="127">
        <v>17</v>
      </c>
      <c r="B18" s="79" t="s">
        <v>45</v>
      </c>
      <c r="C18" s="79" t="s">
        <v>45</v>
      </c>
      <c r="D18" s="76" t="s">
        <v>108</v>
      </c>
      <c r="E18" s="79" t="s">
        <v>109</v>
      </c>
      <c r="F18" s="79" t="s">
        <v>110</v>
      </c>
      <c r="G18" s="79" t="s">
        <v>111</v>
      </c>
      <c r="H18" s="127">
        <v>400</v>
      </c>
      <c r="I18" s="131" t="s">
        <v>1950</v>
      </c>
      <c r="J18" s="102" t="s">
        <v>50</v>
      </c>
      <c r="K18" s="102" t="s">
        <v>51</v>
      </c>
      <c r="L18" s="102" t="s">
        <v>52</v>
      </c>
      <c r="M18" s="102" t="s">
        <v>53</v>
      </c>
      <c r="N18" s="195" t="s">
        <v>1952</v>
      </c>
      <c r="O18" s="102" t="s">
        <v>60</v>
      </c>
      <c r="P18" s="102" t="s">
        <v>51</v>
      </c>
      <c r="Q18" s="128">
        <v>200061777902</v>
      </c>
      <c r="R18" s="129" t="s">
        <v>112</v>
      </c>
    </row>
    <row r="19" spans="1:22" ht="72" x14ac:dyDescent="0.3">
      <c r="A19" s="127">
        <v>18</v>
      </c>
      <c r="B19" s="103" t="s">
        <v>113</v>
      </c>
      <c r="C19" s="103" t="s">
        <v>113</v>
      </c>
      <c r="D19" s="111" t="s">
        <v>114</v>
      </c>
      <c r="E19" s="103" t="s">
        <v>115</v>
      </c>
      <c r="F19" s="103" t="s">
        <v>116</v>
      </c>
      <c r="G19" s="103" t="s">
        <v>117</v>
      </c>
      <c r="H19" s="132">
        <v>200</v>
      </c>
      <c r="I19" s="132"/>
      <c r="J19" s="103" t="s">
        <v>50</v>
      </c>
      <c r="K19" s="103" t="s">
        <v>51</v>
      </c>
      <c r="L19" s="103" t="s">
        <v>52</v>
      </c>
      <c r="M19" s="103" t="s">
        <v>53</v>
      </c>
      <c r="N19" s="103">
        <v>1042346954</v>
      </c>
      <c r="O19" s="103" t="s">
        <v>60</v>
      </c>
      <c r="P19" s="103" t="s">
        <v>51</v>
      </c>
      <c r="Q19" s="132">
        <v>200061777902</v>
      </c>
      <c r="R19" s="103" t="s">
        <v>55</v>
      </c>
      <c r="S19" s="63"/>
      <c r="T19" s="63"/>
      <c r="U19" s="63"/>
      <c r="V19" s="63"/>
    </row>
    <row r="20" spans="1:22" ht="72" x14ac:dyDescent="0.3">
      <c r="A20" s="127">
        <v>19</v>
      </c>
      <c r="B20" s="103" t="s">
        <v>113</v>
      </c>
      <c r="C20" s="103" t="s">
        <v>113</v>
      </c>
      <c r="D20" s="111" t="s">
        <v>118</v>
      </c>
      <c r="E20" s="103" t="s">
        <v>119</v>
      </c>
      <c r="F20" s="103" t="s">
        <v>120</v>
      </c>
      <c r="G20" s="103" t="s">
        <v>121</v>
      </c>
      <c r="H20" s="132">
        <v>401</v>
      </c>
      <c r="I20" s="132"/>
      <c r="J20" s="103" t="s">
        <v>50</v>
      </c>
      <c r="K20" s="103" t="s">
        <v>51</v>
      </c>
      <c r="L20" s="103" t="s">
        <v>52</v>
      </c>
      <c r="M20" s="103" t="s">
        <v>53</v>
      </c>
      <c r="N20" s="103">
        <v>1042346954</v>
      </c>
      <c r="O20" s="103" t="s">
        <v>60</v>
      </c>
      <c r="P20" s="103" t="s">
        <v>51</v>
      </c>
      <c r="Q20" s="132">
        <v>200061777902</v>
      </c>
      <c r="R20" s="103" t="s">
        <v>55</v>
      </c>
      <c r="S20" s="63"/>
      <c r="T20" s="63"/>
      <c r="U20" s="63"/>
      <c r="V20" s="63"/>
    </row>
    <row r="21" spans="1:22" ht="72" x14ac:dyDescent="0.3">
      <c r="A21" s="127">
        <v>20</v>
      </c>
      <c r="B21" s="103" t="s">
        <v>113</v>
      </c>
      <c r="C21" s="103" t="s">
        <v>113</v>
      </c>
      <c r="D21" s="111" t="s">
        <v>122</v>
      </c>
      <c r="E21" s="103" t="s">
        <v>123</v>
      </c>
      <c r="F21" s="103" t="s">
        <v>124</v>
      </c>
      <c r="G21" s="103" t="s">
        <v>125</v>
      </c>
      <c r="H21" s="132">
        <v>401</v>
      </c>
      <c r="I21" s="132"/>
      <c r="J21" s="103" t="s">
        <v>50</v>
      </c>
      <c r="K21" s="103" t="s">
        <v>51</v>
      </c>
      <c r="L21" s="103" t="s">
        <v>52</v>
      </c>
      <c r="M21" s="103" t="s">
        <v>53</v>
      </c>
      <c r="N21" s="103">
        <v>1042346954</v>
      </c>
      <c r="O21" s="103" t="s">
        <v>60</v>
      </c>
      <c r="P21" s="103" t="s">
        <v>51</v>
      </c>
      <c r="Q21" s="132">
        <v>200061777902</v>
      </c>
      <c r="R21" s="103" t="s">
        <v>55</v>
      </c>
      <c r="S21" s="63"/>
      <c r="T21" s="63"/>
      <c r="U21" s="63"/>
      <c r="V21" s="63"/>
    </row>
    <row r="22" spans="1:22" ht="72" x14ac:dyDescent="0.3">
      <c r="A22" s="127">
        <v>21</v>
      </c>
      <c r="B22" s="103" t="s">
        <v>113</v>
      </c>
      <c r="C22" s="103" t="s">
        <v>113</v>
      </c>
      <c r="D22" s="111" t="s">
        <v>126</v>
      </c>
      <c r="E22" s="103" t="s">
        <v>127</v>
      </c>
      <c r="F22" s="103" t="s">
        <v>128</v>
      </c>
      <c r="G22" s="103" t="s">
        <v>125</v>
      </c>
      <c r="H22" s="132">
        <v>401</v>
      </c>
      <c r="I22" s="132"/>
      <c r="J22" s="103" t="s">
        <v>50</v>
      </c>
      <c r="K22" s="103" t="s">
        <v>51</v>
      </c>
      <c r="L22" s="103" t="s">
        <v>52</v>
      </c>
      <c r="M22" s="103" t="s">
        <v>53</v>
      </c>
      <c r="N22" s="103">
        <v>1042346954</v>
      </c>
      <c r="O22" s="103" t="s">
        <v>60</v>
      </c>
      <c r="P22" s="103" t="s">
        <v>51</v>
      </c>
      <c r="Q22" s="132">
        <v>200061777902</v>
      </c>
      <c r="R22" s="103" t="s">
        <v>55</v>
      </c>
      <c r="S22" s="63"/>
      <c r="T22" s="63"/>
      <c r="U22" s="63"/>
      <c r="V22" s="63"/>
    </row>
    <row r="23" spans="1:22" ht="72" x14ac:dyDescent="0.3">
      <c r="A23" s="127">
        <v>22</v>
      </c>
      <c r="B23" s="103" t="s">
        <v>113</v>
      </c>
      <c r="C23" s="103" t="s">
        <v>113</v>
      </c>
      <c r="D23" s="111" t="s">
        <v>129</v>
      </c>
      <c r="E23" s="103" t="s">
        <v>130</v>
      </c>
      <c r="F23" s="103" t="s">
        <v>131</v>
      </c>
      <c r="G23" s="103" t="s">
        <v>125</v>
      </c>
      <c r="H23" s="132">
        <v>401</v>
      </c>
      <c r="I23" s="132"/>
      <c r="J23" s="103" t="s">
        <v>50</v>
      </c>
      <c r="K23" s="103" t="s">
        <v>51</v>
      </c>
      <c r="L23" s="103" t="s">
        <v>52</v>
      </c>
      <c r="M23" s="103" t="s">
        <v>53</v>
      </c>
      <c r="N23" s="103">
        <v>1042346954</v>
      </c>
      <c r="O23" s="103" t="s">
        <v>60</v>
      </c>
      <c r="P23" s="103" t="s">
        <v>51</v>
      </c>
      <c r="Q23" s="132">
        <v>200061777902</v>
      </c>
      <c r="R23" s="103" t="s">
        <v>55</v>
      </c>
      <c r="S23" s="63"/>
      <c r="T23" s="63"/>
      <c r="U23" s="63"/>
      <c r="V23" s="63"/>
    </row>
    <row r="24" spans="1:22" ht="86.4" x14ac:dyDescent="0.3">
      <c r="A24" s="127">
        <v>23</v>
      </c>
      <c r="B24" s="103" t="s">
        <v>113</v>
      </c>
      <c r="C24" s="103" t="s">
        <v>113</v>
      </c>
      <c r="D24" s="111" t="s">
        <v>132</v>
      </c>
      <c r="E24" s="103" t="s">
        <v>133</v>
      </c>
      <c r="F24" s="103" t="s">
        <v>134</v>
      </c>
      <c r="G24" s="103" t="s">
        <v>135</v>
      </c>
      <c r="H24" s="132">
        <v>401</v>
      </c>
      <c r="I24" s="132"/>
      <c r="J24" s="103" t="s">
        <v>50</v>
      </c>
      <c r="K24" s="103" t="s">
        <v>51</v>
      </c>
      <c r="L24" s="103" t="s">
        <v>136</v>
      </c>
      <c r="M24" s="103" t="s">
        <v>137</v>
      </c>
      <c r="N24" s="103">
        <v>1042346954</v>
      </c>
      <c r="O24" s="103" t="s">
        <v>60</v>
      </c>
      <c r="P24" s="103" t="s">
        <v>51</v>
      </c>
      <c r="Q24" s="132">
        <v>200061777902</v>
      </c>
      <c r="R24" s="103" t="s">
        <v>55</v>
      </c>
      <c r="S24" s="63"/>
      <c r="T24" s="63"/>
      <c r="U24" s="63"/>
      <c r="V24" s="63"/>
    </row>
    <row r="25" spans="1:22" ht="86.4" x14ac:dyDescent="0.3">
      <c r="A25" s="127">
        <v>24</v>
      </c>
      <c r="B25" s="103" t="s">
        <v>113</v>
      </c>
      <c r="C25" s="103" t="s">
        <v>113</v>
      </c>
      <c r="D25" s="111" t="s">
        <v>138</v>
      </c>
      <c r="E25" s="103" t="s">
        <v>139</v>
      </c>
      <c r="F25" s="103" t="s">
        <v>140</v>
      </c>
      <c r="G25" s="103" t="s">
        <v>141</v>
      </c>
      <c r="H25" s="132">
        <v>401</v>
      </c>
      <c r="I25" s="132"/>
      <c r="J25" s="103" t="s">
        <v>50</v>
      </c>
      <c r="K25" s="103" t="s">
        <v>51</v>
      </c>
      <c r="L25" s="103" t="s">
        <v>52</v>
      </c>
      <c r="M25" s="103" t="s">
        <v>53</v>
      </c>
      <c r="N25" s="103">
        <v>1042346954</v>
      </c>
      <c r="O25" s="103" t="s">
        <v>60</v>
      </c>
      <c r="P25" s="103" t="s">
        <v>51</v>
      </c>
      <c r="Q25" s="132">
        <v>200061777902</v>
      </c>
      <c r="R25" s="103" t="s">
        <v>55</v>
      </c>
      <c r="S25" s="63"/>
      <c r="T25" s="63"/>
      <c r="U25" s="63"/>
      <c r="V25" s="63"/>
    </row>
    <row r="26" spans="1:22" ht="57.6" x14ac:dyDescent="0.3">
      <c r="A26" s="127">
        <v>25</v>
      </c>
      <c r="B26" s="103" t="s">
        <v>113</v>
      </c>
      <c r="C26" s="103" t="s">
        <v>113</v>
      </c>
      <c r="D26" s="111" t="s">
        <v>142</v>
      </c>
      <c r="E26" s="103" t="s">
        <v>143</v>
      </c>
      <c r="F26" s="103" t="s">
        <v>144</v>
      </c>
      <c r="G26" s="103" t="s">
        <v>145</v>
      </c>
      <c r="H26" s="132">
        <v>403</v>
      </c>
      <c r="I26" s="132"/>
      <c r="J26" s="103" t="s">
        <v>50</v>
      </c>
      <c r="K26" s="103" t="s">
        <v>51</v>
      </c>
      <c r="L26" s="103" t="s">
        <v>52</v>
      </c>
      <c r="M26" s="103" t="s">
        <v>53</v>
      </c>
      <c r="N26" s="103">
        <v>1042346954</v>
      </c>
      <c r="O26" s="103" t="s">
        <v>60</v>
      </c>
      <c r="P26" s="103" t="s">
        <v>51</v>
      </c>
      <c r="Q26" s="132">
        <v>200061777902</v>
      </c>
      <c r="R26" s="103" t="s">
        <v>55</v>
      </c>
    </row>
    <row r="27" spans="1:22" ht="57.6" x14ac:dyDescent="0.3">
      <c r="A27" s="127">
        <v>26</v>
      </c>
      <c r="B27" s="103" t="s">
        <v>113</v>
      </c>
      <c r="C27" s="103" t="s">
        <v>113</v>
      </c>
      <c r="D27" s="111" t="s">
        <v>146</v>
      </c>
      <c r="E27" s="103" t="s">
        <v>147</v>
      </c>
      <c r="F27" s="103" t="s">
        <v>148</v>
      </c>
      <c r="G27" s="103" t="s">
        <v>149</v>
      </c>
      <c r="H27" s="133">
        <v>200</v>
      </c>
      <c r="I27" s="133"/>
      <c r="J27" s="103" t="s">
        <v>50</v>
      </c>
      <c r="K27" s="103" t="s">
        <v>51</v>
      </c>
      <c r="L27" s="103" t="s">
        <v>52</v>
      </c>
      <c r="M27" s="103" t="s">
        <v>53</v>
      </c>
      <c r="N27" s="103">
        <v>1042346954</v>
      </c>
      <c r="O27" s="103" t="s">
        <v>60</v>
      </c>
      <c r="P27" s="103" t="s">
        <v>51</v>
      </c>
      <c r="Q27" s="132">
        <v>200061777902</v>
      </c>
      <c r="R27" s="103" t="s">
        <v>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outlinePr summaryBelow="0"/>
  </sheetPr>
  <dimension ref="A1:R27"/>
  <sheetViews>
    <sheetView topLeftCell="D1" zoomScale="70" zoomScaleNormal="70" workbookViewId="0">
      <pane ySplit="1" topLeftCell="A10" activePane="bottomLeft" state="frozen"/>
      <selection activeCell="Q5" sqref="Q5"/>
      <selection pane="bottomLeft" activeCell="J18" sqref="J18"/>
    </sheetView>
  </sheetViews>
  <sheetFormatPr defaultRowHeight="14.4" x14ac:dyDescent="0.3"/>
  <cols>
    <col min="1" max="1" width="3.109375" style="24" bestFit="1" customWidth="1"/>
    <col min="2" max="3" width="9.109375" style="26" bestFit="1" customWidth="1"/>
    <col min="4" max="4" width="40.5546875" style="77" customWidth="1"/>
    <col min="5" max="5" width="58.109375" style="84" bestFit="1" customWidth="1"/>
    <col min="6" max="6" width="35.109375" style="26" bestFit="1" customWidth="1"/>
    <col min="7" max="7" width="54.5546875" style="84" bestFit="1" customWidth="1"/>
    <col min="8" max="8" width="15.33203125" style="156" bestFit="1" customWidth="1"/>
    <col min="9" max="9" width="20.5546875" style="47" customWidth="1"/>
    <col min="10" max="10" width="36.5546875" style="80" bestFit="1" customWidth="1"/>
    <col min="11" max="11" width="11.44140625" style="28" bestFit="1" customWidth="1"/>
    <col min="12" max="12" width="14" style="47" bestFit="1" customWidth="1"/>
    <col min="13" max="13" width="11.44140625" style="28" bestFit="1" customWidth="1"/>
    <col min="14" max="14" width="32.88671875" style="26" customWidth="1"/>
    <col min="15" max="18" width="8.88671875" bestFit="1" customWidth="1"/>
  </cols>
  <sheetData>
    <row r="1" spans="1:18" ht="43.2" x14ac:dyDescent="0.3">
      <c r="A1" s="1" t="s">
        <v>24</v>
      </c>
      <c r="B1" s="2" t="s">
        <v>25</v>
      </c>
      <c r="C1" s="2" t="s">
        <v>26</v>
      </c>
      <c r="D1" s="75" t="s">
        <v>27</v>
      </c>
      <c r="E1" s="78" t="s">
        <v>28</v>
      </c>
      <c r="F1" s="2" t="s">
        <v>29</v>
      </c>
      <c r="G1" s="78" t="s">
        <v>30</v>
      </c>
      <c r="H1" s="2" t="s">
        <v>31</v>
      </c>
      <c r="I1" s="194" t="s">
        <v>1947</v>
      </c>
      <c r="J1" s="88" t="s">
        <v>32</v>
      </c>
      <c r="K1" s="33" t="s">
        <v>150</v>
      </c>
      <c r="L1" s="50" t="s">
        <v>36</v>
      </c>
      <c r="M1" s="5" t="s">
        <v>37</v>
      </c>
      <c r="N1" s="5" t="s">
        <v>151</v>
      </c>
      <c r="O1" s="11" t="s">
        <v>41</v>
      </c>
      <c r="P1" s="11" t="s">
        <v>42</v>
      </c>
      <c r="Q1" s="11" t="s">
        <v>43</v>
      </c>
      <c r="R1" s="11" t="s">
        <v>44</v>
      </c>
    </row>
    <row r="2" spans="1:18" ht="409.6" x14ac:dyDescent="0.3">
      <c r="A2" s="127">
        <v>1</v>
      </c>
      <c r="B2" s="79" t="str">
        <f>C2</f>
        <v>Y</v>
      </c>
      <c r="C2" s="79" t="s">
        <v>45</v>
      </c>
      <c r="D2" s="76" t="s">
        <v>152</v>
      </c>
      <c r="E2" s="79" t="s">
        <v>153</v>
      </c>
      <c r="F2" s="79" t="s">
        <v>154</v>
      </c>
      <c r="G2" s="79" t="s">
        <v>155</v>
      </c>
      <c r="H2" s="164">
        <v>200</v>
      </c>
      <c r="I2" s="110"/>
      <c r="J2" s="164" t="s">
        <v>156</v>
      </c>
      <c r="K2" s="164"/>
      <c r="L2" s="165" t="s">
        <v>1951</v>
      </c>
      <c r="M2" s="164" t="s">
        <v>60</v>
      </c>
      <c r="N2" s="164" t="s">
        <v>51</v>
      </c>
      <c r="O2" s="79"/>
      <c r="P2" s="77"/>
      <c r="Q2" s="77"/>
      <c r="R2" s="77"/>
    </row>
    <row r="3" spans="1:18" ht="409.6" x14ac:dyDescent="0.3">
      <c r="A3" s="127">
        <v>2</v>
      </c>
      <c r="B3" s="79" t="str">
        <f t="shared" ref="B3:B19" si="0">C3</f>
        <v>Y</v>
      </c>
      <c r="C3" s="79" t="s">
        <v>45</v>
      </c>
      <c r="D3" s="76" t="s">
        <v>158</v>
      </c>
      <c r="E3" s="79" t="s">
        <v>159</v>
      </c>
      <c r="F3" s="79" t="s">
        <v>160</v>
      </c>
      <c r="G3" s="79" t="s">
        <v>161</v>
      </c>
      <c r="H3" s="164">
        <v>200</v>
      </c>
      <c r="I3" s="110"/>
      <c r="J3" s="164" t="s">
        <v>156</v>
      </c>
      <c r="K3" s="164"/>
      <c r="L3" s="165" t="s">
        <v>1951</v>
      </c>
      <c r="M3" s="164" t="s">
        <v>60</v>
      </c>
      <c r="N3" s="164" t="s">
        <v>51</v>
      </c>
      <c r="O3" s="77"/>
      <c r="P3" s="77"/>
      <c r="Q3" s="77"/>
      <c r="R3" s="77"/>
    </row>
    <row r="4" spans="1:18" ht="409.6" x14ac:dyDescent="0.3">
      <c r="A4" s="127">
        <v>3</v>
      </c>
      <c r="B4" s="79" t="str">
        <f t="shared" si="0"/>
        <v>Y</v>
      </c>
      <c r="C4" s="79" t="s">
        <v>45</v>
      </c>
      <c r="D4" s="76" t="s">
        <v>162</v>
      </c>
      <c r="E4" s="79" t="s">
        <v>163</v>
      </c>
      <c r="F4" s="79" t="s">
        <v>164</v>
      </c>
      <c r="G4" s="79" t="s">
        <v>165</v>
      </c>
      <c r="H4" s="164">
        <v>200</v>
      </c>
      <c r="I4" s="110"/>
      <c r="J4" s="164" t="str">
        <f>"/send-funds/localft/v1/list/institutions?channel="&amp;K4</f>
        <v>/send-funds/localft/v1/list/institutions?channel=Instapay</v>
      </c>
      <c r="K4" s="164" t="s">
        <v>166</v>
      </c>
      <c r="L4" s="165" t="s">
        <v>1951</v>
      </c>
      <c r="M4" s="164" t="s">
        <v>60</v>
      </c>
      <c r="N4" s="164" t="s">
        <v>51</v>
      </c>
      <c r="O4" s="77"/>
      <c r="P4" s="77"/>
      <c r="Q4" s="77"/>
      <c r="R4" s="77"/>
    </row>
    <row r="5" spans="1:18" ht="302.39999999999998" x14ac:dyDescent="0.3">
      <c r="A5" s="127">
        <v>4</v>
      </c>
      <c r="B5" s="79" t="str">
        <f t="shared" si="0"/>
        <v>Y</v>
      </c>
      <c r="C5" s="79" t="s">
        <v>45</v>
      </c>
      <c r="D5" s="76" t="s">
        <v>167</v>
      </c>
      <c r="E5" s="79" t="s">
        <v>168</v>
      </c>
      <c r="F5" s="79" t="s">
        <v>169</v>
      </c>
      <c r="G5" s="79" t="s">
        <v>170</v>
      </c>
      <c r="H5" s="164">
        <v>200</v>
      </c>
      <c r="I5" s="110"/>
      <c r="J5" s="164" t="str">
        <f>"/send-funds/localft/v1/list/institutions?channel="&amp;K5</f>
        <v>/send-funds/localft/v1/list/institutions?channel=PESONET</v>
      </c>
      <c r="K5" s="164" t="s">
        <v>171</v>
      </c>
      <c r="L5" s="165" t="s">
        <v>1951</v>
      </c>
      <c r="M5" s="164" t="s">
        <v>60</v>
      </c>
      <c r="N5" s="164" t="s">
        <v>51</v>
      </c>
      <c r="O5" s="77"/>
      <c r="P5" s="77"/>
      <c r="Q5" s="77"/>
      <c r="R5" s="77"/>
    </row>
    <row r="6" spans="1:18" ht="302.39999999999998" x14ac:dyDescent="0.3">
      <c r="A6" s="127">
        <v>5</v>
      </c>
      <c r="B6" s="79" t="str">
        <f t="shared" si="0"/>
        <v>Y</v>
      </c>
      <c r="C6" s="79" t="s">
        <v>45</v>
      </c>
      <c r="D6" s="76" t="s">
        <v>172</v>
      </c>
      <c r="E6" s="79" t="s">
        <v>173</v>
      </c>
      <c r="F6" s="79" t="s">
        <v>174</v>
      </c>
      <c r="G6" s="79" t="s">
        <v>175</v>
      </c>
      <c r="H6" s="164">
        <v>200</v>
      </c>
      <c r="I6" s="127"/>
      <c r="J6" s="164" t="s">
        <v>156</v>
      </c>
      <c r="K6" s="164"/>
      <c r="L6" s="165" t="s">
        <v>1951</v>
      </c>
      <c r="M6" s="164" t="s">
        <v>60</v>
      </c>
      <c r="N6" s="164" t="s">
        <v>51</v>
      </c>
      <c r="O6" s="77"/>
      <c r="P6" s="77"/>
      <c r="Q6" s="77"/>
      <c r="R6" s="77"/>
    </row>
    <row r="7" spans="1:18" ht="57.6" x14ac:dyDescent="0.3">
      <c r="A7" s="127">
        <v>6</v>
      </c>
      <c r="B7" s="79" t="str">
        <f t="shared" si="0"/>
        <v>Y</v>
      </c>
      <c r="C7" s="79" t="s">
        <v>45</v>
      </c>
      <c r="D7" s="76" t="s">
        <v>176</v>
      </c>
      <c r="E7" s="79" t="s">
        <v>177</v>
      </c>
      <c r="F7" s="79" t="s">
        <v>178</v>
      </c>
      <c r="G7" s="79" t="s">
        <v>179</v>
      </c>
      <c r="H7" s="164">
        <v>400</v>
      </c>
      <c r="I7" s="131" t="s">
        <v>1953</v>
      </c>
      <c r="J7" s="164" t="str">
        <f>"/send-funds/localft/v1/list/institutions?channel="&amp;K7</f>
        <v>/send-funds/localft/v1/list/institutions?channel=Test</v>
      </c>
      <c r="K7" s="158" t="s">
        <v>5</v>
      </c>
      <c r="L7" s="165" t="s">
        <v>1951</v>
      </c>
      <c r="M7" s="164" t="s">
        <v>60</v>
      </c>
      <c r="N7" s="164" t="s">
        <v>51</v>
      </c>
      <c r="O7" s="77"/>
      <c r="P7" s="77"/>
      <c r="Q7" s="77"/>
      <c r="R7" s="77"/>
    </row>
    <row r="8" spans="1:18" ht="43.2" x14ac:dyDescent="0.3">
      <c r="A8" s="127">
        <v>7</v>
      </c>
      <c r="B8" s="79" t="str">
        <f t="shared" si="0"/>
        <v>Y</v>
      </c>
      <c r="C8" s="79" t="s">
        <v>45</v>
      </c>
      <c r="D8" s="76" t="s">
        <v>180</v>
      </c>
      <c r="E8" s="79" t="s">
        <v>181</v>
      </c>
      <c r="F8" s="79" t="s">
        <v>182</v>
      </c>
      <c r="G8" s="79" t="s">
        <v>189</v>
      </c>
      <c r="H8" s="164">
        <v>401</v>
      </c>
      <c r="I8" s="131" t="s">
        <v>1956</v>
      </c>
      <c r="J8" s="164" t="s">
        <v>156</v>
      </c>
      <c r="K8" s="164"/>
      <c r="L8" s="165" t="s">
        <v>1951</v>
      </c>
      <c r="M8" s="159" t="s">
        <v>1977</v>
      </c>
      <c r="N8" s="164" t="s">
        <v>51</v>
      </c>
      <c r="O8" s="77"/>
      <c r="P8" s="77"/>
      <c r="Q8" s="77"/>
      <c r="R8" s="77"/>
    </row>
    <row r="9" spans="1:18" ht="72" x14ac:dyDescent="0.3">
      <c r="A9" s="127">
        <v>8</v>
      </c>
      <c r="B9" s="79" t="str">
        <f t="shared" si="0"/>
        <v>Y</v>
      </c>
      <c r="C9" s="79" t="s">
        <v>45</v>
      </c>
      <c r="D9" s="76" t="s">
        <v>183</v>
      </c>
      <c r="E9" s="79" t="s">
        <v>184</v>
      </c>
      <c r="F9" s="79" t="s">
        <v>185</v>
      </c>
      <c r="G9" s="79" t="s">
        <v>189</v>
      </c>
      <c r="H9" s="164">
        <v>401</v>
      </c>
      <c r="I9" s="131" t="s">
        <v>1957</v>
      </c>
      <c r="J9" s="164" t="s">
        <v>156</v>
      </c>
      <c r="K9" s="164"/>
      <c r="L9" s="159" t="s">
        <v>1963</v>
      </c>
      <c r="M9" s="164" t="s">
        <v>60</v>
      </c>
      <c r="N9" s="164" t="s">
        <v>51</v>
      </c>
      <c r="O9" s="77"/>
      <c r="P9" s="77"/>
      <c r="Q9" s="77"/>
      <c r="R9" s="77"/>
    </row>
    <row r="10" spans="1:18" ht="43.2" x14ac:dyDescent="0.3">
      <c r="A10" s="127">
        <v>9</v>
      </c>
      <c r="B10" s="79" t="str">
        <f t="shared" si="0"/>
        <v>Y</v>
      </c>
      <c r="C10" s="79" t="s">
        <v>45</v>
      </c>
      <c r="D10" s="76" t="s">
        <v>186</v>
      </c>
      <c r="E10" s="79" t="s">
        <v>187</v>
      </c>
      <c r="F10" s="79" t="s">
        <v>188</v>
      </c>
      <c r="G10" s="79" t="s">
        <v>189</v>
      </c>
      <c r="H10" s="164">
        <v>401</v>
      </c>
      <c r="I10" s="131" t="s">
        <v>1956</v>
      </c>
      <c r="J10" s="164" t="s">
        <v>156</v>
      </c>
      <c r="K10" s="164"/>
      <c r="L10" s="165" t="s">
        <v>1951</v>
      </c>
      <c r="M10" s="158" t="s">
        <v>190</v>
      </c>
      <c r="N10" s="164" t="s">
        <v>51</v>
      </c>
      <c r="O10" s="77"/>
      <c r="P10" s="77"/>
      <c r="Q10" s="77"/>
      <c r="R10" s="77"/>
    </row>
    <row r="11" spans="1:18" ht="72" x14ac:dyDescent="0.3">
      <c r="A11" s="127">
        <v>10</v>
      </c>
      <c r="B11" s="79" t="str">
        <f t="shared" si="0"/>
        <v>Y</v>
      </c>
      <c r="C11" s="79" t="s">
        <v>45</v>
      </c>
      <c r="D11" s="76" t="s">
        <v>191</v>
      </c>
      <c r="E11" s="79" t="s">
        <v>192</v>
      </c>
      <c r="F11" s="79" t="s">
        <v>193</v>
      </c>
      <c r="G11" s="79" t="s">
        <v>189</v>
      </c>
      <c r="H11" s="164">
        <v>401</v>
      </c>
      <c r="I11" s="131" t="s">
        <v>1957</v>
      </c>
      <c r="J11" s="164" t="s">
        <v>156</v>
      </c>
      <c r="K11" s="164"/>
      <c r="L11" s="159" t="s">
        <v>194</v>
      </c>
      <c r="M11" s="164" t="s">
        <v>60</v>
      </c>
      <c r="N11" s="164" t="s">
        <v>51</v>
      </c>
      <c r="O11" s="77"/>
      <c r="P11" s="77"/>
      <c r="Q11" s="77"/>
      <c r="R11" s="77"/>
    </row>
    <row r="12" spans="1:18" ht="57.6" x14ac:dyDescent="0.3">
      <c r="A12" s="127">
        <v>12</v>
      </c>
      <c r="B12" s="79" t="str">
        <f t="shared" si="0"/>
        <v>Y</v>
      </c>
      <c r="C12" s="79" t="s">
        <v>45</v>
      </c>
      <c r="D12" s="76" t="s">
        <v>195</v>
      </c>
      <c r="E12" s="79" t="s">
        <v>196</v>
      </c>
      <c r="F12" s="79" t="s">
        <v>154</v>
      </c>
      <c r="G12" s="79" t="s">
        <v>197</v>
      </c>
      <c r="H12" s="166">
        <v>200</v>
      </c>
      <c r="I12" s="131"/>
      <c r="J12" s="164" t="s">
        <v>156</v>
      </c>
      <c r="K12" s="164"/>
      <c r="L12" s="165" t="s">
        <v>1951</v>
      </c>
      <c r="M12" s="164" t="s">
        <v>60</v>
      </c>
      <c r="N12" s="164" t="s">
        <v>51</v>
      </c>
      <c r="O12" s="77"/>
      <c r="P12" s="77"/>
      <c r="Q12" s="77"/>
      <c r="R12" s="77"/>
    </row>
    <row r="13" spans="1:18" ht="57.6" x14ac:dyDescent="0.3">
      <c r="A13" s="127">
        <v>13</v>
      </c>
      <c r="B13" s="79" t="str">
        <f t="shared" si="0"/>
        <v>Y</v>
      </c>
      <c r="C13" s="79" t="s">
        <v>45</v>
      </c>
      <c r="D13" s="76" t="s">
        <v>198</v>
      </c>
      <c r="E13" s="79" t="s">
        <v>199</v>
      </c>
      <c r="F13" s="79" t="s">
        <v>200</v>
      </c>
      <c r="G13" s="79" t="s">
        <v>201</v>
      </c>
      <c r="H13" s="166">
        <v>200</v>
      </c>
      <c r="I13" s="131"/>
      <c r="J13" s="164" t="s">
        <v>156</v>
      </c>
      <c r="K13" s="164"/>
      <c r="L13" s="165" t="s">
        <v>1951</v>
      </c>
      <c r="M13" s="164" t="s">
        <v>60</v>
      </c>
      <c r="N13" s="164" t="s">
        <v>51</v>
      </c>
      <c r="O13" s="77"/>
      <c r="P13" s="77"/>
      <c r="Q13" s="77"/>
      <c r="R13" s="77"/>
    </row>
    <row r="14" spans="1:18" ht="57.6" x14ac:dyDescent="0.3">
      <c r="A14" s="127">
        <v>14</v>
      </c>
      <c r="B14" s="79" t="str">
        <f t="shared" si="0"/>
        <v>Y</v>
      </c>
      <c r="C14" s="79" t="s">
        <v>45</v>
      </c>
      <c r="D14" s="76" t="s">
        <v>202</v>
      </c>
      <c r="E14" s="79" t="s">
        <v>203</v>
      </c>
      <c r="F14" s="79" t="s">
        <v>178</v>
      </c>
      <c r="G14" s="79" t="s">
        <v>204</v>
      </c>
      <c r="H14" s="164">
        <v>400</v>
      </c>
      <c r="I14" s="131" t="s">
        <v>1953</v>
      </c>
      <c r="J14" s="164" t="str">
        <f>"/send-funds/localft/v1/list/institutions?channel="&amp;K14</f>
        <v>/send-funds/localft/v1/list/institutions?channel=Test</v>
      </c>
      <c r="K14" s="158" t="s">
        <v>5</v>
      </c>
      <c r="L14" s="165" t="s">
        <v>1951</v>
      </c>
      <c r="M14" s="164" t="s">
        <v>60</v>
      </c>
      <c r="N14" s="164" t="s">
        <v>51</v>
      </c>
      <c r="O14" s="77"/>
      <c r="P14" s="77"/>
      <c r="Q14" s="77"/>
      <c r="R14" s="77"/>
    </row>
    <row r="15" spans="1:18" ht="57.6" x14ac:dyDescent="0.3">
      <c r="A15" s="127">
        <v>15</v>
      </c>
      <c r="B15" s="79" t="str">
        <f t="shared" si="0"/>
        <v>Y</v>
      </c>
      <c r="C15" s="79" t="s">
        <v>45</v>
      </c>
      <c r="D15" s="76" t="s">
        <v>205</v>
      </c>
      <c r="E15" s="79" t="s">
        <v>206</v>
      </c>
      <c r="F15" s="79" t="s">
        <v>182</v>
      </c>
      <c r="G15" s="79" t="s">
        <v>207</v>
      </c>
      <c r="H15" s="164">
        <v>401</v>
      </c>
      <c r="I15" s="131" t="s">
        <v>1956</v>
      </c>
      <c r="J15" s="164" t="s">
        <v>156</v>
      </c>
      <c r="K15" s="164"/>
      <c r="L15" s="165" t="s">
        <v>1951</v>
      </c>
      <c r="M15" s="158" t="s">
        <v>1963</v>
      </c>
      <c r="N15" s="164" t="s">
        <v>51</v>
      </c>
      <c r="O15" s="77"/>
      <c r="P15" s="77"/>
      <c r="Q15" s="77"/>
      <c r="R15" s="77"/>
    </row>
    <row r="16" spans="1:18" ht="72" x14ac:dyDescent="0.3">
      <c r="A16" s="127">
        <v>16</v>
      </c>
      <c r="B16" s="79" t="str">
        <f t="shared" si="0"/>
        <v>Y</v>
      </c>
      <c r="C16" s="79" t="s">
        <v>45</v>
      </c>
      <c r="D16" s="76" t="s">
        <v>208</v>
      </c>
      <c r="E16" s="79" t="s">
        <v>209</v>
      </c>
      <c r="F16" s="79" t="s">
        <v>185</v>
      </c>
      <c r="G16" s="79" t="s">
        <v>207</v>
      </c>
      <c r="H16" s="164">
        <v>401</v>
      </c>
      <c r="I16" s="131" t="s">
        <v>1957</v>
      </c>
      <c r="J16" s="164" t="s">
        <v>156</v>
      </c>
      <c r="K16" s="164"/>
      <c r="L16" s="159" t="s">
        <v>1963</v>
      </c>
      <c r="M16" s="164" t="s">
        <v>60</v>
      </c>
      <c r="N16" s="164" t="s">
        <v>51</v>
      </c>
      <c r="O16" s="77"/>
      <c r="P16" s="77"/>
      <c r="Q16" s="77"/>
      <c r="R16" s="77"/>
    </row>
    <row r="17" spans="1:18" ht="57.6" x14ac:dyDescent="0.3">
      <c r="A17" s="127">
        <v>17</v>
      </c>
      <c r="B17" s="79" t="str">
        <f t="shared" si="0"/>
        <v>Y</v>
      </c>
      <c r="C17" s="79" t="s">
        <v>45</v>
      </c>
      <c r="D17" s="76" t="s">
        <v>210</v>
      </c>
      <c r="E17" s="79" t="s">
        <v>211</v>
      </c>
      <c r="F17" s="79" t="s">
        <v>188</v>
      </c>
      <c r="G17" s="79" t="s">
        <v>207</v>
      </c>
      <c r="H17" s="164">
        <v>401</v>
      </c>
      <c r="I17" s="131" t="s">
        <v>1956</v>
      </c>
      <c r="J17" s="164" t="s">
        <v>156</v>
      </c>
      <c r="K17" s="164"/>
      <c r="L17" s="165" t="s">
        <v>1951</v>
      </c>
      <c r="M17" s="158" t="s">
        <v>190</v>
      </c>
      <c r="N17" s="164" t="s">
        <v>51</v>
      </c>
      <c r="O17" s="77"/>
      <c r="P17" s="77"/>
      <c r="Q17" s="77"/>
      <c r="R17" s="77"/>
    </row>
    <row r="18" spans="1:18" ht="72" x14ac:dyDescent="0.3">
      <c r="A18" s="127">
        <v>18</v>
      </c>
      <c r="B18" s="79" t="str">
        <f t="shared" si="0"/>
        <v>Y</v>
      </c>
      <c r="C18" s="79" t="s">
        <v>45</v>
      </c>
      <c r="D18" s="76" t="s">
        <v>212</v>
      </c>
      <c r="E18" s="79" t="s">
        <v>213</v>
      </c>
      <c r="F18" s="79" t="s">
        <v>193</v>
      </c>
      <c r="G18" s="79" t="s">
        <v>207</v>
      </c>
      <c r="H18" s="164">
        <v>401</v>
      </c>
      <c r="I18" s="131" t="s">
        <v>1957</v>
      </c>
      <c r="J18" s="164" t="s">
        <v>156</v>
      </c>
      <c r="K18" s="164"/>
      <c r="L18" s="159" t="s">
        <v>194</v>
      </c>
      <c r="M18" s="164" t="s">
        <v>60</v>
      </c>
      <c r="N18" s="164" t="s">
        <v>51</v>
      </c>
      <c r="O18" s="77"/>
      <c r="P18" s="77"/>
      <c r="Q18" s="77"/>
      <c r="R18" s="77"/>
    </row>
    <row r="19" spans="1:18" ht="57.6" x14ac:dyDescent="0.3">
      <c r="A19" s="160">
        <v>19</v>
      </c>
      <c r="B19" s="161" t="str">
        <f t="shared" si="0"/>
        <v>N</v>
      </c>
      <c r="C19" s="161" t="s">
        <v>113</v>
      </c>
      <c r="D19" s="162" t="s">
        <v>214</v>
      </c>
      <c r="E19" s="161" t="s">
        <v>215</v>
      </c>
      <c r="F19" s="161" t="s">
        <v>216</v>
      </c>
      <c r="G19" s="161" t="s">
        <v>217</v>
      </c>
      <c r="H19" s="161">
        <v>403</v>
      </c>
      <c r="I19" s="132"/>
      <c r="J19" s="161" t="s">
        <v>156</v>
      </c>
      <c r="K19" s="161"/>
      <c r="L19" s="163" t="s">
        <v>157</v>
      </c>
      <c r="M19" s="161" t="s">
        <v>60</v>
      </c>
      <c r="N19" s="161" t="s">
        <v>51</v>
      </c>
      <c r="O19" s="77"/>
      <c r="P19" s="77"/>
      <c r="Q19" s="77"/>
      <c r="R19" s="77"/>
    </row>
    <row r="20" spans="1:18" x14ac:dyDescent="0.3">
      <c r="A20" s="135"/>
      <c r="B20" s="80"/>
      <c r="C20" s="80"/>
      <c r="E20" s="80"/>
      <c r="F20" s="80"/>
      <c r="G20" s="80"/>
      <c r="H20" s="77"/>
      <c r="I20" s="132"/>
      <c r="K20" s="80"/>
      <c r="L20" s="155"/>
      <c r="M20" s="80"/>
      <c r="N20" s="80"/>
      <c r="O20" s="77"/>
      <c r="P20" s="77"/>
      <c r="Q20" s="77"/>
      <c r="R20" s="77"/>
    </row>
    <row r="21" spans="1:18" x14ac:dyDescent="0.3">
      <c r="I21" s="132"/>
    </row>
    <row r="22" spans="1:18" x14ac:dyDescent="0.3">
      <c r="A22" s="135"/>
      <c r="B22" s="80"/>
      <c r="C22" s="80"/>
      <c r="E22" s="80"/>
      <c r="F22" s="80"/>
      <c r="G22" s="80"/>
      <c r="H22" s="77"/>
      <c r="I22" s="132"/>
      <c r="K22" s="80"/>
      <c r="L22" s="155"/>
      <c r="M22" s="80"/>
      <c r="N22" s="80"/>
      <c r="O22" s="77"/>
      <c r="P22" s="77"/>
      <c r="Q22" s="77"/>
      <c r="R22" s="77"/>
    </row>
    <row r="23" spans="1:18" x14ac:dyDescent="0.3">
      <c r="A23" s="135"/>
      <c r="B23" s="80"/>
      <c r="C23" s="80"/>
      <c r="E23" s="80"/>
      <c r="F23" s="80"/>
      <c r="G23" s="80"/>
      <c r="H23" s="77"/>
      <c r="I23" s="132"/>
      <c r="K23" s="80"/>
      <c r="L23" s="155"/>
      <c r="M23" s="80"/>
      <c r="N23" s="80"/>
      <c r="O23" s="77"/>
      <c r="P23" s="77"/>
      <c r="Q23" s="77"/>
      <c r="R23" s="77"/>
    </row>
    <row r="24" spans="1:18" x14ac:dyDescent="0.3">
      <c r="A24" s="135"/>
      <c r="B24" s="80"/>
      <c r="C24" s="80"/>
      <c r="E24" s="80"/>
      <c r="F24" s="80"/>
      <c r="G24" s="80"/>
      <c r="H24" s="77"/>
      <c r="I24" s="132"/>
      <c r="K24" s="80"/>
      <c r="L24" s="155"/>
      <c r="M24" s="80"/>
      <c r="N24" s="80"/>
      <c r="O24" s="77"/>
      <c r="P24" s="77"/>
      <c r="Q24" s="77"/>
      <c r="R24" s="77"/>
    </row>
    <row r="25" spans="1:18" x14ac:dyDescent="0.3">
      <c r="A25" s="135"/>
      <c r="B25" s="80"/>
      <c r="C25" s="80"/>
      <c r="E25" s="80"/>
      <c r="F25" s="80"/>
      <c r="G25" s="80"/>
      <c r="H25" s="77"/>
      <c r="I25" s="132"/>
      <c r="K25" s="80"/>
      <c r="L25" s="155"/>
      <c r="M25" s="80"/>
      <c r="N25" s="80"/>
      <c r="O25" s="77"/>
      <c r="P25" s="77"/>
      <c r="Q25" s="77"/>
      <c r="R25" s="77"/>
    </row>
    <row r="26" spans="1:18" x14ac:dyDescent="0.3">
      <c r="I26" s="132"/>
    </row>
    <row r="27" spans="1:18" x14ac:dyDescent="0.3">
      <c r="I27" s="196"/>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outlinePr summaryBelow="0"/>
  </sheetPr>
  <dimension ref="A1:T61"/>
  <sheetViews>
    <sheetView zoomScale="70" zoomScaleNormal="70" workbookViewId="0">
      <pane ySplit="1" topLeftCell="A7" activePane="bottomLeft" state="frozen"/>
      <selection activeCell="Q5" sqref="Q5"/>
      <selection pane="bottomLeft" activeCell="I30" sqref="I30"/>
    </sheetView>
  </sheetViews>
  <sheetFormatPr defaultRowHeight="14.4" x14ac:dyDescent="0.3"/>
  <cols>
    <col min="1" max="1" width="8.33203125" style="27" customWidth="1"/>
    <col min="2" max="3" width="9.109375" style="28" bestFit="1" customWidth="1"/>
    <col min="4" max="4" width="27" style="77" customWidth="1"/>
    <col min="5" max="5" width="80.6640625" style="84" bestFit="1" customWidth="1"/>
    <col min="6" max="6" width="35.109375" style="28" bestFit="1" customWidth="1"/>
    <col min="7" max="7" width="54.5546875" style="96" bestFit="1" customWidth="1"/>
    <col min="8" max="8" width="15.33203125" style="135" bestFit="1" customWidth="1"/>
    <col min="9" max="9" width="20.5546875" style="47" customWidth="1"/>
    <col min="10" max="10" width="27.88671875" style="80" bestFit="1" customWidth="1"/>
    <col min="11" max="11" width="14" style="30" bestFit="1" customWidth="1"/>
    <col min="12" max="12" width="36.6640625" style="28" customWidth="1"/>
    <col min="13" max="13" width="21.6640625" style="28" customWidth="1"/>
    <col min="14" max="14" width="22.33203125" style="30" customWidth="1"/>
    <col min="15" max="15" width="36.44140625" style="28" customWidth="1"/>
    <col min="16" max="16" width="9.109375" style="28" bestFit="1" customWidth="1"/>
    <col min="17" max="20" width="8.88671875" bestFit="1" customWidth="1"/>
  </cols>
  <sheetData>
    <row r="1" spans="1:20" ht="43.2" x14ac:dyDescent="0.3">
      <c r="A1" s="1" t="s">
        <v>24</v>
      </c>
      <c r="B1" s="2" t="s">
        <v>25</v>
      </c>
      <c r="C1" s="2" t="s">
        <v>26</v>
      </c>
      <c r="D1" s="75" t="s">
        <v>27</v>
      </c>
      <c r="E1" s="78" t="s">
        <v>28</v>
      </c>
      <c r="F1" s="2" t="s">
        <v>29</v>
      </c>
      <c r="G1" s="78" t="s">
        <v>30</v>
      </c>
      <c r="H1" s="3" t="s">
        <v>31</v>
      </c>
      <c r="I1" s="3" t="s">
        <v>1947</v>
      </c>
      <c r="J1" s="88" t="s">
        <v>32</v>
      </c>
      <c r="K1" s="49" t="s">
        <v>218</v>
      </c>
      <c r="L1" s="33" t="s">
        <v>219</v>
      </c>
      <c r="M1" s="33" t="s">
        <v>220</v>
      </c>
      <c r="N1" s="50" t="s">
        <v>36</v>
      </c>
      <c r="O1" s="5" t="s">
        <v>37</v>
      </c>
      <c r="P1" s="5" t="s">
        <v>38</v>
      </c>
      <c r="Q1" s="11" t="s">
        <v>41</v>
      </c>
      <c r="R1" s="11" t="s">
        <v>42</v>
      </c>
      <c r="S1" s="11" t="s">
        <v>43</v>
      </c>
      <c r="T1" s="11" t="s">
        <v>44</v>
      </c>
    </row>
    <row r="2" spans="1:20" ht="57.6" x14ac:dyDescent="0.3">
      <c r="A2" s="127">
        <v>1</v>
      </c>
      <c r="B2" s="79" t="str">
        <f>C2</f>
        <v>Y</v>
      </c>
      <c r="C2" s="79" t="s">
        <v>45</v>
      </c>
      <c r="D2" s="76" t="s">
        <v>221</v>
      </c>
      <c r="E2" s="79" t="s">
        <v>222</v>
      </c>
      <c r="F2" s="79" t="s">
        <v>223</v>
      </c>
      <c r="G2" s="80" t="s">
        <v>224</v>
      </c>
      <c r="H2" s="167">
        <v>400</v>
      </c>
      <c r="I2" s="110" t="s">
        <v>1958</v>
      </c>
      <c r="J2" s="167" t="s">
        <v>225</v>
      </c>
      <c r="K2" s="168"/>
      <c r="L2" s="159" t="s">
        <v>226</v>
      </c>
      <c r="M2" s="164" t="s">
        <v>1963</v>
      </c>
      <c r="N2" s="169" t="s">
        <v>1952</v>
      </c>
      <c r="O2" s="164" t="s">
        <v>60</v>
      </c>
      <c r="P2" s="164" t="s">
        <v>51</v>
      </c>
      <c r="Q2" s="77"/>
      <c r="R2" s="77"/>
    </row>
    <row r="3" spans="1:20" ht="57.6" x14ac:dyDescent="0.3">
      <c r="A3" s="127">
        <v>2</v>
      </c>
      <c r="B3" s="79" t="str">
        <f t="shared" ref="B3:B20" si="0">C3</f>
        <v>Y</v>
      </c>
      <c r="C3" s="79" t="s">
        <v>45</v>
      </c>
      <c r="D3" s="76" t="s">
        <v>227</v>
      </c>
      <c r="E3" s="79" t="s">
        <v>228</v>
      </c>
      <c r="F3" s="79" t="s">
        <v>229</v>
      </c>
      <c r="G3" s="80" t="s">
        <v>224</v>
      </c>
      <c r="H3" s="167">
        <v>400</v>
      </c>
      <c r="I3" s="110" t="s">
        <v>1958</v>
      </c>
      <c r="J3" s="167" t="s">
        <v>225</v>
      </c>
      <c r="K3" s="169"/>
      <c r="L3" s="159" t="s">
        <v>230</v>
      </c>
      <c r="M3" s="164" t="s">
        <v>1963</v>
      </c>
      <c r="N3" s="169" t="s">
        <v>1952</v>
      </c>
      <c r="O3" s="164" t="s">
        <v>60</v>
      </c>
      <c r="P3" s="164" t="s">
        <v>51</v>
      </c>
      <c r="Q3" s="77"/>
      <c r="R3" s="77"/>
    </row>
    <row r="4" spans="1:20" ht="86.4" x14ac:dyDescent="0.3">
      <c r="A4" s="127">
        <v>3</v>
      </c>
      <c r="B4" s="79" t="str">
        <f t="shared" si="0"/>
        <v>Y</v>
      </c>
      <c r="C4" s="79" t="s">
        <v>45</v>
      </c>
      <c r="D4" s="76" t="s">
        <v>231</v>
      </c>
      <c r="E4" s="79" t="s">
        <v>232</v>
      </c>
      <c r="F4" s="79" t="s">
        <v>233</v>
      </c>
      <c r="G4" s="80" t="s">
        <v>234</v>
      </c>
      <c r="H4" s="167">
        <v>400</v>
      </c>
      <c r="I4" s="110" t="s">
        <v>1958</v>
      </c>
      <c r="J4" s="167" t="s">
        <v>225</v>
      </c>
      <c r="K4" s="168"/>
      <c r="L4" s="159" t="s">
        <v>235</v>
      </c>
      <c r="M4" s="164" t="s">
        <v>1963</v>
      </c>
      <c r="N4" s="169" t="s">
        <v>1952</v>
      </c>
      <c r="O4" s="164" t="s">
        <v>60</v>
      </c>
      <c r="P4" s="164" t="s">
        <v>51</v>
      </c>
      <c r="Q4" s="77"/>
      <c r="R4" s="77"/>
    </row>
    <row r="5" spans="1:20" ht="86.4" x14ac:dyDescent="0.3">
      <c r="A5" s="127">
        <v>4</v>
      </c>
      <c r="B5" s="79" t="str">
        <f t="shared" si="0"/>
        <v>Y</v>
      </c>
      <c r="C5" s="79" t="s">
        <v>45</v>
      </c>
      <c r="D5" s="76" t="s">
        <v>236</v>
      </c>
      <c r="E5" s="79" t="s">
        <v>237</v>
      </c>
      <c r="F5" s="79" t="s">
        <v>238</v>
      </c>
      <c r="G5" s="80" t="s">
        <v>234</v>
      </c>
      <c r="H5" s="167">
        <v>400</v>
      </c>
      <c r="I5" s="110" t="s">
        <v>1958</v>
      </c>
      <c r="J5" s="167" t="s">
        <v>225</v>
      </c>
      <c r="K5" s="169"/>
      <c r="L5" s="159" t="s">
        <v>239</v>
      </c>
      <c r="M5" s="164" t="s">
        <v>1963</v>
      </c>
      <c r="N5" s="169" t="s">
        <v>1952</v>
      </c>
      <c r="O5" s="164" t="s">
        <v>60</v>
      </c>
      <c r="P5" s="164" t="s">
        <v>51</v>
      </c>
      <c r="Q5" s="77"/>
      <c r="R5" s="77"/>
    </row>
    <row r="6" spans="1:20" ht="86.4" x14ac:dyDescent="0.3">
      <c r="A6" s="127">
        <v>5</v>
      </c>
      <c r="B6" s="79" t="str">
        <f t="shared" si="0"/>
        <v>Y</v>
      </c>
      <c r="C6" s="79" t="s">
        <v>45</v>
      </c>
      <c r="D6" s="76" t="s">
        <v>240</v>
      </c>
      <c r="E6" s="79" t="s">
        <v>241</v>
      </c>
      <c r="F6" s="79" t="s">
        <v>242</v>
      </c>
      <c r="G6" s="80" t="s">
        <v>234</v>
      </c>
      <c r="H6" s="167">
        <v>400</v>
      </c>
      <c r="I6" s="110" t="s">
        <v>1958</v>
      </c>
      <c r="J6" s="167" t="s">
        <v>225</v>
      </c>
      <c r="K6" s="168"/>
      <c r="L6" s="159" t="s">
        <v>243</v>
      </c>
      <c r="M6" s="164" t="s">
        <v>1963</v>
      </c>
      <c r="N6" s="169" t="s">
        <v>1952</v>
      </c>
      <c r="O6" s="164" t="s">
        <v>60</v>
      </c>
      <c r="P6" s="164" t="s">
        <v>51</v>
      </c>
      <c r="Q6" s="77"/>
      <c r="R6" s="77"/>
    </row>
    <row r="7" spans="1:20" ht="86.4" x14ac:dyDescent="0.3">
      <c r="A7" s="127">
        <v>6</v>
      </c>
      <c r="B7" s="79" t="str">
        <f t="shared" si="0"/>
        <v>Y</v>
      </c>
      <c r="C7" s="79" t="s">
        <v>45</v>
      </c>
      <c r="D7" s="76" t="s">
        <v>244</v>
      </c>
      <c r="E7" s="79" t="s">
        <v>245</v>
      </c>
      <c r="F7" s="79" t="s">
        <v>246</v>
      </c>
      <c r="G7" s="80" t="s">
        <v>234</v>
      </c>
      <c r="H7" s="167">
        <v>400</v>
      </c>
      <c r="I7" s="110" t="s">
        <v>1958</v>
      </c>
      <c r="J7" s="167" t="s">
        <v>225</v>
      </c>
      <c r="K7" s="168"/>
      <c r="L7" s="159" t="s">
        <v>247</v>
      </c>
      <c r="M7" s="164" t="s">
        <v>1963</v>
      </c>
      <c r="N7" s="169" t="s">
        <v>1952</v>
      </c>
      <c r="O7" s="164" t="s">
        <v>60</v>
      </c>
      <c r="P7" s="164" t="s">
        <v>51</v>
      </c>
      <c r="Q7" s="77"/>
      <c r="R7" s="77"/>
    </row>
    <row r="8" spans="1:20" ht="72" x14ac:dyDescent="0.3">
      <c r="A8" s="127">
        <v>7</v>
      </c>
      <c r="B8" s="79" t="str">
        <f t="shared" si="0"/>
        <v>Y</v>
      </c>
      <c r="C8" s="79" t="s">
        <v>45</v>
      </c>
      <c r="D8" s="76" t="s">
        <v>248</v>
      </c>
      <c r="E8" s="79" t="s">
        <v>249</v>
      </c>
      <c r="F8" s="79" t="s">
        <v>250</v>
      </c>
      <c r="G8" s="80" t="s">
        <v>251</v>
      </c>
      <c r="H8" s="167">
        <v>200</v>
      </c>
      <c r="I8" s="131"/>
      <c r="J8" s="167" t="s">
        <v>225</v>
      </c>
      <c r="K8" s="168"/>
      <c r="L8" s="165" t="s">
        <v>252</v>
      </c>
      <c r="M8" s="164" t="s">
        <v>1963</v>
      </c>
      <c r="N8" s="169" t="s">
        <v>1952</v>
      </c>
      <c r="O8" s="164" t="s">
        <v>60</v>
      </c>
      <c r="P8" s="164" t="s">
        <v>51</v>
      </c>
      <c r="Q8" s="77"/>
      <c r="R8" s="77"/>
    </row>
    <row r="9" spans="1:20" ht="57.6" x14ac:dyDescent="0.3">
      <c r="A9" s="127">
        <v>8</v>
      </c>
      <c r="B9" s="79" t="str">
        <f t="shared" si="0"/>
        <v>Y</v>
      </c>
      <c r="C9" s="79" t="s">
        <v>45</v>
      </c>
      <c r="D9" s="76" t="s">
        <v>253</v>
      </c>
      <c r="E9" s="79" t="s">
        <v>254</v>
      </c>
      <c r="F9" s="79" t="s">
        <v>255</v>
      </c>
      <c r="G9" s="80" t="s">
        <v>256</v>
      </c>
      <c r="H9" s="167">
        <v>401</v>
      </c>
      <c r="I9" s="131" t="s">
        <v>1957</v>
      </c>
      <c r="J9" s="167" t="s">
        <v>225</v>
      </c>
      <c r="K9" s="168"/>
      <c r="L9" s="165" t="s">
        <v>252</v>
      </c>
      <c r="M9" s="164" t="s">
        <v>1963</v>
      </c>
      <c r="N9" s="177" t="s">
        <v>257</v>
      </c>
      <c r="O9" s="164" t="s">
        <v>60</v>
      </c>
      <c r="P9" s="164" t="s">
        <v>51</v>
      </c>
      <c r="Q9" s="77"/>
      <c r="R9" s="77"/>
    </row>
    <row r="10" spans="1:20" ht="57.6" x14ac:dyDescent="0.3">
      <c r="A10" s="127">
        <v>9</v>
      </c>
      <c r="B10" s="79" t="str">
        <f t="shared" si="0"/>
        <v>Y</v>
      </c>
      <c r="C10" s="79" t="s">
        <v>45</v>
      </c>
      <c r="D10" s="76" t="s">
        <v>258</v>
      </c>
      <c r="E10" s="79" t="s">
        <v>259</v>
      </c>
      <c r="F10" s="79" t="s">
        <v>260</v>
      </c>
      <c r="G10" s="80" t="s">
        <v>261</v>
      </c>
      <c r="H10" s="167">
        <v>200</v>
      </c>
      <c r="I10" s="131"/>
      <c r="J10" s="167" t="s">
        <v>225</v>
      </c>
      <c r="K10" s="168">
        <v>223</v>
      </c>
      <c r="L10" s="164"/>
      <c r="M10" s="164"/>
      <c r="N10" s="169" t="s">
        <v>1952</v>
      </c>
      <c r="O10" s="164" t="s">
        <v>60</v>
      </c>
      <c r="P10" s="164" t="s">
        <v>51</v>
      </c>
      <c r="Q10" s="77"/>
      <c r="R10" s="77"/>
    </row>
    <row r="11" spans="1:20" ht="57.6" x14ac:dyDescent="0.3">
      <c r="A11" s="127">
        <v>10</v>
      </c>
      <c r="B11" s="79" t="str">
        <f t="shared" si="0"/>
        <v>Y</v>
      </c>
      <c r="C11" s="79" t="s">
        <v>45</v>
      </c>
      <c r="D11" s="76" t="s">
        <v>262</v>
      </c>
      <c r="E11" s="79" t="s">
        <v>263</v>
      </c>
      <c r="F11" s="79" t="s">
        <v>260</v>
      </c>
      <c r="G11" s="80" t="s">
        <v>261</v>
      </c>
      <c r="H11" s="167">
        <v>200</v>
      </c>
      <c r="I11" s="127"/>
      <c r="J11" s="167" t="s">
        <v>225</v>
      </c>
      <c r="K11" s="168">
        <v>113</v>
      </c>
      <c r="L11" s="164"/>
      <c r="M11" s="164"/>
      <c r="N11" s="169" t="s">
        <v>1952</v>
      </c>
      <c r="O11" s="164" t="s">
        <v>60</v>
      </c>
      <c r="P11" s="164" t="s">
        <v>51</v>
      </c>
      <c r="Q11" s="77"/>
      <c r="R11" s="77"/>
    </row>
    <row r="12" spans="1:20" ht="86.4" x14ac:dyDescent="0.3">
      <c r="A12" s="127">
        <v>11</v>
      </c>
      <c r="B12" s="79" t="str">
        <f t="shared" si="0"/>
        <v>Y</v>
      </c>
      <c r="C12" s="79" t="s">
        <v>45</v>
      </c>
      <c r="D12" s="76" t="s">
        <v>264</v>
      </c>
      <c r="E12" s="79" t="s">
        <v>265</v>
      </c>
      <c r="F12" s="79" t="s">
        <v>266</v>
      </c>
      <c r="G12" s="80" t="s">
        <v>267</v>
      </c>
      <c r="H12" s="110">
        <v>200</v>
      </c>
      <c r="I12" s="127"/>
      <c r="J12" s="167" t="s">
        <v>225</v>
      </c>
      <c r="K12" s="168"/>
      <c r="L12" s="164"/>
      <c r="M12" s="165" t="s">
        <v>268</v>
      </c>
      <c r="N12" s="169" t="s">
        <v>1952</v>
      </c>
      <c r="O12" s="164" t="s">
        <v>60</v>
      </c>
      <c r="P12" s="164" t="s">
        <v>51</v>
      </c>
      <c r="Q12" s="77"/>
      <c r="R12" s="77"/>
    </row>
    <row r="13" spans="1:20" ht="43.2" x14ac:dyDescent="0.3">
      <c r="A13" s="127">
        <v>12</v>
      </c>
      <c r="B13" s="79" t="str">
        <f t="shared" si="0"/>
        <v>Y</v>
      </c>
      <c r="C13" s="79" t="s">
        <v>45</v>
      </c>
      <c r="D13" s="76" t="s">
        <v>269</v>
      </c>
      <c r="E13" s="79" t="s">
        <v>270</v>
      </c>
      <c r="F13" s="79" t="s">
        <v>271</v>
      </c>
      <c r="G13" s="80" t="s">
        <v>272</v>
      </c>
      <c r="H13" s="127">
        <v>400</v>
      </c>
      <c r="I13" s="131" t="s">
        <v>1959</v>
      </c>
      <c r="J13" s="167" t="s">
        <v>225</v>
      </c>
      <c r="K13" s="168"/>
      <c r="L13" s="164"/>
      <c r="M13" s="159" t="s">
        <v>273</v>
      </c>
      <c r="N13" s="169" t="s">
        <v>1952</v>
      </c>
      <c r="O13" s="164" t="s">
        <v>60</v>
      </c>
      <c r="P13" s="164" t="s">
        <v>51</v>
      </c>
      <c r="Q13" s="77"/>
      <c r="R13" s="77"/>
    </row>
    <row r="14" spans="1:20" ht="57.6" x14ac:dyDescent="0.3">
      <c r="A14" s="127">
        <v>13</v>
      </c>
      <c r="B14" s="79" t="str">
        <f t="shared" si="0"/>
        <v>Y</v>
      </c>
      <c r="C14" s="79" t="s">
        <v>45</v>
      </c>
      <c r="D14" s="76" t="s">
        <v>274</v>
      </c>
      <c r="E14" s="79" t="s">
        <v>275</v>
      </c>
      <c r="F14" s="79" t="s">
        <v>276</v>
      </c>
      <c r="G14" s="80" t="s">
        <v>272</v>
      </c>
      <c r="H14" s="127">
        <v>400</v>
      </c>
      <c r="I14" s="131" t="s">
        <v>1959</v>
      </c>
      <c r="J14" s="167" t="s">
        <v>225</v>
      </c>
      <c r="K14" s="168"/>
      <c r="L14" s="164"/>
      <c r="M14" s="159" t="s">
        <v>273</v>
      </c>
      <c r="N14" s="169" t="s">
        <v>1952</v>
      </c>
      <c r="O14" s="164" t="s">
        <v>60</v>
      </c>
      <c r="P14" s="164" t="s">
        <v>51</v>
      </c>
      <c r="Q14" s="77"/>
      <c r="R14" s="77"/>
    </row>
    <row r="15" spans="1:20" ht="72" x14ac:dyDescent="0.3">
      <c r="A15" s="127">
        <v>14</v>
      </c>
      <c r="B15" s="79" t="str">
        <f t="shared" si="0"/>
        <v>Y</v>
      </c>
      <c r="C15" s="79" t="s">
        <v>45</v>
      </c>
      <c r="D15" s="76" t="s">
        <v>277</v>
      </c>
      <c r="E15" s="79" t="s">
        <v>278</v>
      </c>
      <c r="F15" s="79" t="s">
        <v>279</v>
      </c>
      <c r="G15" s="80" t="s">
        <v>280</v>
      </c>
      <c r="H15" s="127">
        <v>200</v>
      </c>
      <c r="I15" s="131"/>
      <c r="J15" s="167" t="s">
        <v>225</v>
      </c>
      <c r="K15" s="168">
        <v>330</v>
      </c>
      <c r="L15" s="164"/>
      <c r="M15" s="164"/>
      <c r="N15" s="169" t="s">
        <v>1952</v>
      </c>
      <c r="O15" s="164" t="s">
        <v>60</v>
      </c>
      <c r="P15" s="164" t="s">
        <v>51</v>
      </c>
      <c r="Q15" s="77"/>
      <c r="R15" s="77"/>
    </row>
    <row r="16" spans="1:20" ht="57.6" x14ac:dyDescent="0.3">
      <c r="A16" s="127">
        <v>15</v>
      </c>
      <c r="B16" s="79" t="str">
        <f t="shared" si="0"/>
        <v>Y</v>
      </c>
      <c r="C16" s="79" t="s">
        <v>45</v>
      </c>
      <c r="D16" s="76" t="s">
        <v>281</v>
      </c>
      <c r="E16" s="79" t="s">
        <v>282</v>
      </c>
      <c r="F16" s="79" t="s">
        <v>283</v>
      </c>
      <c r="G16" s="80" t="s">
        <v>284</v>
      </c>
      <c r="H16" s="127">
        <v>400</v>
      </c>
      <c r="I16" s="131" t="s">
        <v>1960</v>
      </c>
      <c r="J16" s="167" t="s">
        <v>225</v>
      </c>
      <c r="K16" s="174">
        <v>550</v>
      </c>
      <c r="L16" s="164"/>
      <c r="M16" s="164"/>
      <c r="N16" s="169" t="s">
        <v>1952</v>
      </c>
      <c r="O16" s="164" t="s">
        <v>60</v>
      </c>
      <c r="P16" s="164" t="s">
        <v>51</v>
      </c>
      <c r="Q16" s="77"/>
      <c r="R16" s="77"/>
    </row>
    <row r="17" spans="1:18" ht="57.6" x14ac:dyDescent="0.3">
      <c r="A17" s="127">
        <v>16</v>
      </c>
      <c r="B17" s="79" t="str">
        <f t="shared" si="0"/>
        <v>Y</v>
      </c>
      <c r="C17" s="79" t="s">
        <v>45</v>
      </c>
      <c r="D17" s="76" t="s">
        <v>285</v>
      </c>
      <c r="E17" s="79" t="s">
        <v>286</v>
      </c>
      <c r="F17" s="79" t="s">
        <v>287</v>
      </c>
      <c r="G17" s="80" t="s">
        <v>288</v>
      </c>
      <c r="H17" s="127">
        <v>400</v>
      </c>
      <c r="I17" s="131" t="s">
        <v>1960</v>
      </c>
      <c r="J17" s="167" t="s">
        <v>225</v>
      </c>
      <c r="K17" s="174">
        <v>550</v>
      </c>
      <c r="L17" s="164"/>
      <c r="M17" s="164"/>
      <c r="N17" s="169" t="s">
        <v>1952</v>
      </c>
      <c r="O17" s="164" t="s">
        <v>60</v>
      </c>
      <c r="P17" s="164" t="s">
        <v>51</v>
      </c>
      <c r="Q17" s="77"/>
      <c r="R17" s="77"/>
    </row>
    <row r="18" spans="1:18" ht="72" x14ac:dyDescent="0.3">
      <c r="A18" s="127">
        <v>17</v>
      </c>
      <c r="B18" s="79" t="str">
        <f t="shared" si="0"/>
        <v>Y</v>
      </c>
      <c r="C18" s="79" t="s">
        <v>45</v>
      </c>
      <c r="D18" s="76" t="s">
        <v>289</v>
      </c>
      <c r="E18" s="79" t="s">
        <v>290</v>
      </c>
      <c r="F18" s="79" t="s">
        <v>291</v>
      </c>
      <c r="G18" s="80" t="s">
        <v>280</v>
      </c>
      <c r="H18" s="127">
        <v>200</v>
      </c>
      <c r="I18" s="131"/>
      <c r="J18" s="167" t="s">
        <v>225</v>
      </c>
      <c r="K18" s="168"/>
      <c r="L18" s="165" t="s">
        <v>252</v>
      </c>
      <c r="M18" s="164"/>
      <c r="N18" s="169" t="s">
        <v>1952</v>
      </c>
      <c r="O18" s="164" t="s">
        <v>60</v>
      </c>
      <c r="P18" s="164" t="s">
        <v>51</v>
      </c>
      <c r="Q18" s="77"/>
      <c r="R18" s="77"/>
    </row>
    <row r="19" spans="1:18" ht="57.6" x14ac:dyDescent="0.3">
      <c r="A19" s="127">
        <v>18</v>
      </c>
      <c r="B19" s="79" t="str">
        <f t="shared" si="0"/>
        <v>Y</v>
      </c>
      <c r="C19" s="79" t="s">
        <v>45</v>
      </c>
      <c r="D19" s="76" t="s">
        <v>292</v>
      </c>
      <c r="E19" s="79" t="s">
        <v>293</v>
      </c>
      <c r="F19" s="79" t="s">
        <v>294</v>
      </c>
      <c r="G19" s="80" t="s">
        <v>295</v>
      </c>
      <c r="H19" s="127">
        <v>400</v>
      </c>
      <c r="I19" s="132" t="s">
        <v>1961</v>
      </c>
      <c r="J19" s="167" t="s">
        <v>225</v>
      </c>
      <c r="K19" s="168"/>
      <c r="L19" s="175" t="s">
        <v>296</v>
      </c>
      <c r="M19" s="164"/>
      <c r="N19" s="169" t="s">
        <v>1952</v>
      </c>
      <c r="O19" s="164" t="s">
        <v>60</v>
      </c>
      <c r="P19" s="164" t="s">
        <v>51</v>
      </c>
      <c r="Q19" s="77"/>
      <c r="R19" s="77"/>
    </row>
    <row r="20" spans="1:18" ht="57.6" x14ac:dyDescent="0.3">
      <c r="A20" s="127">
        <v>19</v>
      </c>
      <c r="B20" s="79" t="str">
        <f t="shared" si="0"/>
        <v>Y</v>
      </c>
      <c r="C20" s="79" t="s">
        <v>45</v>
      </c>
      <c r="D20" s="76" t="s">
        <v>297</v>
      </c>
      <c r="E20" s="79" t="s">
        <v>298</v>
      </c>
      <c r="F20" s="79" t="s">
        <v>299</v>
      </c>
      <c r="G20" s="80" t="s">
        <v>300</v>
      </c>
      <c r="H20" s="127">
        <v>400</v>
      </c>
      <c r="I20" s="132" t="s">
        <v>1962</v>
      </c>
      <c r="J20" s="167" t="s">
        <v>225</v>
      </c>
      <c r="K20" s="168"/>
      <c r="L20" s="158"/>
      <c r="M20" s="164"/>
      <c r="N20" s="169" t="s">
        <v>1952</v>
      </c>
      <c r="O20" s="164" t="s">
        <v>60</v>
      </c>
      <c r="P20" s="164" t="s">
        <v>51</v>
      </c>
      <c r="Q20" s="77"/>
      <c r="R20" s="77"/>
    </row>
    <row r="21" spans="1:18" ht="172.8" x14ac:dyDescent="0.3">
      <c r="A21" s="127">
        <v>20</v>
      </c>
      <c r="B21" s="79" t="str">
        <f>C21</f>
        <v>Y</v>
      </c>
      <c r="C21" s="79" t="s">
        <v>45</v>
      </c>
      <c r="D21" s="76" t="s">
        <v>301</v>
      </c>
      <c r="E21" s="79" t="s">
        <v>302</v>
      </c>
      <c r="F21" s="79" t="s">
        <v>303</v>
      </c>
      <c r="G21" s="80" t="s">
        <v>304</v>
      </c>
      <c r="H21" s="176">
        <v>200</v>
      </c>
      <c r="I21" s="197"/>
      <c r="J21" s="167" t="s">
        <v>225</v>
      </c>
      <c r="K21" s="168"/>
      <c r="L21" s="165" t="s">
        <v>305</v>
      </c>
      <c r="M21" s="168"/>
      <c r="N21" s="169" t="s">
        <v>1952</v>
      </c>
      <c r="O21" s="164" t="s">
        <v>60</v>
      </c>
      <c r="P21" s="164" t="s">
        <v>51</v>
      </c>
      <c r="Q21" s="77"/>
      <c r="R21" s="77"/>
    </row>
    <row r="22" spans="1:18" ht="172.8" x14ac:dyDescent="0.3">
      <c r="A22" s="127">
        <v>21</v>
      </c>
      <c r="B22" s="79" t="str">
        <f t="shared" ref="B22:B53" si="1">C22</f>
        <v>Y</v>
      </c>
      <c r="C22" s="79" t="s">
        <v>45</v>
      </c>
      <c r="D22" s="76" t="s">
        <v>306</v>
      </c>
      <c r="E22" s="79" t="s">
        <v>307</v>
      </c>
      <c r="F22" s="79" t="s">
        <v>308</v>
      </c>
      <c r="G22" s="80" t="s">
        <v>309</v>
      </c>
      <c r="H22" s="176">
        <v>200</v>
      </c>
      <c r="I22" s="197"/>
      <c r="J22" s="167" t="s">
        <v>225</v>
      </c>
      <c r="K22" s="168"/>
      <c r="L22" s="165" t="s">
        <v>310</v>
      </c>
      <c r="M22" s="168"/>
      <c r="N22" s="169" t="s">
        <v>1952</v>
      </c>
      <c r="O22" s="164" t="s">
        <v>60</v>
      </c>
      <c r="P22" s="164" t="s">
        <v>51</v>
      </c>
      <c r="Q22" s="77"/>
      <c r="R22" s="77"/>
    </row>
    <row r="23" spans="1:18" ht="57.6" x14ac:dyDescent="0.3">
      <c r="A23" s="127">
        <v>22</v>
      </c>
      <c r="B23" s="79" t="str">
        <f t="shared" si="1"/>
        <v>Y</v>
      </c>
      <c r="C23" s="79" t="s">
        <v>45</v>
      </c>
      <c r="D23" s="76" t="s">
        <v>311</v>
      </c>
      <c r="E23" s="79" t="s">
        <v>312</v>
      </c>
      <c r="F23" s="79" t="s">
        <v>313</v>
      </c>
      <c r="G23" s="80" t="s">
        <v>314</v>
      </c>
      <c r="H23" s="127">
        <v>401</v>
      </c>
      <c r="I23" s="131" t="s">
        <v>1957</v>
      </c>
      <c r="J23" s="167" t="s">
        <v>225</v>
      </c>
      <c r="K23" s="168"/>
      <c r="L23" s="165" t="s">
        <v>305</v>
      </c>
      <c r="M23" s="168"/>
      <c r="N23" s="177" t="s">
        <v>194</v>
      </c>
      <c r="O23" s="164" t="s">
        <v>60</v>
      </c>
      <c r="P23" s="164" t="s">
        <v>51</v>
      </c>
      <c r="Q23" s="77"/>
      <c r="R23" s="77"/>
    </row>
    <row r="24" spans="1:18" ht="57.6" x14ac:dyDescent="0.3">
      <c r="A24" s="127">
        <v>23</v>
      </c>
      <c r="B24" s="79" t="str">
        <f t="shared" si="1"/>
        <v>Y</v>
      </c>
      <c r="C24" s="79" t="s">
        <v>45</v>
      </c>
      <c r="D24" s="76" t="s">
        <v>315</v>
      </c>
      <c r="E24" s="79" t="s">
        <v>316</v>
      </c>
      <c r="F24" s="79" t="s">
        <v>317</v>
      </c>
      <c r="G24" s="80" t="s">
        <v>318</v>
      </c>
      <c r="H24" s="127">
        <v>401</v>
      </c>
      <c r="I24" s="131" t="s">
        <v>1957</v>
      </c>
      <c r="J24" s="167" t="s">
        <v>225</v>
      </c>
      <c r="K24" s="168"/>
      <c r="L24" s="165" t="s">
        <v>310</v>
      </c>
      <c r="M24" s="168"/>
      <c r="N24" s="177" t="s">
        <v>194</v>
      </c>
      <c r="O24" s="164" t="s">
        <v>60</v>
      </c>
      <c r="P24" s="164" t="s">
        <v>51</v>
      </c>
      <c r="Q24" s="77"/>
      <c r="R24" s="77"/>
    </row>
    <row r="25" spans="1:18" ht="187.2" x14ac:dyDescent="0.3">
      <c r="A25" s="127">
        <v>24</v>
      </c>
      <c r="B25" s="79" t="str">
        <f t="shared" si="1"/>
        <v>Y</v>
      </c>
      <c r="C25" s="79" t="s">
        <v>45</v>
      </c>
      <c r="D25" s="76" t="s">
        <v>319</v>
      </c>
      <c r="E25" s="82" t="s">
        <v>320</v>
      </c>
      <c r="F25" s="16" t="s">
        <v>321</v>
      </c>
      <c r="G25" s="96" t="s">
        <v>322</v>
      </c>
      <c r="H25" s="127">
        <v>200</v>
      </c>
      <c r="I25" s="197"/>
      <c r="J25" s="167" t="s">
        <v>225</v>
      </c>
      <c r="K25" s="164" t="s">
        <v>1963</v>
      </c>
      <c r="L25" s="164" t="s">
        <v>1963</v>
      </c>
      <c r="M25" s="165" t="s">
        <v>323</v>
      </c>
      <c r="N25" s="169" t="s">
        <v>1952</v>
      </c>
      <c r="O25" s="164" t="s">
        <v>60</v>
      </c>
      <c r="P25" s="164" t="s">
        <v>51</v>
      </c>
    </row>
    <row r="26" spans="1:18" ht="187.2" x14ac:dyDescent="0.3">
      <c r="A26" s="127">
        <v>25</v>
      </c>
      <c r="B26" s="79" t="str">
        <f t="shared" si="1"/>
        <v>Y</v>
      </c>
      <c r="C26" s="79" t="s">
        <v>45</v>
      </c>
      <c r="D26" s="76" t="s">
        <v>324</v>
      </c>
      <c r="E26" s="82" t="s">
        <v>325</v>
      </c>
      <c r="F26" s="16" t="s">
        <v>326</v>
      </c>
      <c r="G26" s="96" t="s">
        <v>327</v>
      </c>
      <c r="H26" s="127">
        <v>200</v>
      </c>
      <c r="I26" s="197"/>
      <c r="J26" s="167" t="s">
        <v>225</v>
      </c>
      <c r="K26" s="164" t="s">
        <v>1963</v>
      </c>
      <c r="L26" s="164" t="s">
        <v>1963</v>
      </c>
      <c r="M26" s="165" t="s">
        <v>328</v>
      </c>
      <c r="N26" s="169" t="s">
        <v>1952</v>
      </c>
      <c r="O26" s="164" t="s">
        <v>60</v>
      </c>
      <c r="P26" s="164" t="s">
        <v>51</v>
      </c>
    </row>
    <row r="27" spans="1:18" ht="72" x14ac:dyDescent="0.3">
      <c r="A27" s="127">
        <v>26</v>
      </c>
      <c r="B27" s="79" t="str">
        <f t="shared" si="1"/>
        <v>Y</v>
      </c>
      <c r="C27" s="79" t="s">
        <v>45</v>
      </c>
      <c r="D27" s="76" t="s">
        <v>329</v>
      </c>
      <c r="E27" s="82" t="s">
        <v>330</v>
      </c>
      <c r="F27" s="16" t="s">
        <v>331</v>
      </c>
      <c r="G27" s="96" t="s">
        <v>332</v>
      </c>
      <c r="H27" s="127">
        <v>400</v>
      </c>
      <c r="I27" s="131" t="s">
        <v>1959</v>
      </c>
      <c r="J27" s="167" t="s">
        <v>225</v>
      </c>
      <c r="K27" s="164" t="s">
        <v>1963</v>
      </c>
      <c r="L27" s="164" t="s">
        <v>1963</v>
      </c>
      <c r="M27" s="159" t="s">
        <v>273</v>
      </c>
      <c r="N27" s="169" t="s">
        <v>1952</v>
      </c>
      <c r="O27" s="164" t="s">
        <v>60</v>
      </c>
      <c r="P27" s="164" t="s">
        <v>51</v>
      </c>
    </row>
    <row r="28" spans="1:18" ht="72" x14ac:dyDescent="0.3">
      <c r="A28" s="127">
        <v>27</v>
      </c>
      <c r="B28" s="79" t="str">
        <f t="shared" si="1"/>
        <v>Y</v>
      </c>
      <c r="C28" s="79" t="s">
        <v>45</v>
      </c>
      <c r="D28" s="76" t="s">
        <v>333</v>
      </c>
      <c r="E28" s="82" t="s">
        <v>334</v>
      </c>
      <c r="F28" s="16" t="s">
        <v>335</v>
      </c>
      <c r="G28" s="96" t="s">
        <v>332</v>
      </c>
      <c r="H28" s="127">
        <v>400</v>
      </c>
      <c r="I28" s="131" t="s">
        <v>1959</v>
      </c>
      <c r="J28" s="167" t="s">
        <v>225</v>
      </c>
      <c r="K28" s="164" t="s">
        <v>1963</v>
      </c>
      <c r="L28" s="164" t="s">
        <v>1963</v>
      </c>
      <c r="M28" s="159" t="s">
        <v>273</v>
      </c>
      <c r="N28" s="169" t="s">
        <v>1952</v>
      </c>
      <c r="O28" s="164" t="s">
        <v>60</v>
      </c>
      <c r="P28" s="164" t="s">
        <v>51</v>
      </c>
    </row>
    <row r="29" spans="1:18" ht="72" x14ac:dyDescent="0.3">
      <c r="A29" s="127">
        <v>28</v>
      </c>
      <c r="B29" s="79" t="str">
        <f t="shared" si="1"/>
        <v>Y</v>
      </c>
      <c r="C29" s="79" t="s">
        <v>45</v>
      </c>
      <c r="D29" s="76" t="s">
        <v>336</v>
      </c>
      <c r="E29" s="82" t="s">
        <v>337</v>
      </c>
      <c r="F29" s="16" t="s">
        <v>338</v>
      </c>
      <c r="G29" s="96" t="s">
        <v>332</v>
      </c>
      <c r="H29" s="127">
        <v>400</v>
      </c>
      <c r="I29" s="131" t="s">
        <v>1959</v>
      </c>
      <c r="J29" s="167" t="s">
        <v>225</v>
      </c>
      <c r="K29" s="164" t="s">
        <v>1963</v>
      </c>
      <c r="L29" s="164" t="s">
        <v>1963</v>
      </c>
      <c r="M29" s="159" t="s">
        <v>339</v>
      </c>
      <c r="N29" s="169" t="s">
        <v>1952</v>
      </c>
      <c r="O29" s="164" t="s">
        <v>60</v>
      </c>
      <c r="P29" s="164" t="s">
        <v>51</v>
      </c>
    </row>
    <row r="30" spans="1:18" ht="72" x14ac:dyDescent="0.3">
      <c r="A30" s="127">
        <v>29</v>
      </c>
      <c r="B30" s="79" t="str">
        <f t="shared" si="1"/>
        <v>Y</v>
      </c>
      <c r="C30" s="79" t="s">
        <v>45</v>
      </c>
      <c r="D30" s="76" t="s">
        <v>340</v>
      </c>
      <c r="E30" s="82" t="s">
        <v>341</v>
      </c>
      <c r="F30" s="16" t="s">
        <v>342</v>
      </c>
      <c r="G30" s="96" t="s">
        <v>332</v>
      </c>
      <c r="H30" s="127">
        <v>400</v>
      </c>
      <c r="I30" s="131" t="s">
        <v>1959</v>
      </c>
      <c r="J30" s="167" t="s">
        <v>225</v>
      </c>
      <c r="K30" s="164" t="s">
        <v>1963</v>
      </c>
      <c r="L30" s="164" t="s">
        <v>1963</v>
      </c>
      <c r="M30" s="159" t="s">
        <v>1994</v>
      </c>
      <c r="N30" s="169" t="s">
        <v>1952</v>
      </c>
      <c r="O30" s="164" t="s">
        <v>60</v>
      </c>
      <c r="P30" s="164" t="s">
        <v>51</v>
      </c>
    </row>
    <row r="31" spans="1:18" ht="57.6" x14ac:dyDescent="0.3">
      <c r="A31" s="127">
        <v>30</v>
      </c>
      <c r="B31" s="79" t="str">
        <f t="shared" si="1"/>
        <v>Y</v>
      </c>
      <c r="C31" s="79" t="s">
        <v>45</v>
      </c>
      <c r="D31" s="76" t="s">
        <v>343</v>
      </c>
      <c r="E31" s="82" t="s">
        <v>344</v>
      </c>
      <c r="F31" s="16" t="s">
        <v>345</v>
      </c>
      <c r="G31" s="96" t="s">
        <v>346</v>
      </c>
      <c r="H31" s="127">
        <v>400</v>
      </c>
      <c r="I31" s="131" t="s">
        <v>1960</v>
      </c>
      <c r="J31" s="167" t="s">
        <v>225</v>
      </c>
      <c r="K31" s="174">
        <v>550</v>
      </c>
      <c r="L31" s="164" t="s">
        <v>1963</v>
      </c>
      <c r="M31" s="164" t="s">
        <v>1963</v>
      </c>
      <c r="N31" s="169" t="s">
        <v>1952</v>
      </c>
      <c r="O31" s="164" t="s">
        <v>60</v>
      </c>
      <c r="P31" s="164" t="s">
        <v>51</v>
      </c>
    </row>
    <row r="32" spans="1:18" ht="57.6" x14ac:dyDescent="0.3">
      <c r="A32" s="127">
        <v>31</v>
      </c>
      <c r="B32" s="79" t="str">
        <f t="shared" si="1"/>
        <v>Y</v>
      </c>
      <c r="C32" s="79" t="s">
        <v>45</v>
      </c>
      <c r="D32" s="76" t="s">
        <v>347</v>
      </c>
      <c r="E32" s="82" t="s">
        <v>348</v>
      </c>
      <c r="F32" s="16" t="s">
        <v>349</v>
      </c>
      <c r="G32" s="96" t="s">
        <v>346</v>
      </c>
      <c r="H32" s="127">
        <v>400</v>
      </c>
      <c r="I32" s="131" t="s">
        <v>1960</v>
      </c>
      <c r="J32" s="167" t="s">
        <v>225</v>
      </c>
      <c r="K32" s="174">
        <v>550</v>
      </c>
      <c r="L32" s="164" t="s">
        <v>1963</v>
      </c>
      <c r="M32" s="164" t="s">
        <v>1963</v>
      </c>
      <c r="N32" s="169" t="s">
        <v>1952</v>
      </c>
      <c r="O32" s="164" t="s">
        <v>60</v>
      </c>
      <c r="P32" s="164" t="s">
        <v>51</v>
      </c>
    </row>
    <row r="33" spans="1:16" ht="57.6" x14ac:dyDescent="0.3">
      <c r="A33" s="127">
        <v>32</v>
      </c>
      <c r="B33" s="79" t="str">
        <f t="shared" si="1"/>
        <v>Y</v>
      </c>
      <c r="C33" s="79" t="s">
        <v>45</v>
      </c>
      <c r="D33" s="76" t="s">
        <v>350</v>
      </c>
      <c r="E33" s="82" t="s">
        <v>351</v>
      </c>
      <c r="F33" s="16" t="s">
        <v>352</v>
      </c>
      <c r="G33" s="96" t="s">
        <v>346</v>
      </c>
      <c r="H33" s="127">
        <v>400</v>
      </c>
      <c r="I33" s="131" t="s">
        <v>1960</v>
      </c>
      <c r="J33" s="167" t="s">
        <v>225</v>
      </c>
      <c r="K33" s="174">
        <v>550</v>
      </c>
      <c r="L33" s="164" t="s">
        <v>1963</v>
      </c>
      <c r="M33" s="164" t="s">
        <v>1963</v>
      </c>
      <c r="N33" s="169" t="s">
        <v>1952</v>
      </c>
      <c r="O33" s="164" t="s">
        <v>60</v>
      </c>
      <c r="P33" s="164" t="s">
        <v>51</v>
      </c>
    </row>
    <row r="34" spans="1:16" ht="57.6" x14ac:dyDescent="0.3">
      <c r="A34" s="127">
        <v>33</v>
      </c>
      <c r="B34" s="79" t="str">
        <f t="shared" si="1"/>
        <v>Y</v>
      </c>
      <c r="C34" s="79" t="s">
        <v>45</v>
      </c>
      <c r="D34" s="76" t="s">
        <v>353</v>
      </c>
      <c r="E34" s="82" t="s">
        <v>354</v>
      </c>
      <c r="F34" s="16" t="s">
        <v>355</v>
      </c>
      <c r="G34" s="96" t="s">
        <v>346</v>
      </c>
      <c r="H34" s="127">
        <v>400</v>
      </c>
      <c r="I34" s="131" t="s">
        <v>1960</v>
      </c>
      <c r="J34" s="167" t="s">
        <v>225</v>
      </c>
      <c r="K34" s="174">
        <v>550</v>
      </c>
      <c r="L34" s="164" t="s">
        <v>1963</v>
      </c>
      <c r="M34" s="164" t="s">
        <v>1963</v>
      </c>
      <c r="N34" s="169" t="s">
        <v>1952</v>
      </c>
      <c r="O34" s="164" t="s">
        <v>60</v>
      </c>
      <c r="P34" s="164" t="s">
        <v>51</v>
      </c>
    </row>
    <row r="35" spans="1:16" ht="72" x14ac:dyDescent="0.3">
      <c r="A35" s="127">
        <v>34</v>
      </c>
      <c r="B35" s="79" t="str">
        <f t="shared" si="1"/>
        <v>Y</v>
      </c>
      <c r="C35" s="79" t="s">
        <v>45</v>
      </c>
      <c r="D35" s="76" t="s">
        <v>356</v>
      </c>
      <c r="E35" s="82" t="s">
        <v>357</v>
      </c>
      <c r="F35" s="16" t="s">
        <v>358</v>
      </c>
      <c r="G35" s="96" t="s">
        <v>359</v>
      </c>
      <c r="H35" s="127">
        <v>400</v>
      </c>
      <c r="I35" s="155" t="s">
        <v>1961</v>
      </c>
      <c r="J35" s="167" t="s">
        <v>225</v>
      </c>
      <c r="K35" s="164" t="s">
        <v>1963</v>
      </c>
      <c r="L35" s="159" t="s">
        <v>296</v>
      </c>
      <c r="M35" s="164" t="s">
        <v>1963</v>
      </c>
      <c r="N35" s="169" t="s">
        <v>1952</v>
      </c>
      <c r="O35" s="164" t="s">
        <v>60</v>
      </c>
      <c r="P35" s="164" t="s">
        <v>51</v>
      </c>
    </row>
    <row r="36" spans="1:16" ht="72" x14ac:dyDescent="0.3">
      <c r="A36" s="127">
        <v>35</v>
      </c>
      <c r="B36" s="79" t="str">
        <f t="shared" si="1"/>
        <v>Y</v>
      </c>
      <c r="C36" s="79" t="s">
        <v>45</v>
      </c>
      <c r="D36" s="76" t="s">
        <v>360</v>
      </c>
      <c r="E36" s="82" t="s">
        <v>361</v>
      </c>
      <c r="F36" s="16" t="s">
        <v>362</v>
      </c>
      <c r="G36" s="96" t="s">
        <v>359</v>
      </c>
      <c r="H36" s="127">
        <v>400</v>
      </c>
      <c r="I36" s="155" t="s">
        <v>1961</v>
      </c>
      <c r="J36" s="167" t="s">
        <v>225</v>
      </c>
      <c r="K36" s="164" t="s">
        <v>1963</v>
      </c>
      <c r="L36" s="159" t="s">
        <v>296</v>
      </c>
      <c r="M36" s="164" t="s">
        <v>1963</v>
      </c>
      <c r="N36" s="169" t="s">
        <v>1952</v>
      </c>
      <c r="O36" s="164" t="s">
        <v>60</v>
      </c>
      <c r="P36" s="164" t="s">
        <v>51</v>
      </c>
    </row>
    <row r="37" spans="1:16" ht="72" x14ac:dyDescent="0.3">
      <c r="A37" s="127">
        <v>36</v>
      </c>
      <c r="B37" s="79" t="str">
        <f t="shared" si="1"/>
        <v>Y</v>
      </c>
      <c r="C37" s="79" t="s">
        <v>45</v>
      </c>
      <c r="D37" s="76" t="s">
        <v>363</v>
      </c>
      <c r="E37" s="82" t="s">
        <v>364</v>
      </c>
      <c r="F37" s="16" t="s">
        <v>365</v>
      </c>
      <c r="G37" s="96" t="s">
        <v>366</v>
      </c>
      <c r="H37" s="127">
        <v>400</v>
      </c>
      <c r="I37" s="155" t="s">
        <v>1962</v>
      </c>
      <c r="J37" s="167" t="s">
        <v>225</v>
      </c>
      <c r="K37" s="164" t="s">
        <v>1963</v>
      </c>
      <c r="L37" s="184" t="s">
        <v>1963</v>
      </c>
      <c r="M37" s="164" t="s">
        <v>1963</v>
      </c>
      <c r="N37" s="169" t="s">
        <v>1952</v>
      </c>
      <c r="O37" s="164" t="s">
        <v>60</v>
      </c>
      <c r="P37" s="164" t="s">
        <v>51</v>
      </c>
    </row>
    <row r="38" spans="1:16" ht="72" x14ac:dyDescent="0.3">
      <c r="A38" s="127">
        <v>37</v>
      </c>
      <c r="B38" s="79" t="str">
        <f t="shared" si="1"/>
        <v>Y</v>
      </c>
      <c r="C38" s="79" t="s">
        <v>45</v>
      </c>
      <c r="D38" s="76" t="s">
        <v>367</v>
      </c>
      <c r="E38" s="82" t="s">
        <v>368</v>
      </c>
      <c r="F38" s="16" t="s">
        <v>369</v>
      </c>
      <c r="G38" s="96" t="s">
        <v>366</v>
      </c>
      <c r="H38" s="127">
        <v>400</v>
      </c>
      <c r="I38" s="155" t="s">
        <v>1962</v>
      </c>
      <c r="J38" s="167" t="s">
        <v>225</v>
      </c>
      <c r="K38" s="164" t="s">
        <v>1963</v>
      </c>
      <c r="L38" s="184" t="s">
        <v>1963</v>
      </c>
      <c r="M38" s="164" t="s">
        <v>1963</v>
      </c>
      <c r="N38" s="169" t="s">
        <v>1952</v>
      </c>
      <c r="O38" s="164" t="s">
        <v>60</v>
      </c>
      <c r="P38" s="164" t="s">
        <v>51</v>
      </c>
    </row>
    <row r="39" spans="1:16" ht="100.8" x14ac:dyDescent="0.3">
      <c r="A39" s="127">
        <v>38</v>
      </c>
      <c r="B39" s="79" t="str">
        <f t="shared" si="1"/>
        <v>Y</v>
      </c>
      <c r="C39" s="79" t="s">
        <v>45</v>
      </c>
      <c r="D39" s="76" t="s">
        <v>370</v>
      </c>
      <c r="E39" s="82" t="s">
        <v>371</v>
      </c>
      <c r="F39" s="16" t="s">
        <v>372</v>
      </c>
      <c r="G39" s="96" t="s">
        <v>373</v>
      </c>
      <c r="H39" s="176">
        <v>200</v>
      </c>
      <c r="J39" s="167" t="s">
        <v>225</v>
      </c>
      <c r="K39" s="164" t="s">
        <v>1963</v>
      </c>
      <c r="L39" s="165" t="s">
        <v>374</v>
      </c>
      <c r="M39" s="164" t="s">
        <v>1963</v>
      </c>
      <c r="N39" s="169" t="s">
        <v>1952</v>
      </c>
      <c r="O39" s="164" t="s">
        <v>60</v>
      </c>
      <c r="P39" s="164" t="s">
        <v>51</v>
      </c>
    </row>
    <row r="40" spans="1:16" ht="100.8" x14ac:dyDescent="0.3">
      <c r="A40" s="127">
        <v>39</v>
      </c>
      <c r="B40" s="79" t="str">
        <f t="shared" si="1"/>
        <v>Y</v>
      </c>
      <c r="C40" s="79" t="s">
        <v>45</v>
      </c>
      <c r="D40" s="76" t="s">
        <v>375</v>
      </c>
      <c r="E40" s="82" t="s">
        <v>376</v>
      </c>
      <c r="F40" s="16" t="s">
        <v>377</v>
      </c>
      <c r="G40" s="96" t="s">
        <v>378</v>
      </c>
      <c r="H40" s="176">
        <v>200</v>
      </c>
      <c r="J40" s="167" t="s">
        <v>225</v>
      </c>
      <c r="K40" s="164" t="s">
        <v>1963</v>
      </c>
      <c r="L40" s="165" t="s">
        <v>379</v>
      </c>
      <c r="M40" s="164" t="s">
        <v>1963</v>
      </c>
      <c r="N40" s="169" t="s">
        <v>1952</v>
      </c>
      <c r="O40" s="164" t="s">
        <v>60</v>
      </c>
      <c r="P40" s="164" t="s">
        <v>51</v>
      </c>
    </row>
    <row r="41" spans="1:16" ht="100.8" x14ac:dyDescent="0.3">
      <c r="A41" s="127">
        <v>40</v>
      </c>
      <c r="B41" s="79" t="str">
        <f t="shared" si="1"/>
        <v>Y</v>
      </c>
      <c r="C41" s="79" t="s">
        <v>45</v>
      </c>
      <c r="D41" s="76" t="s">
        <v>380</v>
      </c>
      <c r="E41" s="82" t="s">
        <v>381</v>
      </c>
      <c r="F41" s="16" t="s">
        <v>382</v>
      </c>
      <c r="G41" s="96" t="s">
        <v>373</v>
      </c>
      <c r="H41" s="176">
        <v>200</v>
      </c>
      <c r="J41" s="167" t="s">
        <v>225</v>
      </c>
      <c r="K41" s="164" t="s">
        <v>1963</v>
      </c>
      <c r="L41" s="165" t="s">
        <v>383</v>
      </c>
      <c r="M41" s="164" t="s">
        <v>1963</v>
      </c>
      <c r="N41" s="169" t="s">
        <v>1952</v>
      </c>
      <c r="O41" s="164" t="s">
        <v>60</v>
      </c>
      <c r="P41" s="164" t="s">
        <v>51</v>
      </c>
    </row>
    <row r="42" spans="1:16" ht="57.6" x14ac:dyDescent="0.3">
      <c r="A42" s="127">
        <v>41</v>
      </c>
      <c r="B42" s="79" t="str">
        <f t="shared" si="1"/>
        <v>Y</v>
      </c>
      <c r="C42" s="79" t="s">
        <v>45</v>
      </c>
      <c r="D42" s="76" t="s">
        <v>384</v>
      </c>
      <c r="E42" s="82" t="s">
        <v>385</v>
      </c>
      <c r="F42" s="16" t="s">
        <v>386</v>
      </c>
      <c r="G42" s="96" t="s">
        <v>387</v>
      </c>
      <c r="H42" s="176">
        <v>200</v>
      </c>
      <c r="J42" s="167" t="s">
        <v>225</v>
      </c>
      <c r="K42" s="164" t="s">
        <v>1963</v>
      </c>
      <c r="L42" s="165" t="s">
        <v>252</v>
      </c>
      <c r="M42" s="164" t="s">
        <v>1963</v>
      </c>
      <c r="N42" s="169" t="s">
        <v>1952</v>
      </c>
      <c r="O42" s="164" t="s">
        <v>60</v>
      </c>
      <c r="P42" s="164" t="s">
        <v>51</v>
      </c>
    </row>
    <row r="43" spans="1:16" ht="158.4" x14ac:dyDescent="0.3">
      <c r="A43" s="127">
        <v>42</v>
      </c>
      <c r="B43" s="79" t="str">
        <f t="shared" si="1"/>
        <v>Y</v>
      </c>
      <c r="C43" s="79" t="s">
        <v>45</v>
      </c>
      <c r="D43" s="76" t="s">
        <v>388</v>
      </c>
      <c r="E43" s="82" t="s">
        <v>389</v>
      </c>
      <c r="F43" s="16" t="s">
        <v>390</v>
      </c>
      <c r="G43" s="96" t="s">
        <v>391</v>
      </c>
      <c r="H43" s="176">
        <v>200</v>
      </c>
      <c r="J43" s="167" t="s">
        <v>225</v>
      </c>
      <c r="K43" s="164" t="s">
        <v>1963</v>
      </c>
      <c r="L43" s="165" t="s">
        <v>252</v>
      </c>
      <c r="M43" s="164" t="s">
        <v>1963</v>
      </c>
      <c r="N43" s="169" t="s">
        <v>1952</v>
      </c>
      <c r="O43" s="164" t="s">
        <v>60</v>
      </c>
      <c r="P43" s="164" t="s">
        <v>51</v>
      </c>
    </row>
    <row r="44" spans="1:16" ht="158.4" x14ac:dyDescent="0.3">
      <c r="A44" s="127">
        <v>43</v>
      </c>
      <c r="B44" s="79" t="str">
        <f t="shared" si="1"/>
        <v>Y</v>
      </c>
      <c r="C44" s="79" t="s">
        <v>45</v>
      </c>
      <c r="D44" s="76" t="s">
        <v>392</v>
      </c>
      <c r="E44" s="82" t="s">
        <v>393</v>
      </c>
      <c r="F44" s="16" t="s">
        <v>394</v>
      </c>
      <c r="G44" s="96" t="s">
        <v>395</v>
      </c>
      <c r="H44" s="176">
        <v>200</v>
      </c>
      <c r="J44" s="167" t="s">
        <v>225</v>
      </c>
      <c r="K44" s="164" t="s">
        <v>1963</v>
      </c>
      <c r="L44" s="165" t="s">
        <v>252</v>
      </c>
      <c r="M44" s="164" t="s">
        <v>1963</v>
      </c>
      <c r="N44" s="169" t="s">
        <v>1952</v>
      </c>
      <c r="O44" s="164" t="s">
        <v>60</v>
      </c>
      <c r="P44" s="164" t="s">
        <v>51</v>
      </c>
    </row>
    <row r="45" spans="1:16" ht="57.6" x14ac:dyDescent="0.3">
      <c r="A45" s="127">
        <v>44</v>
      </c>
      <c r="B45" s="79" t="str">
        <f t="shared" si="1"/>
        <v>Y</v>
      </c>
      <c r="C45" s="79" t="s">
        <v>45</v>
      </c>
      <c r="D45" s="76" t="s">
        <v>396</v>
      </c>
      <c r="E45" s="82" t="s">
        <v>397</v>
      </c>
      <c r="F45" s="16" t="s">
        <v>398</v>
      </c>
      <c r="G45" s="96" t="s">
        <v>318</v>
      </c>
      <c r="H45" s="176">
        <v>200</v>
      </c>
      <c r="J45" s="167" t="s">
        <v>225</v>
      </c>
      <c r="K45" s="164" t="s">
        <v>1963</v>
      </c>
      <c r="L45" s="165" t="s">
        <v>305</v>
      </c>
      <c r="M45" s="164" t="s">
        <v>1963</v>
      </c>
      <c r="N45" s="169" t="s">
        <v>1952</v>
      </c>
      <c r="O45" s="164" t="s">
        <v>60</v>
      </c>
      <c r="P45" s="164" t="s">
        <v>51</v>
      </c>
    </row>
    <row r="46" spans="1:16" ht="57.6" x14ac:dyDescent="0.3">
      <c r="A46" s="127">
        <v>45</v>
      </c>
      <c r="B46" s="79" t="str">
        <f t="shared" si="1"/>
        <v>Y</v>
      </c>
      <c r="C46" s="79" t="s">
        <v>45</v>
      </c>
      <c r="D46" s="76" t="s">
        <v>399</v>
      </c>
      <c r="E46" s="82" t="s">
        <v>400</v>
      </c>
      <c r="F46" s="16" t="s">
        <v>401</v>
      </c>
      <c r="G46" s="96" t="s">
        <v>318</v>
      </c>
      <c r="H46" s="176">
        <v>200</v>
      </c>
      <c r="J46" s="167" t="s">
        <v>225</v>
      </c>
      <c r="K46" s="164" t="s">
        <v>1963</v>
      </c>
      <c r="L46" s="165" t="s">
        <v>310</v>
      </c>
      <c r="M46" s="164" t="s">
        <v>1963</v>
      </c>
      <c r="N46" s="169" t="s">
        <v>1952</v>
      </c>
      <c r="O46" s="164" t="s">
        <v>60</v>
      </c>
      <c r="P46" s="164" t="s">
        <v>51</v>
      </c>
    </row>
    <row r="47" spans="1:16" ht="172.8" x14ac:dyDescent="0.3">
      <c r="A47" s="127">
        <v>46</v>
      </c>
      <c r="B47" s="79" t="str">
        <f t="shared" si="1"/>
        <v>Y</v>
      </c>
      <c r="C47" s="79" t="s">
        <v>45</v>
      </c>
      <c r="D47" s="76" t="s">
        <v>402</v>
      </c>
      <c r="E47" s="82" t="s">
        <v>403</v>
      </c>
      <c r="F47" s="16" t="s">
        <v>404</v>
      </c>
      <c r="G47" s="96" t="s">
        <v>405</v>
      </c>
      <c r="H47" s="176">
        <v>200</v>
      </c>
      <c r="J47" s="167" t="s">
        <v>225</v>
      </c>
      <c r="K47" s="168">
        <v>110</v>
      </c>
      <c r="L47" s="164" t="s">
        <v>1963</v>
      </c>
      <c r="M47" s="164" t="s">
        <v>1963</v>
      </c>
      <c r="N47" s="169" t="s">
        <v>1952</v>
      </c>
      <c r="O47" s="164" t="s">
        <v>60</v>
      </c>
      <c r="P47" s="164" t="s">
        <v>51</v>
      </c>
    </row>
    <row r="48" spans="1:16" ht="172.8" x14ac:dyDescent="0.3">
      <c r="A48" s="127">
        <v>47</v>
      </c>
      <c r="B48" s="79" t="str">
        <f t="shared" si="1"/>
        <v>Y</v>
      </c>
      <c r="C48" s="79" t="s">
        <v>45</v>
      </c>
      <c r="D48" s="76" t="s">
        <v>406</v>
      </c>
      <c r="E48" s="82" t="s">
        <v>407</v>
      </c>
      <c r="F48" s="16" t="s">
        <v>408</v>
      </c>
      <c r="G48" s="96" t="s">
        <v>409</v>
      </c>
      <c r="H48" s="176">
        <v>200</v>
      </c>
      <c r="J48" s="167" t="s">
        <v>225</v>
      </c>
      <c r="K48" s="168">
        <v>220</v>
      </c>
      <c r="L48" s="164" t="s">
        <v>1963</v>
      </c>
      <c r="M48" s="164" t="s">
        <v>1963</v>
      </c>
      <c r="N48" s="169" t="s">
        <v>1952</v>
      </c>
      <c r="O48" s="164" t="s">
        <v>60</v>
      </c>
      <c r="P48" s="164" t="s">
        <v>51</v>
      </c>
    </row>
    <row r="49" spans="1:18" ht="172.8" x14ac:dyDescent="0.3">
      <c r="A49" s="127">
        <v>48</v>
      </c>
      <c r="B49" s="79" t="str">
        <f t="shared" si="1"/>
        <v>Y</v>
      </c>
      <c r="C49" s="79" t="s">
        <v>45</v>
      </c>
      <c r="D49" s="76" t="s">
        <v>410</v>
      </c>
      <c r="E49" s="82" t="s">
        <v>411</v>
      </c>
      <c r="F49" s="16" t="s">
        <v>412</v>
      </c>
      <c r="G49" s="96" t="s">
        <v>413</v>
      </c>
      <c r="H49" s="176">
        <v>200</v>
      </c>
      <c r="J49" s="167" t="s">
        <v>225</v>
      </c>
      <c r="K49" s="164" t="s">
        <v>1963</v>
      </c>
      <c r="L49" s="165" t="s">
        <v>305</v>
      </c>
      <c r="M49" s="164" t="s">
        <v>1963</v>
      </c>
      <c r="N49" s="169" t="s">
        <v>1952</v>
      </c>
      <c r="O49" s="164" t="s">
        <v>60</v>
      </c>
      <c r="P49" s="164" t="s">
        <v>51</v>
      </c>
    </row>
    <row r="50" spans="1:18" ht="172.8" x14ac:dyDescent="0.3">
      <c r="A50" s="127">
        <v>49</v>
      </c>
      <c r="B50" s="79" t="str">
        <f t="shared" si="1"/>
        <v>Y</v>
      </c>
      <c r="C50" s="79" t="s">
        <v>45</v>
      </c>
      <c r="D50" s="76" t="s">
        <v>414</v>
      </c>
      <c r="E50" s="82" t="s">
        <v>415</v>
      </c>
      <c r="F50" s="16" t="s">
        <v>416</v>
      </c>
      <c r="G50" s="96" t="s">
        <v>417</v>
      </c>
      <c r="H50" s="176">
        <v>200</v>
      </c>
      <c r="J50" s="167" t="s">
        <v>225</v>
      </c>
      <c r="K50" s="164" t="s">
        <v>1963</v>
      </c>
      <c r="L50" s="165" t="s">
        <v>310</v>
      </c>
      <c r="M50" s="164" t="s">
        <v>1963</v>
      </c>
      <c r="N50" s="169" t="s">
        <v>1952</v>
      </c>
      <c r="O50" s="164" t="s">
        <v>60</v>
      </c>
      <c r="P50" s="164" t="s">
        <v>51</v>
      </c>
    </row>
    <row r="51" spans="1:18" ht="216" x14ac:dyDescent="0.3">
      <c r="A51" s="127">
        <v>50</v>
      </c>
      <c r="B51" s="79" t="str">
        <f t="shared" si="1"/>
        <v>Y</v>
      </c>
      <c r="C51" s="79" t="s">
        <v>45</v>
      </c>
      <c r="D51" s="76" t="s">
        <v>418</v>
      </c>
      <c r="E51" s="82" t="s">
        <v>419</v>
      </c>
      <c r="F51" s="16" t="s">
        <v>420</v>
      </c>
      <c r="G51" s="96" t="s">
        <v>421</v>
      </c>
      <c r="H51" s="176">
        <v>200</v>
      </c>
      <c r="J51" s="167" t="s">
        <v>225</v>
      </c>
      <c r="K51" s="164" t="s">
        <v>1963</v>
      </c>
      <c r="L51" s="165" t="s">
        <v>305</v>
      </c>
      <c r="M51" s="164" t="s">
        <v>1963</v>
      </c>
      <c r="N51" s="169" t="s">
        <v>1952</v>
      </c>
      <c r="O51" s="164" t="s">
        <v>60</v>
      </c>
      <c r="P51" s="164" t="s">
        <v>51</v>
      </c>
    </row>
    <row r="52" spans="1:18" ht="216" x14ac:dyDescent="0.3">
      <c r="A52" s="127">
        <v>51</v>
      </c>
      <c r="B52" s="79" t="str">
        <f t="shared" si="1"/>
        <v>Y</v>
      </c>
      <c r="C52" s="79" t="s">
        <v>45</v>
      </c>
      <c r="D52" s="76" t="s">
        <v>422</v>
      </c>
      <c r="E52" s="82" t="s">
        <v>423</v>
      </c>
      <c r="F52" s="16" t="s">
        <v>424</v>
      </c>
      <c r="G52" s="96" t="s">
        <v>425</v>
      </c>
      <c r="H52" s="176">
        <v>200</v>
      </c>
      <c r="J52" s="167" t="s">
        <v>225</v>
      </c>
      <c r="K52" s="164" t="s">
        <v>1963</v>
      </c>
      <c r="L52" s="165" t="s">
        <v>310</v>
      </c>
      <c r="M52" s="164" t="s">
        <v>1963</v>
      </c>
      <c r="N52" s="169" t="s">
        <v>1952</v>
      </c>
      <c r="O52" s="164" t="s">
        <v>60</v>
      </c>
      <c r="P52" s="164" t="s">
        <v>51</v>
      </c>
    </row>
    <row r="53" spans="1:18" ht="288" x14ac:dyDescent="0.3">
      <c r="A53" s="160">
        <v>52</v>
      </c>
      <c r="B53" s="161" t="str">
        <f t="shared" si="1"/>
        <v>N</v>
      </c>
      <c r="C53" s="161" t="s">
        <v>113</v>
      </c>
      <c r="D53" s="162" t="s">
        <v>426</v>
      </c>
      <c r="E53" s="180" t="s">
        <v>427</v>
      </c>
      <c r="F53" s="179" t="s">
        <v>428</v>
      </c>
      <c r="G53" s="181" t="s">
        <v>429</v>
      </c>
      <c r="H53" s="160">
        <v>400</v>
      </c>
      <c r="I53" s="209" t="s">
        <v>1962</v>
      </c>
      <c r="J53" s="171" t="s">
        <v>225</v>
      </c>
      <c r="K53" s="161" t="s">
        <v>1963</v>
      </c>
      <c r="L53" s="161" t="s">
        <v>1963</v>
      </c>
      <c r="M53" s="161" t="s">
        <v>1977</v>
      </c>
      <c r="N53" s="173" t="s">
        <v>1952</v>
      </c>
      <c r="O53" s="161" t="s">
        <v>60</v>
      </c>
      <c r="P53" s="161" t="s">
        <v>51</v>
      </c>
    </row>
    <row r="54" spans="1:18" ht="43.2" x14ac:dyDescent="0.3">
      <c r="A54" s="160">
        <v>53</v>
      </c>
      <c r="B54" s="161" t="s">
        <v>113</v>
      </c>
      <c r="C54" s="161" t="s">
        <v>113</v>
      </c>
      <c r="D54" s="162" t="s">
        <v>430</v>
      </c>
      <c r="E54" s="161" t="s">
        <v>431</v>
      </c>
      <c r="F54" s="161" t="s">
        <v>432</v>
      </c>
      <c r="G54" s="170" t="s">
        <v>433</v>
      </c>
      <c r="H54" s="171">
        <v>401</v>
      </c>
      <c r="J54" s="171" t="s">
        <v>225</v>
      </c>
      <c r="K54" s="172"/>
      <c r="L54" s="161" t="s">
        <v>434</v>
      </c>
      <c r="M54" s="161"/>
      <c r="N54" s="173" t="s">
        <v>157</v>
      </c>
      <c r="O54" s="161" t="s">
        <v>60</v>
      </c>
      <c r="P54" s="161" t="s">
        <v>51</v>
      </c>
      <c r="Q54" s="77"/>
      <c r="R54" s="77"/>
    </row>
    <row r="55" spans="1:18" ht="57.6" x14ac:dyDescent="0.3">
      <c r="A55" s="160">
        <v>54</v>
      </c>
      <c r="B55" s="161" t="s">
        <v>113</v>
      </c>
      <c r="C55" s="161" t="s">
        <v>113</v>
      </c>
      <c r="D55" s="162" t="s">
        <v>435</v>
      </c>
      <c r="E55" s="161" t="s">
        <v>436</v>
      </c>
      <c r="F55" s="161" t="s">
        <v>437</v>
      </c>
      <c r="G55" s="170" t="s">
        <v>438</v>
      </c>
      <c r="H55" s="172" t="s">
        <v>439</v>
      </c>
      <c r="J55" s="171" t="s">
        <v>225</v>
      </c>
      <c r="K55" s="172"/>
      <c r="L55" s="161"/>
      <c r="M55" s="163" t="s">
        <v>273</v>
      </c>
      <c r="N55" s="173" t="s">
        <v>157</v>
      </c>
      <c r="O55" s="161" t="s">
        <v>60</v>
      </c>
      <c r="P55" s="161" t="s">
        <v>51</v>
      </c>
      <c r="Q55" s="77"/>
      <c r="R55" s="77"/>
    </row>
    <row r="56" spans="1:18" ht="72" x14ac:dyDescent="0.3">
      <c r="A56" s="160">
        <v>55</v>
      </c>
      <c r="B56" s="161" t="s">
        <v>113</v>
      </c>
      <c r="C56" s="161" t="s">
        <v>113</v>
      </c>
      <c r="D56" s="162" t="s">
        <v>440</v>
      </c>
      <c r="E56" s="161" t="s">
        <v>441</v>
      </c>
      <c r="F56" s="161" t="s">
        <v>442</v>
      </c>
      <c r="G56" s="170" t="s">
        <v>443</v>
      </c>
      <c r="H56" s="160"/>
      <c r="J56" s="160"/>
      <c r="K56" s="172"/>
      <c r="L56" s="161"/>
      <c r="M56" s="161"/>
      <c r="N56" s="160"/>
      <c r="O56" s="160"/>
      <c r="P56" s="160"/>
      <c r="Q56" s="77"/>
      <c r="R56" s="77"/>
    </row>
    <row r="57" spans="1:18" ht="57.6" x14ac:dyDescent="0.3">
      <c r="A57" s="160">
        <v>56</v>
      </c>
      <c r="B57" s="161" t="s">
        <v>113</v>
      </c>
      <c r="C57" s="161" t="s">
        <v>113</v>
      </c>
      <c r="D57" s="162" t="s">
        <v>444</v>
      </c>
      <c r="E57" s="161" t="s">
        <v>445</v>
      </c>
      <c r="F57" s="161" t="s">
        <v>446</v>
      </c>
      <c r="G57" s="170" t="s">
        <v>447</v>
      </c>
      <c r="H57" s="160"/>
      <c r="J57" s="171" t="s">
        <v>225</v>
      </c>
      <c r="K57" s="172"/>
      <c r="L57" s="161"/>
      <c r="M57" s="161"/>
      <c r="N57" s="173" t="s">
        <v>157</v>
      </c>
      <c r="O57" s="161" t="s">
        <v>60</v>
      </c>
      <c r="P57" s="161" t="s">
        <v>51</v>
      </c>
      <c r="Q57" s="77"/>
      <c r="R57" s="77"/>
    </row>
    <row r="58" spans="1:18" ht="57.6" x14ac:dyDescent="0.3">
      <c r="A58" s="160">
        <v>57</v>
      </c>
      <c r="B58" s="161" t="s">
        <v>113</v>
      </c>
      <c r="C58" s="161" t="s">
        <v>113</v>
      </c>
      <c r="D58" s="162" t="s">
        <v>448</v>
      </c>
      <c r="E58" s="180" t="s">
        <v>449</v>
      </c>
      <c r="F58" s="179" t="s">
        <v>450</v>
      </c>
      <c r="G58" s="181" t="s">
        <v>447</v>
      </c>
      <c r="H58" s="182"/>
      <c r="J58" s="171" t="s">
        <v>225</v>
      </c>
      <c r="K58" s="183"/>
      <c r="L58" s="178"/>
      <c r="M58" s="178"/>
      <c r="N58" s="173" t="s">
        <v>157</v>
      </c>
      <c r="O58" s="161" t="s">
        <v>60</v>
      </c>
      <c r="P58" s="161" t="s">
        <v>51</v>
      </c>
    </row>
    <row r="59" spans="1:18" ht="72" x14ac:dyDescent="0.3">
      <c r="A59" s="160">
        <v>58</v>
      </c>
      <c r="B59" s="161" t="s">
        <v>113</v>
      </c>
      <c r="C59" s="161" t="s">
        <v>113</v>
      </c>
      <c r="D59" s="162" t="s">
        <v>451</v>
      </c>
      <c r="E59" s="180" t="s">
        <v>452</v>
      </c>
      <c r="F59" s="179" t="s">
        <v>453</v>
      </c>
      <c r="G59" s="181" t="s">
        <v>443</v>
      </c>
      <c r="H59" s="160"/>
      <c r="J59" s="171" t="s">
        <v>225</v>
      </c>
      <c r="K59" s="183"/>
      <c r="L59" s="178"/>
      <c r="M59" s="178"/>
      <c r="N59" s="173" t="s">
        <v>157</v>
      </c>
      <c r="O59" s="161" t="s">
        <v>60</v>
      </c>
      <c r="P59" s="161" t="s">
        <v>51</v>
      </c>
    </row>
    <row r="60" spans="1:18" ht="72" x14ac:dyDescent="0.3">
      <c r="A60" s="160">
        <v>59</v>
      </c>
      <c r="B60" s="161" t="s">
        <v>113</v>
      </c>
      <c r="C60" s="161" t="s">
        <v>113</v>
      </c>
      <c r="D60" s="162" t="s">
        <v>454</v>
      </c>
      <c r="E60" s="180" t="s">
        <v>455</v>
      </c>
      <c r="F60" s="179" t="s">
        <v>456</v>
      </c>
      <c r="G60" s="181" t="s">
        <v>443</v>
      </c>
      <c r="H60" s="160"/>
      <c r="J60" s="171" t="s">
        <v>225</v>
      </c>
      <c r="K60" s="183"/>
      <c r="L60" s="178"/>
      <c r="M60" s="178"/>
      <c r="N60" s="173" t="s">
        <v>157</v>
      </c>
      <c r="O60" s="161" t="s">
        <v>60</v>
      </c>
      <c r="P60" s="161" t="s">
        <v>51</v>
      </c>
    </row>
    <row r="61" spans="1:18" ht="244.8" x14ac:dyDescent="0.3">
      <c r="A61" s="160">
        <v>60</v>
      </c>
      <c r="B61" s="161" t="s">
        <v>113</v>
      </c>
      <c r="C61" s="161" t="s">
        <v>113</v>
      </c>
      <c r="D61" s="162" t="s">
        <v>457</v>
      </c>
      <c r="E61" s="180" t="s">
        <v>458</v>
      </c>
      <c r="F61" s="179" t="s">
        <v>459</v>
      </c>
      <c r="G61" s="181" t="s">
        <v>460</v>
      </c>
      <c r="H61" s="160"/>
      <c r="J61" s="171" t="s">
        <v>225</v>
      </c>
      <c r="K61" s="183"/>
      <c r="L61" s="178"/>
      <c r="M61" s="178"/>
      <c r="N61" s="173" t="s">
        <v>157</v>
      </c>
      <c r="O61" s="161" t="s">
        <v>60</v>
      </c>
      <c r="P61" s="161"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outlinePr summaryBelow="0"/>
  </sheetPr>
  <dimension ref="A1:AO115"/>
  <sheetViews>
    <sheetView topLeftCell="T1" zoomScale="70" zoomScaleNormal="70" workbookViewId="0">
      <pane ySplit="1" topLeftCell="A2" activePane="bottomLeft" state="frozen"/>
      <selection activeCell="Q5" sqref="Q5"/>
      <selection pane="bottomLeft" activeCell="AF1" sqref="AF1"/>
    </sheetView>
  </sheetViews>
  <sheetFormatPr defaultRowHeight="14.4" x14ac:dyDescent="0.3"/>
  <cols>
    <col min="1" max="1" width="7.5546875" style="27" bestFit="1" customWidth="1"/>
    <col min="2" max="2" width="18.33203125" style="26" bestFit="1" customWidth="1"/>
    <col min="3" max="3" width="11.44140625" style="28" bestFit="1" customWidth="1"/>
    <col min="4" max="4" width="48.109375" style="77" customWidth="1"/>
    <col min="5" max="5" width="70" style="84" bestFit="1" customWidth="1"/>
    <col min="6" max="6" width="34.44140625" style="26" bestFit="1" customWidth="1"/>
    <col min="7" max="7" width="48.88671875" style="84" bestFit="1" customWidth="1"/>
    <col min="8" max="8" width="19.88671875" style="27" bestFit="1" customWidth="1"/>
    <col min="9" max="9" width="19.88671875" style="27" customWidth="1"/>
    <col min="10" max="10" width="24" style="77" bestFit="1" customWidth="1"/>
    <col min="11" max="11" width="28" style="26" bestFit="1" customWidth="1"/>
    <col min="12" max="12" width="11.44140625" style="28" bestFit="1" customWidth="1"/>
    <col min="13" max="13" width="16" style="28" bestFit="1" customWidth="1"/>
    <col min="14" max="14" width="12.44140625" style="28" bestFit="1" customWidth="1"/>
    <col min="15" max="15" width="22" style="24" bestFit="1" customWidth="1"/>
    <col min="16" max="16" width="26.6640625" style="26" bestFit="1" customWidth="1"/>
    <col min="17" max="17" width="31.88671875" style="28" bestFit="1" customWidth="1"/>
    <col min="18" max="18" width="22.44140625" style="28" bestFit="1" customWidth="1"/>
    <col min="19" max="19" width="22.44140625" style="28" customWidth="1"/>
    <col min="20" max="20" width="16.109375" bestFit="1" customWidth="1"/>
    <col min="21" max="21" width="18" style="28" bestFit="1" customWidth="1"/>
    <col min="22" max="22" width="29.6640625" style="62" bestFit="1" customWidth="1"/>
    <col min="23" max="23" width="28.33203125" bestFit="1" customWidth="1"/>
    <col min="24" max="24" width="17.88671875" bestFit="1" customWidth="1"/>
    <col min="25" max="25" width="29" style="62" bestFit="1" customWidth="1"/>
    <col min="26" max="26" width="32.109375" style="28" bestFit="1" customWidth="1"/>
    <col min="27" max="27" width="15.6640625" style="30" bestFit="1" customWidth="1"/>
    <col min="28" max="28" width="17.88671875" style="28" bestFit="1" customWidth="1"/>
    <col min="29" max="29" width="19.33203125" style="31" bestFit="1" customWidth="1"/>
    <col min="30" max="30" width="21.33203125" style="31" bestFit="1" customWidth="1"/>
    <col min="31" max="31" width="16.44140625" style="28" bestFit="1" customWidth="1"/>
    <col min="32" max="32" width="19" style="28" bestFit="1" customWidth="1"/>
    <col min="33" max="33" width="15.6640625" style="28" bestFit="1" customWidth="1"/>
    <col min="34" max="34" width="23.109375" style="28" bestFit="1" customWidth="1"/>
    <col min="35" max="35" width="14.33203125" style="28" bestFit="1" customWidth="1"/>
    <col min="36" max="41" width="13.5546875" bestFit="1" customWidth="1"/>
  </cols>
  <sheetData>
    <row r="1" spans="1:41" ht="28.8" x14ac:dyDescent="0.3">
      <c r="A1" s="1" t="s">
        <v>24</v>
      </c>
      <c r="B1" s="2" t="s">
        <v>25</v>
      </c>
      <c r="C1" s="2" t="s">
        <v>26</v>
      </c>
      <c r="D1" s="75" t="s">
        <v>27</v>
      </c>
      <c r="E1" s="78" t="s">
        <v>28</v>
      </c>
      <c r="F1" s="2" t="s">
        <v>29</v>
      </c>
      <c r="G1" s="81" t="s">
        <v>30</v>
      </c>
      <c r="H1" s="3" t="s">
        <v>31</v>
      </c>
      <c r="I1" s="3" t="s">
        <v>1947</v>
      </c>
      <c r="J1" s="109" t="s">
        <v>461</v>
      </c>
      <c r="K1" s="4" t="s">
        <v>32</v>
      </c>
      <c r="L1" s="5" t="s">
        <v>33</v>
      </c>
      <c r="M1" s="5" t="s">
        <v>35</v>
      </c>
      <c r="N1" s="5" t="s">
        <v>34</v>
      </c>
      <c r="O1" s="50" t="s">
        <v>36</v>
      </c>
      <c r="P1" s="5" t="s">
        <v>37</v>
      </c>
      <c r="Q1" s="5" t="s">
        <v>151</v>
      </c>
      <c r="R1" s="5" t="s">
        <v>38</v>
      </c>
      <c r="S1" s="5" t="s">
        <v>2169</v>
      </c>
      <c r="T1" s="6" t="s">
        <v>462</v>
      </c>
      <c r="U1" s="6" t="s">
        <v>40</v>
      </c>
      <c r="V1" s="59" t="s">
        <v>463</v>
      </c>
      <c r="W1" s="6" t="s">
        <v>464</v>
      </c>
      <c r="X1" s="6" t="s">
        <v>465</v>
      </c>
      <c r="Y1" s="59" t="s">
        <v>466</v>
      </c>
      <c r="Z1" s="6" t="s">
        <v>467</v>
      </c>
      <c r="AA1" s="9" t="s">
        <v>468</v>
      </c>
      <c r="AB1" s="6" t="s">
        <v>469</v>
      </c>
      <c r="AC1" s="10" t="s">
        <v>1992</v>
      </c>
      <c r="AD1" s="10" t="s">
        <v>470</v>
      </c>
      <c r="AE1" s="6" t="s">
        <v>471</v>
      </c>
      <c r="AF1" s="6" t="s">
        <v>472</v>
      </c>
      <c r="AG1" s="6" t="s">
        <v>473</v>
      </c>
      <c r="AH1" s="6" t="s">
        <v>474</v>
      </c>
      <c r="AI1" s="6" t="s">
        <v>475</v>
      </c>
      <c r="AJ1" s="11" t="s">
        <v>476</v>
      </c>
      <c r="AK1" s="11" t="s">
        <v>477</v>
      </c>
      <c r="AL1" s="11" t="s">
        <v>41</v>
      </c>
      <c r="AM1" s="11" t="s">
        <v>42</v>
      </c>
      <c r="AN1" s="11" t="s">
        <v>43</v>
      </c>
      <c r="AO1" s="11" t="s">
        <v>44</v>
      </c>
    </row>
    <row r="2" spans="1:41" ht="288" x14ac:dyDescent="0.3">
      <c r="A2" s="131">
        <v>1</v>
      </c>
      <c r="B2" s="79" t="s">
        <v>45</v>
      </c>
      <c r="C2" s="79" t="s">
        <v>45</v>
      </c>
      <c r="D2" s="76" t="s">
        <v>478</v>
      </c>
      <c r="E2" s="79" t="s">
        <v>479</v>
      </c>
      <c r="F2" s="79" t="s">
        <v>480</v>
      </c>
      <c r="G2" s="79" t="s">
        <v>481</v>
      </c>
      <c r="H2" s="168">
        <v>200</v>
      </c>
      <c r="I2" s="131"/>
      <c r="J2" s="164" t="s">
        <v>50</v>
      </c>
      <c r="K2" s="164" t="s">
        <v>482</v>
      </c>
      <c r="L2" s="164" t="s">
        <v>51</v>
      </c>
      <c r="M2" s="164" t="s">
        <v>53</v>
      </c>
      <c r="N2" s="164" t="s">
        <v>52</v>
      </c>
      <c r="O2" s="198" t="s">
        <v>1952</v>
      </c>
      <c r="P2" s="165" t="s">
        <v>60</v>
      </c>
      <c r="Q2" s="164" t="s">
        <v>483</v>
      </c>
      <c r="R2" s="164" t="s">
        <v>51</v>
      </c>
      <c r="S2" s="164"/>
      <c r="T2" s="166" t="s">
        <v>484</v>
      </c>
      <c r="U2" s="164" t="s">
        <v>55</v>
      </c>
      <c r="V2" s="203" t="s">
        <v>1978</v>
      </c>
      <c r="W2" s="164" t="s">
        <v>485</v>
      </c>
      <c r="X2" s="164" t="s">
        <v>486</v>
      </c>
      <c r="Y2" s="203" t="s">
        <v>1993</v>
      </c>
      <c r="Z2" s="164" t="s">
        <v>487</v>
      </c>
      <c r="AA2" s="169">
        <v>1</v>
      </c>
      <c r="AB2" s="164" t="s">
        <v>488</v>
      </c>
      <c r="AC2" s="199" t="s">
        <v>489</v>
      </c>
      <c r="AD2" s="199" t="s">
        <v>490</v>
      </c>
      <c r="AE2" s="164" t="s">
        <v>491</v>
      </c>
      <c r="AF2" s="164" t="s">
        <v>492</v>
      </c>
      <c r="AG2" s="164" t="s">
        <v>493</v>
      </c>
      <c r="AH2" s="164" t="s">
        <v>494</v>
      </c>
      <c r="AI2" s="164" t="s">
        <v>495</v>
      </c>
    </row>
    <row r="3" spans="1:41" ht="302.39999999999998" x14ac:dyDescent="0.3">
      <c r="A3" s="131">
        <v>2</v>
      </c>
      <c r="B3" s="79" t="s">
        <v>45</v>
      </c>
      <c r="C3" s="79" t="s">
        <v>45</v>
      </c>
      <c r="D3" s="76" t="s">
        <v>496</v>
      </c>
      <c r="E3" s="79" t="s">
        <v>497</v>
      </c>
      <c r="F3" s="79" t="s">
        <v>498</v>
      </c>
      <c r="G3" s="79" t="s">
        <v>499</v>
      </c>
      <c r="H3" s="168">
        <v>200</v>
      </c>
      <c r="I3" s="131"/>
      <c r="J3" s="164" t="s">
        <v>50</v>
      </c>
      <c r="K3" s="164" t="s">
        <v>482</v>
      </c>
      <c r="L3" s="164" t="s">
        <v>51</v>
      </c>
      <c r="M3" s="164" t="s">
        <v>53</v>
      </c>
      <c r="N3" s="164" t="s">
        <v>52</v>
      </c>
      <c r="O3" s="198" t="s">
        <v>1952</v>
      </c>
      <c r="P3" s="164" t="s">
        <v>60</v>
      </c>
      <c r="Q3" s="164" t="s">
        <v>483</v>
      </c>
      <c r="R3" s="164" t="s">
        <v>51</v>
      </c>
      <c r="S3" s="164"/>
      <c r="T3" s="166" t="s">
        <v>484</v>
      </c>
      <c r="U3" s="164" t="s">
        <v>55</v>
      </c>
      <c r="V3" s="203" t="s">
        <v>1978</v>
      </c>
      <c r="W3" s="164" t="s">
        <v>485</v>
      </c>
      <c r="X3" s="164" t="s">
        <v>517</v>
      </c>
      <c r="Y3" s="167">
        <v>500027172598</v>
      </c>
      <c r="Z3" s="164" t="s">
        <v>487</v>
      </c>
      <c r="AA3" s="168">
        <v>1</v>
      </c>
      <c r="AB3" s="164" t="s">
        <v>488</v>
      </c>
      <c r="AC3" s="199" t="s">
        <v>489</v>
      </c>
      <c r="AD3" s="199" t="s">
        <v>490</v>
      </c>
      <c r="AE3" s="164" t="s">
        <v>491</v>
      </c>
      <c r="AF3" s="164" t="s">
        <v>492</v>
      </c>
      <c r="AG3" s="164" t="s">
        <v>493</v>
      </c>
      <c r="AH3" s="164" t="s">
        <v>494</v>
      </c>
      <c r="AI3" s="164" t="s">
        <v>495</v>
      </c>
    </row>
    <row r="4" spans="1:41" ht="288" x14ac:dyDescent="0.3">
      <c r="A4" s="131">
        <v>3</v>
      </c>
      <c r="B4" s="79" t="s">
        <v>45</v>
      </c>
      <c r="C4" s="79" t="s">
        <v>45</v>
      </c>
      <c r="D4" s="76" t="s">
        <v>500</v>
      </c>
      <c r="E4" s="79" t="s">
        <v>501</v>
      </c>
      <c r="F4" s="79" t="s">
        <v>502</v>
      </c>
      <c r="G4" s="79" t="s">
        <v>503</v>
      </c>
      <c r="H4" s="168">
        <v>200</v>
      </c>
      <c r="I4" s="131"/>
      <c r="J4" s="166" t="s">
        <v>50</v>
      </c>
      <c r="K4" s="164" t="s">
        <v>482</v>
      </c>
      <c r="L4" s="164" t="s">
        <v>51</v>
      </c>
      <c r="M4" s="164" t="s">
        <v>53</v>
      </c>
      <c r="N4" s="164" t="s">
        <v>52</v>
      </c>
      <c r="O4" s="198" t="s">
        <v>1952</v>
      </c>
      <c r="P4" s="164" t="s">
        <v>60</v>
      </c>
      <c r="Q4" s="164" t="s">
        <v>483</v>
      </c>
      <c r="R4" s="164" t="s">
        <v>51</v>
      </c>
      <c r="S4" s="164"/>
      <c r="T4" s="166" t="s">
        <v>520</v>
      </c>
      <c r="U4" s="164" t="s">
        <v>55</v>
      </c>
      <c r="V4" s="203" t="s">
        <v>1978</v>
      </c>
      <c r="W4" s="164" t="s">
        <v>485</v>
      </c>
      <c r="X4" s="164" t="s">
        <v>509</v>
      </c>
      <c r="Y4" s="203" t="s">
        <v>510</v>
      </c>
      <c r="Z4" s="164" t="s">
        <v>487</v>
      </c>
      <c r="AA4" s="168">
        <v>1</v>
      </c>
      <c r="AB4" s="164" t="s">
        <v>488</v>
      </c>
      <c r="AC4" s="199" t="s">
        <v>489</v>
      </c>
      <c r="AD4" s="199" t="s">
        <v>490</v>
      </c>
      <c r="AE4" s="164" t="s">
        <v>491</v>
      </c>
      <c r="AF4" s="164" t="s">
        <v>492</v>
      </c>
      <c r="AG4" s="164" t="s">
        <v>493</v>
      </c>
      <c r="AH4" s="164" t="s">
        <v>494</v>
      </c>
      <c r="AI4" s="164" t="s">
        <v>495</v>
      </c>
    </row>
    <row r="5" spans="1:41" ht="302.39999999999998" x14ac:dyDescent="0.3">
      <c r="A5" s="131">
        <v>4</v>
      </c>
      <c r="B5" s="79" t="s">
        <v>45</v>
      </c>
      <c r="C5" s="79" t="s">
        <v>45</v>
      </c>
      <c r="D5" s="76" t="s">
        <v>504</v>
      </c>
      <c r="E5" s="79" t="s">
        <v>505</v>
      </c>
      <c r="F5" s="79" t="s">
        <v>506</v>
      </c>
      <c r="G5" s="79" t="s">
        <v>507</v>
      </c>
      <c r="H5" s="168">
        <v>200</v>
      </c>
      <c r="I5" s="131"/>
      <c r="J5" s="166" t="s">
        <v>50</v>
      </c>
      <c r="K5" s="164" t="s">
        <v>482</v>
      </c>
      <c r="L5" s="164" t="s">
        <v>51</v>
      </c>
      <c r="M5" s="164" t="s">
        <v>53</v>
      </c>
      <c r="N5" s="164" t="s">
        <v>52</v>
      </c>
      <c r="O5" s="198" t="s">
        <v>1952</v>
      </c>
      <c r="P5" s="164" t="s">
        <v>60</v>
      </c>
      <c r="Q5" s="164" t="s">
        <v>483</v>
      </c>
      <c r="R5" s="164" t="s">
        <v>51</v>
      </c>
      <c r="S5" s="164"/>
      <c r="T5" s="166" t="s">
        <v>171</v>
      </c>
      <c r="U5" s="164" t="s">
        <v>55</v>
      </c>
      <c r="V5" s="203" t="s">
        <v>1978</v>
      </c>
      <c r="W5" s="164" t="s">
        <v>485</v>
      </c>
      <c r="X5" s="164" t="s">
        <v>509</v>
      </c>
      <c r="Y5" s="203" t="s">
        <v>510</v>
      </c>
      <c r="Z5" s="164" t="s">
        <v>487</v>
      </c>
      <c r="AA5" s="168">
        <v>1</v>
      </c>
      <c r="AB5" s="164" t="s">
        <v>488</v>
      </c>
      <c r="AC5" s="199" t="s">
        <v>489</v>
      </c>
      <c r="AD5" s="199" t="s">
        <v>490</v>
      </c>
      <c r="AE5" s="164" t="s">
        <v>491</v>
      </c>
      <c r="AF5" s="164" t="s">
        <v>492</v>
      </c>
      <c r="AG5" s="164" t="s">
        <v>493</v>
      </c>
      <c r="AH5" s="164" t="s">
        <v>494</v>
      </c>
      <c r="AI5" s="164" t="s">
        <v>495</v>
      </c>
    </row>
    <row r="6" spans="1:41" ht="57.6" x14ac:dyDescent="0.3">
      <c r="A6" s="131">
        <v>5</v>
      </c>
      <c r="B6" s="79" t="s">
        <v>45</v>
      </c>
      <c r="C6" s="79" t="s">
        <v>45</v>
      </c>
      <c r="D6" s="76" t="s">
        <v>511</v>
      </c>
      <c r="E6" s="79" t="s">
        <v>512</v>
      </c>
      <c r="F6" s="79" t="s">
        <v>513</v>
      </c>
      <c r="G6" s="79" t="s">
        <v>514</v>
      </c>
      <c r="H6" s="168">
        <v>400</v>
      </c>
      <c r="I6" s="131" t="s">
        <v>1995</v>
      </c>
      <c r="J6" s="164" t="s">
        <v>50</v>
      </c>
      <c r="K6" s="164" t="s">
        <v>482</v>
      </c>
      <c r="L6" s="164" t="s">
        <v>51</v>
      </c>
      <c r="M6" s="164" t="s">
        <v>53</v>
      </c>
      <c r="N6" s="164" t="s">
        <v>52</v>
      </c>
      <c r="O6" s="198" t="s">
        <v>1952</v>
      </c>
      <c r="P6" s="164" t="s">
        <v>60</v>
      </c>
      <c r="Q6" s="164" t="s">
        <v>483</v>
      </c>
      <c r="R6" s="164" t="s">
        <v>51</v>
      </c>
      <c r="S6" s="164"/>
      <c r="T6" s="166" t="s">
        <v>484</v>
      </c>
      <c r="U6" s="164" t="s">
        <v>55</v>
      </c>
      <c r="V6" s="203" t="s">
        <v>1978</v>
      </c>
      <c r="W6" s="164" t="s">
        <v>485</v>
      </c>
      <c r="X6" s="164" t="s">
        <v>486</v>
      </c>
      <c r="Y6" s="167">
        <v>200061812368</v>
      </c>
      <c r="Z6" s="164" t="s">
        <v>487</v>
      </c>
      <c r="AA6" s="168" t="s">
        <v>1977</v>
      </c>
      <c r="AB6" s="164" t="s">
        <v>488</v>
      </c>
      <c r="AC6" s="199" t="s">
        <v>489</v>
      </c>
      <c r="AD6" s="199" t="s">
        <v>490</v>
      </c>
      <c r="AE6" s="164" t="s">
        <v>491</v>
      </c>
      <c r="AF6" s="164" t="s">
        <v>492</v>
      </c>
      <c r="AG6" s="164" t="s">
        <v>493</v>
      </c>
      <c r="AH6" s="164" t="s">
        <v>494</v>
      </c>
      <c r="AI6" s="164" t="s">
        <v>495</v>
      </c>
    </row>
    <row r="7" spans="1:41" ht="57.6" x14ac:dyDescent="0.3">
      <c r="A7" s="131">
        <v>6</v>
      </c>
      <c r="B7" s="79" t="s">
        <v>45</v>
      </c>
      <c r="C7" s="79" t="s">
        <v>45</v>
      </c>
      <c r="D7" s="76" t="s">
        <v>515</v>
      </c>
      <c r="E7" s="79" t="s">
        <v>516</v>
      </c>
      <c r="F7" s="79" t="s">
        <v>513</v>
      </c>
      <c r="G7" s="79" t="s">
        <v>514</v>
      </c>
      <c r="H7" s="168">
        <v>400</v>
      </c>
      <c r="I7" s="131" t="s">
        <v>1995</v>
      </c>
      <c r="J7" s="164" t="s">
        <v>50</v>
      </c>
      <c r="K7" s="164" t="s">
        <v>482</v>
      </c>
      <c r="L7" s="164" t="s">
        <v>51</v>
      </c>
      <c r="M7" s="164" t="s">
        <v>53</v>
      </c>
      <c r="N7" s="164" t="s">
        <v>52</v>
      </c>
      <c r="O7" s="198" t="s">
        <v>1952</v>
      </c>
      <c r="P7" s="164" t="s">
        <v>60</v>
      </c>
      <c r="Q7" s="164" t="s">
        <v>483</v>
      </c>
      <c r="R7" s="164" t="s">
        <v>51</v>
      </c>
      <c r="S7" s="164"/>
      <c r="T7" s="166" t="s">
        <v>484</v>
      </c>
      <c r="U7" s="164" t="s">
        <v>55</v>
      </c>
      <c r="V7" s="203" t="s">
        <v>1978</v>
      </c>
      <c r="W7" s="164" t="s">
        <v>485</v>
      </c>
      <c r="X7" s="164" t="s">
        <v>517</v>
      </c>
      <c r="Y7" s="167">
        <v>500027172598</v>
      </c>
      <c r="Z7" s="164" t="s">
        <v>487</v>
      </c>
      <c r="AA7" s="168" t="s">
        <v>1981</v>
      </c>
      <c r="AB7" s="164" t="s">
        <v>488</v>
      </c>
      <c r="AC7" s="199" t="s">
        <v>489</v>
      </c>
      <c r="AD7" s="199" t="s">
        <v>490</v>
      </c>
      <c r="AE7" s="164" t="s">
        <v>491</v>
      </c>
      <c r="AF7" s="164" t="s">
        <v>492</v>
      </c>
      <c r="AG7" s="164" t="s">
        <v>493</v>
      </c>
      <c r="AH7" s="164" t="s">
        <v>494</v>
      </c>
      <c r="AI7" s="164" t="s">
        <v>495</v>
      </c>
    </row>
    <row r="8" spans="1:41" ht="57.6" x14ac:dyDescent="0.3">
      <c r="A8" s="131">
        <v>7</v>
      </c>
      <c r="B8" s="79" t="s">
        <v>45</v>
      </c>
      <c r="C8" s="79" t="s">
        <v>45</v>
      </c>
      <c r="D8" s="76" t="s">
        <v>518</v>
      </c>
      <c r="E8" s="79" t="s">
        <v>519</v>
      </c>
      <c r="F8" s="79" t="s">
        <v>513</v>
      </c>
      <c r="G8" s="79" t="s">
        <v>514</v>
      </c>
      <c r="H8" s="168">
        <v>400</v>
      </c>
      <c r="I8" s="131" t="s">
        <v>1995</v>
      </c>
      <c r="J8" s="166" t="s">
        <v>50</v>
      </c>
      <c r="K8" s="164" t="s">
        <v>482</v>
      </c>
      <c r="L8" s="164" t="s">
        <v>51</v>
      </c>
      <c r="M8" s="164" t="s">
        <v>53</v>
      </c>
      <c r="N8" s="164" t="s">
        <v>52</v>
      </c>
      <c r="O8" s="198" t="s">
        <v>1952</v>
      </c>
      <c r="P8" s="164" t="s">
        <v>60</v>
      </c>
      <c r="Q8" s="164" t="s">
        <v>483</v>
      </c>
      <c r="R8" s="164" t="s">
        <v>51</v>
      </c>
      <c r="S8" s="164"/>
      <c r="T8" s="166" t="s">
        <v>520</v>
      </c>
      <c r="U8" s="164" t="s">
        <v>55</v>
      </c>
      <c r="V8" s="203" t="s">
        <v>1978</v>
      </c>
      <c r="W8" s="164" t="s">
        <v>485</v>
      </c>
      <c r="X8" s="164" t="s">
        <v>509</v>
      </c>
      <c r="Y8" s="203" t="s">
        <v>510</v>
      </c>
      <c r="Z8" s="164" t="s">
        <v>487</v>
      </c>
      <c r="AA8" s="168" t="s">
        <v>1981</v>
      </c>
      <c r="AB8" s="164" t="s">
        <v>488</v>
      </c>
      <c r="AC8" s="199" t="s">
        <v>489</v>
      </c>
      <c r="AD8" s="199" t="s">
        <v>490</v>
      </c>
      <c r="AE8" s="164" t="s">
        <v>491</v>
      </c>
      <c r="AF8" s="164" t="s">
        <v>492</v>
      </c>
      <c r="AG8" s="164" t="s">
        <v>493</v>
      </c>
      <c r="AH8" s="164" t="s">
        <v>494</v>
      </c>
      <c r="AI8" s="164" t="s">
        <v>495</v>
      </c>
    </row>
    <row r="9" spans="1:41" ht="57.6" x14ac:dyDescent="0.3">
      <c r="A9" s="131">
        <v>8</v>
      </c>
      <c r="B9" s="79" t="s">
        <v>45</v>
      </c>
      <c r="C9" s="79" t="s">
        <v>45</v>
      </c>
      <c r="D9" s="76" t="s">
        <v>521</v>
      </c>
      <c r="E9" s="79" t="s">
        <v>522</v>
      </c>
      <c r="F9" s="79" t="s">
        <v>513</v>
      </c>
      <c r="G9" s="79" t="s">
        <v>514</v>
      </c>
      <c r="H9" s="168">
        <v>400</v>
      </c>
      <c r="I9" s="131" t="s">
        <v>1995</v>
      </c>
      <c r="J9" s="166" t="s">
        <v>50</v>
      </c>
      <c r="K9" s="164" t="s">
        <v>482</v>
      </c>
      <c r="L9" s="164" t="s">
        <v>51</v>
      </c>
      <c r="M9" s="164" t="s">
        <v>53</v>
      </c>
      <c r="N9" s="164" t="s">
        <v>52</v>
      </c>
      <c r="O9" s="198" t="s">
        <v>1952</v>
      </c>
      <c r="P9" s="164" t="s">
        <v>60</v>
      </c>
      <c r="Q9" s="164" t="s">
        <v>483</v>
      </c>
      <c r="R9" s="164" t="s">
        <v>51</v>
      </c>
      <c r="S9" s="164"/>
      <c r="T9" s="166" t="s">
        <v>171</v>
      </c>
      <c r="U9" s="164" t="s">
        <v>55</v>
      </c>
      <c r="V9" s="203" t="s">
        <v>1978</v>
      </c>
      <c r="W9" s="164" t="s">
        <v>485</v>
      </c>
      <c r="X9" s="164" t="s">
        <v>509</v>
      </c>
      <c r="Y9" s="203" t="s">
        <v>510</v>
      </c>
      <c r="Z9" s="164" t="s">
        <v>487</v>
      </c>
      <c r="AA9" s="168" t="s">
        <v>1981</v>
      </c>
      <c r="AB9" s="164" t="s">
        <v>488</v>
      </c>
      <c r="AC9" s="199" t="s">
        <v>489</v>
      </c>
      <c r="AD9" s="199" t="s">
        <v>490</v>
      </c>
      <c r="AE9" s="164" t="s">
        <v>491</v>
      </c>
      <c r="AF9" s="164" t="s">
        <v>492</v>
      </c>
      <c r="AG9" s="164" t="s">
        <v>493</v>
      </c>
      <c r="AH9" s="164" t="s">
        <v>494</v>
      </c>
      <c r="AI9" s="164" t="s">
        <v>495</v>
      </c>
    </row>
    <row r="10" spans="1:41" ht="43.2" x14ac:dyDescent="0.3">
      <c r="A10" s="172">
        <v>9</v>
      </c>
      <c r="B10" s="161" t="str">
        <f>C10</f>
        <v>N</v>
      </c>
      <c r="C10" s="161" t="s">
        <v>113</v>
      </c>
      <c r="D10" s="162" t="s">
        <v>523</v>
      </c>
      <c r="E10" s="161" t="s">
        <v>524</v>
      </c>
      <c r="F10" s="161" t="s">
        <v>525</v>
      </c>
      <c r="G10" s="200" t="s">
        <v>526</v>
      </c>
      <c r="H10" s="172">
        <v>401</v>
      </c>
      <c r="I10" s="172" t="s">
        <v>1964</v>
      </c>
      <c r="J10" s="161" t="s">
        <v>50</v>
      </c>
      <c r="K10" s="161" t="s">
        <v>482</v>
      </c>
      <c r="L10" s="161" t="s">
        <v>51</v>
      </c>
      <c r="M10" s="161" t="s">
        <v>53</v>
      </c>
      <c r="N10" s="161" t="s">
        <v>52</v>
      </c>
      <c r="O10" s="201" t="s">
        <v>1952</v>
      </c>
      <c r="P10" s="161" t="s">
        <v>60</v>
      </c>
      <c r="Q10" s="161" t="s">
        <v>483</v>
      </c>
      <c r="R10" s="161" t="s">
        <v>51</v>
      </c>
      <c r="S10" s="161"/>
      <c r="T10" s="162" t="s">
        <v>484</v>
      </c>
      <c r="U10" s="161" t="s">
        <v>55</v>
      </c>
      <c r="V10" s="171">
        <v>200061777902</v>
      </c>
      <c r="W10" s="161" t="s">
        <v>485</v>
      </c>
      <c r="X10" s="161" t="s">
        <v>486</v>
      </c>
      <c r="Y10" s="171">
        <v>200061812368</v>
      </c>
      <c r="Z10" s="161" t="s">
        <v>487</v>
      </c>
      <c r="AA10" s="172">
        <v>1</v>
      </c>
      <c r="AB10" s="161" t="s">
        <v>488</v>
      </c>
      <c r="AC10" s="202" t="s">
        <v>489</v>
      </c>
      <c r="AD10" s="202" t="s">
        <v>490</v>
      </c>
      <c r="AE10" s="161" t="s">
        <v>491</v>
      </c>
      <c r="AF10" s="161" t="s">
        <v>492</v>
      </c>
      <c r="AG10" s="161" t="s">
        <v>493</v>
      </c>
      <c r="AH10" s="161" t="s">
        <v>494</v>
      </c>
      <c r="AI10" s="161" t="s">
        <v>495</v>
      </c>
    </row>
    <row r="11" spans="1:41" ht="43.2" x14ac:dyDescent="0.3">
      <c r="A11" s="172">
        <v>10</v>
      </c>
      <c r="B11" s="161" t="str">
        <f t="shared" ref="B11:B13" si="0">C11</f>
        <v>N</v>
      </c>
      <c r="C11" s="161" t="s">
        <v>113</v>
      </c>
      <c r="D11" s="162" t="s">
        <v>527</v>
      </c>
      <c r="E11" s="161" t="s">
        <v>528</v>
      </c>
      <c r="F11" s="161" t="s">
        <v>525</v>
      </c>
      <c r="G11" s="200" t="s">
        <v>526</v>
      </c>
      <c r="H11" s="172">
        <v>401</v>
      </c>
      <c r="I11" s="172" t="s">
        <v>1964</v>
      </c>
      <c r="J11" s="161" t="s">
        <v>50</v>
      </c>
      <c r="K11" s="161" t="s">
        <v>482</v>
      </c>
      <c r="L11" s="161" t="s">
        <v>51</v>
      </c>
      <c r="M11" s="161" t="s">
        <v>53</v>
      </c>
      <c r="N11" s="161" t="s">
        <v>52</v>
      </c>
      <c r="O11" s="201" t="s">
        <v>1952</v>
      </c>
      <c r="P11" s="161" t="s">
        <v>60</v>
      </c>
      <c r="Q11" s="161" t="s">
        <v>483</v>
      </c>
      <c r="R11" s="161" t="s">
        <v>51</v>
      </c>
      <c r="S11" s="161"/>
      <c r="T11" s="162" t="s">
        <v>484</v>
      </c>
      <c r="U11" s="161" t="s">
        <v>55</v>
      </c>
      <c r="V11" s="171">
        <v>200061777902</v>
      </c>
      <c r="W11" s="161" t="s">
        <v>485</v>
      </c>
      <c r="X11" s="161" t="s">
        <v>517</v>
      </c>
      <c r="Y11" s="171">
        <v>500027172598</v>
      </c>
      <c r="Z11" s="161" t="s">
        <v>487</v>
      </c>
      <c r="AA11" s="172">
        <v>1</v>
      </c>
      <c r="AB11" s="161" t="s">
        <v>488</v>
      </c>
      <c r="AC11" s="202" t="s">
        <v>489</v>
      </c>
      <c r="AD11" s="202" t="s">
        <v>490</v>
      </c>
      <c r="AE11" s="161" t="s">
        <v>491</v>
      </c>
      <c r="AF11" s="161" t="s">
        <v>492</v>
      </c>
      <c r="AG11" s="161" t="s">
        <v>493</v>
      </c>
      <c r="AH11" s="161" t="s">
        <v>494</v>
      </c>
      <c r="AI11" s="161" t="s">
        <v>495</v>
      </c>
    </row>
    <row r="12" spans="1:41" ht="43.2" x14ac:dyDescent="0.3">
      <c r="A12" s="172">
        <v>11</v>
      </c>
      <c r="B12" s="161" t="str">
        <f t="shared" si="0"/>
        <v>N</v>
      </c>
      <c r="C12" s="161" t="s">
        <v>113</v>
      </c>
      <c r="D12" s="162" t="s">
        <v>529</v>
      </c>
      <c r="E12" s="161" t="s">
        <v>530</v>
      </c>
      <c r="F12" s="161" t="s">
        <v>525</v>
      </c>
      <c r="G12" s="200" t="s">
        <v>526</v>
      </c>
      <c r="H12" s="172">
        <v>401</v>
      </c>
      <c r="I12" s="172" t="s">
        <v>1964</v>
      </c>
      <c r="J12" s="162" t="s">
        <v>50</v>
      </c>
      <c r="K12" s="161" t="s">
        <v>482</v>
      </c>
      <c r="L12" s="161" t="s">
        <v>51</v>
      </c>
      <c r="M12" s="161" t="s">
        <v>53</v>
      </c>
      <c r="N12" s="161" t="s">
        <v>52</v>
      </c>
      <c r="O12" s="201" t="s">
        <v>1952</v>
      </c>
      <c r="P12" s="161" t="s">
        <v>60</v>
      </c>
      <c r="Q12" s="161" t="s">
        <v>483</v>
      </c>
      <c r="R12" s="161" t="s">
        <v>51</v>
      </c>
      <c r="S12" s="161"/>
      <c r="T12" s="162" t="s">
        <v>520</v>
      </c>
      <c r="U12" s="161" t="s">
        <v>55</v>
      </c>
      <c r="V12" s="171">
        <v>200061777902</v>
      </c>
      <c r="W12" s="161" t="s">
        <v>485</v>
      </c>
      <c r="X12" s="161" t="s">
        <v>509</v>
      </c>
      <c r="Y12" s="204" t="s">
        <v>510</v>
      </c>
      <c r="Z12" s="161" t="s">
        <v>487</v>
      </c>
      <c r="AA12" s="172">
        <v>1</v>
      </c>
      <c r="AB12" s="161" t="s">
        <v>488</v>
      </c>
      <c r="AC12" s="202" t="s">
        <v>489</v>
      </c>
      <c r="AD12" s="202" t="s">
        <v>490</v>
      </c>
      <c r="AE12" s="161" t="s">
        <v>491</v>
      </c>
      <c r="AF12" s="161" t="s">
        <v>492</v>
      </c>
      <c r="AG12" s="161" t="s">
        <v>493</v>
      </c>
      <c r="AH12" s="161" t="s">
        <v>494</v>
      </c>
      <c r="AI12" s="161" t="s">
        <v>495</v>
      </c>
    </row>
    <row r="13" spans="1:41" ht="43.2" x14ac:dyDescent="0.3">
      <c r="A13" s="172">
        <v>12</v>
      </c>
      <c r="B13" s="161" t="str">
        <f t="shared" si="0"/>
        <v>N</v>
      </c>
      <c r="C13" s="161" t="s">
        <v>113</v>
      </c>
      <c r="D13" s="162" t="s">
        <v>531</v>
      </c>
      <c r="E13" s="161" t="s">
        <v>532</v>
      </c>
      <c r="F13" s="161" t="s">
        <v>525</v>
      </c>
      <c r="G13" s="200" t="s">
        <v>526</v>
      </c>
      <c r="H13" s="172">
        <v>401</v>
      </c>
      <c r="I13" s="172" t="s">
        <v>1964</v>
      </c>
      <c r="J13" s="162" t="s">
        <v>50</v>
      </c>
      <c r="K13" s="161" t="s">
        <v>482</v>
      </c>
      <c r="L13" s="161" t="s">
        <v>51</v>
      </c>
      <c r="M13" s="161" t="s">
        <v>53</v>
      </c>
      <c r="N13" s="161" t="s">
        <v>52</v>
      </c>
      <c r="O13" s="201" t="s">
        <v>1952</v>
      </c>
      <c r="P13" s="161" t="s">
        <v>60</v>
      </c>
      <c r="Q13" s="161" t="s">
        <v>483</v>
      </c>
      <c r="R13" s="161" t="s">
        <v>51</v>
      </c>
      <c r="S13" s="161"/>
      <c r="T13" s="162" t="s">
        <v>171</v>
      </c>
      <c r="U13" s="161" t="s">
        <v>55</v>
      </c>
      <c r="V13" s="171">
        <v>200061777902</v>
      </c>
      <c r="W13" s="161" t="s">
        <v>485</v>
      </c>
      <c r="X13" s="161" t="s">
        <v>509</v>
      </c>
      <c r="Y13" s="204" t="s">
        <v>510</v>
      </c>
      <c r="Z13" s="161" t="s">
        <v>487</v>
      </c>
      <c r="AA13" s="172">
        <v>1</v>
      </c>
      <c r="AB13" s="161" t="s">
        <v>488</v>
      </c>
      <c r="AC13" s="202" t="s">
        <v>489</v>
      </c>
      <c r="AD13" s="202" t="s">
        <v>490</v>
      </c>
      <c r="AE13" s="161" t="s">
        <v>491</v>
      </c>
      <c r="AF13" s="161" t="s">
        <v>492</v>
      </c>
      <c r="AG13" s="161" t="s">
        <v>493</v>
      </c>
      <c r="AH13" s="161" t="s">
        <v>494</v>
      </c>
      <c r="AI13" s="161" t="s">
        <v>495</v>
      </c>
    </row>
    <row r="14" spans="1:41" ht="187.2" x14ac:dyDescent="0.3">
      <c r="A14" s="172">
        <v>13</v>
      </c>
      <c r="B14" s="161" t="str">
        <f>C14</f>
        <v>N</v>
      </c>
      <c r="C14" s="161" t="s">
        <v>113</v>
      </c>
      <c r="D14" s="162" t="s">
        <v>533</v>
      </c>
      <c r="E14" s="161" t="s">
        <v>534</v>
      </c>
      <c r="F14" s="161" t="s">
        <v>535</v>
      </c>
      <c r="G14" s="161" t="s">
        <v>536</v>
      </c>
      <c r="H14" s="160">
        <v>400</v>
      </c>
      <c r="I14" s="172" t="s">
        <v>1965</v>
      </c>
      <c r="J14" s="161" t="s">
        <v>50</v>
      </c>
      <c r="K14" s="161" t="s">
        <v>482</v>
      </c>
      <c r="L14" s="161" t="s">
        <v>51</v>
      </c>
      <c r="M14" s="161" t="s">
        <v>53</v>
      </c>
      <c r="N14" s="161" t="s">
        <v>52</v>
      </c>
      <c r="O14" s="201" t="s">
        <v>1952</v>
      </c>
      <c r="P14" s="161" t="s">
        <v>60</v>
      </c>
      <c r="Q14" s="161" t="s">
        <v>483</v>
      </c>
      <c r="R14" s="161" t="s">
        <v>51</v>
      </c>
      <c r="S14" s="161" t="s">
        <v>1996</v>
      </c>
      <c r="T14" s="162" t="s">
        <v>484</v>
      </c>
      <c r="U14" s="161" t="s">
        <v>55</v>
      </c>
      <c r="V14" s="204" t="s">
        <v>1979</v>
      </c>
      <c r="W14" s="161" t="s">
        <v>485</v>
      </c>
      <c r="X14" s="161" t="s">
        <v>486</v>
      </c>
      <c r="Y14" s="171">
        <v>200061812368</v>
      </c>
      <c r="Z14" s="161" t="s">
        <v>487</v>
      </c>
      <c r="AA14" s="172">
        <v>1</v>
      </c>
      <c r="AB14" s="161" t="s">
        <v>488</v>
      </c>
      <c r="AC14" s="202" t="s">
        <v>489</v>
      </c>
      <c r="AD14" s="202" t="s">
        <v>490</v>
      </c>
      <c r="AE14" s="161" t="s">
        <v>491</v>
      </c>
      <c r="AF14" s="161" t="s">
        <v>492</v>
      </c>
      <c r="AG14" s="161" t="s">
        <v>493</v>
      </c>
      <c r="AH14" s="161" t="s">
        <v>494</v>
      </c>
      <c r="AI14" s="161" t="s">
        <v>495</v>
      </c>
    </row>
    <row r="15" spans="1:41" ht="172.8" x14ac:dyDescent="0.3">
      <c r="A15" s="172">
        <v>14</v>
      </c>
      <c r="B15" s="161" t="str">
        <f t="shared" ref="B15:B21" si="1">C15</f>
        <v>N</v>
      </c>
      <c r="C15" s="161" t="s">
        <v>113</v>
      </c>
      <c r="D15" s="162" t="s">
        <v>537</v>
      </c>
      <c r="E15" s="161" t="s">
        <v>538</v>
      </c>
      <c r="F15" s="161" t="s">
        <v>539</v>
      </c>
      <c r="G15" s="161" t="s">
        <v>540</v>
      </c>
      <c r="H15" s="160">
        <v>400</v>
      </c>
      <c r="I15" s="172" t="s">
        <v>1965</v>
      </c>
      <c r="J15" s="161" t="s">
        <v>50</v>
      </c>
      <c r="K15" s="161" t="s">
        <v>482</v>
      </c>
      <c r="L15" s="161" t="s">
        <v>51</v>
      </c>
      <c r="M15" s="161" t="s">
        <v>53</v>
      </c>
      <c r="N15" s="161" t="s">
        <v>52</v>
      </c>
      <c r="O15" s="201" t="s">
        <v>1952</v>
      </c>
      <c r="P15" s="161" t="s">
        <v>60</v>
      </c>
      <c r="Q15" s="161" t="s">
        <v>483</v>
      </c>
      <c r="R15" s="161" t="s">
        <v>51</v>
      </c>
      <c r="S15" s="161" t="s">
        <v>1996</v>
      </c>
      <c r="T15" s="162" t="s">
        <v>484</v>
      </c>
      <c r="U15" s="161" t="s">
        <v>55</v>
      </c>
      <c r="V15" s="204" t="s">
        <v>1979</v>
      </c>
      <c r="W15" s="161" t="s">
        <v>485</v>
      </c>
      <c r="X15" s="161" t="s">
        <v>517</v>
      </c>
      <c r="Y15" s="171">
        <v>500027172598</v>
      </c>
      <c r="Z15" s="161" t="s">
        <v>487</v>
      </c>
      <c r="AA15" s="172">
        <v>1</v>
      </c>
      <c r="AB15" s="161" t="s">
        <v>488</v>
      </c>
      <c r="AC15" s="202" t="s">
        <v>489</v>
      </c>
      <c r="AD15" s="202" t="s">
        <v>490</v>
      </c>
      <c r="AE15" s="161" t="s">
        <v>491</v>
      </c>
      <c r="AF15" s="161" t="s">
        <v>492</v>
      </c>
      <c r="AG15" s="161" t="s">
        <v>493</v>
      </c>
      <c r="AH15" s="161" t="s">
        <v>494</v>
      </c>
      <c r="AI15" s="161" t="s">
        <v>495</v>
      </c>
    </row>
    <row r="16" spans="1:41" ht="187.2" x14ac:dyDescent="0.3">
      <c r="A16" s="172">
        <v>15</v>
      </c>
      <c r="B16" s="161" t="str">
        <f t="shared" si="1"/>
        <v>N</v>
      </c>
      <c r="C16" s="161" t="s">
        <v>113</v>
      </c>
      <c r="D16" s="162" t="s">
        <v>541</v>
      </c>
      <c r="E16" s="161" t="s">
        <v>542</v>
      </c>
      <c r="F16" s="161" t="s">
        <v>543</v>
      </c>
      <c r="G16" s="161" t="s">
        <v>544</v>
      </c>
      <c r="H16" s="160">
        <v>400</v>
      </c>
      <c r="I16" s="172" t="s">
        <v>1965</v>
      </c>
      <c r="J16" s="162" t="s">
        <v>50</v>
      </c>
      <c r="K16" s="161" t="s">
        <v>482</v>
      </c>
      <c r="L16" s="161" t="s">
        <v>51</v>
      </c>
      <c r="M16" s="161" t="s">
        <v>53</v>
      </c>
      <c r="N16" s="161" t="s">
        <v>52</v>
      </c>
      <c r="O16" s="201" t="s">
        <v>1952</v>
      </c>
      <c r="P16" s="161" t="s">
        <v>60</v>
      </c>
      <c r="Q16" s="161" t="s">
        <v>483</v>
      </c>
      <c r="R16" s="161" t="s">
        <v>51</v>
      </c>
      <c r="S16" s="161" t="s">
        <v>1996</v>
      </c>
      <c r="T16" s="162" t="s">
        <v>520</v>
      </c>
      <c r="U16" s="161" t="s">
        <v>55</v>
      </c>
      <c r="V16" s="204" t="s">
        <v>1979</v>
      </c>
      <c r="W16" s="161" t="s">
        <v>485</v>
      </c>
      <c r="X16" s="161" t="s">
        <v>509</v>
      </c>
      <c r="Y16" s="204" t="s">
        <v>510</v>
      </c>
      <c r="Z16" s="161" t="s">
        <v>487</v>
      </c>
      <c r="AA16" s="172">
        <v>1</v>
      </c>
      <c r="AB16" s="161" t="s">
        <v>488</v>
      </c>
      <c r="AC16" s="202" t="s">
        <v>489</v>
      </c>
      <c r="AD16" s="202" t="s">
        <v>490</v>
      </c>
      <c r="AE16" s="161" t="s">
        <v>491</v>
      </c>
      <c r="AF16" s="161" t="s">
        <v>492</v>
      </c>
      <c r="AG16" s="161" t="s">
        <v>493</v>
      </c>
      <c r="AH16" s="161" t="s">
        <v>494</v>
      </c>
      <c r="AI16" s="161" t="s">
        <v>495</v>
      </c>
    </row>
    <row r="17" spans="1:35" ht="187.2" x14ac:dyDescent="0.3">
      <c r="A17" s="172">
        <v>16</v>
      </c>
      <c r="B17" s="161" t="str">
        <f t="shared" si="1"/>
        <v>N</v>
      </c>
      <c r="C17" s="161" t="s">
        <v>113</v>
      </c>
      <c r="D17" s="162" t="s">
        <v>545</v>
      </c>
      <c r="E17" s="161" t="s">
        <v>546</v>
      </c>
      <c r="F17" s="161" t="s">
        <v>547</v>
      </c>
      <c r="G17" s="161" t="s">
        <v>544</v>
      </c>
      <c r="H17" s="160">
        <v>400</v>
      </c>
      <c r="I17" s="172" t="s">
        <v>1965</v>
      </c>
      <c r="J17" s="162" t="s">
        <v>50</v>
      </c>
      <c r="K17" s="161" t="s">
        <v>482</v>
      </c>
      <c r="L17" s="161" t="s">
        <v>51</v>
      </c>
      <c r="M17" s="161" t="s">
        <v>53</v>
      </c>
      <c r="N17" s="161" t="s">
        <v>52</v>
      </c>
      <c r="O17" s="201" t="s">
        <v>1952</v>
      </c>
      <c r="P17" s="161" t="s">
        <v>60</v>
      </c>
      <c r="Q17" s="161" t="s">
        <v>483</v>
      </c>
      <c r="R17" s="161" t="s">
        <v>51</v>
      </c>
      <c r="S17" s="161" t="s">
        <v>1996</v>
      </c>
      <c r="T17" s="162" t="s">
        <v>171</v>
      </c>
      <c r="U17" s="161" t="s">
        <v>55</v>
      </c>
      <c r="V17" s="204" t="s">
        <v>1979</v>
      </c>
      <c r="W17" s="161" t="s">
        <v>485</v>
      </c>
      <c r="X17" s="161" t="s">
        <v>509</v>
      </c>
      <c r="Y17" s="204" t="s">
        <v>510</v>
      </c>
      <c r="Z17" s="161" t="s">
        <v>487</v>
      </c>
      <c r="AA17" s="172">
        <v>1</v>
      </c>
      <c r="AB17" s="161" t="s">
        <v>488</v>
      </c>
      <c r="AC17" s="202" t="s">
        <v>489</v>
      </c>
      <c r="AD17" s="202" t="s">
        <v>490</v>
      </c>
      <c r="AE17" s="161" t="s">
        <v>491</v>
      </c>
      <c r="AF17" s="161" t="s">
        <v>492</v>
      </c>
      <c r="AG17" s="161" t="s">
        <v>493</v>
      </c>
      <c r="AH17" s="161" t="s">
        <v>494</v>
      </c>
      <c r="AI17" s="161" t="s">
        <v>495</v>
      </c>
    </row>
    <row r="18" spans="1:35" ht="172.8" x14ac:dyDescent="0.3">
      <c r="A18" s="172">
        <v>17</v>
      </c>
      <c r="B18" s="161" t="str">
        <f t="shared" si="1"/>
        <v>N</v>
      </c>
      <c r="C18" s="161" t="s">
        <v>113</v>
      </c>
      <c r="D18" s="162" t="s">
        <v>548</v>
      </c>
      <c r="E18" s="161" t="s">
        <v>549</v>
      </c>
      <c r="F18" s="161" t="s">
        <v>550</v>
      </c>
      <c r="G18" s="161" t="s">
        <v>551</v>
      </c>
      <c r="H18" s="160">
        <v>400</v>
      </c>
      <c r="I18" s="172" t="s">
        <v>1966</v>
      </c>
      <c r="J18" s="161" t="s">
        <v>50</v>
      </c>
      <c r="K18" s="161" t="s">
        <v>482</v>
      </c>
      <c r="L18" s="161" t="s">
        <v>51</v>
      </c>
      <c r="M18" s="161" t="s">
        <v>53</v>
      </c>
      <c r="N18" s="161" t="s">
        <v>52</v>
      </c>
      <c r="O18" s="201" t="s">
        <v>1952</v>
      </c>
      <c r="P18" s="161" t="s">
        <v>60</v>
      </c>
      <c r="Q18" s="161" t="s">
        <v>483</v>
      </c>
      <c r="R18" s="161" t="s">
        <v>51</v>
      </c>
      <c r="S18" s="161" t="s">
        <v>1996</v>
      </c>
      <c r="T18" s="162" t="s">
        <v>484</v>
      </c>
      <c r="U18" s="161" t="s">
        <v>55</v>
      </c>
      <c r="V18" s="204" t="s">
        <v>1979</v>
      </c>
      <c r="W18" s="161" t="s">
        <v>485</v>
      </c>
      <c r="X18" s="161" t="s">
        <v>486</v>
      </c>
      <c r="Y18" s="171">
        <v>200061812368</v>
      </c>
      <c r="Z18" s="161" t="s">
        <v>487</v>
      </c>
      <c r="AA18" s="172">
        <v>1</v>
      </c>
      <c r="AB18" s="161" t="s">
        <v>488</v>
      </c>
      <c r="AC18" s="202" t="s">
        <v>489</v>
      </c>
      <c r="AD18" s="202" t="s">
        <v>490</v>
      </c>
      <c r="AE18" s="161" t="s">
        <v>491</v>
      </c>
      <c r="AF18" s="161" t="s">
        <v>492</v>
      </c>
      <c r="AG18" s="161" t="s">
        <v>493</v>
      </c>
      <c r="AH18" s="161" t="s">
        <v>494</v>
      </c>
      <c r="AI18" s="161" t="s">
        <v>495</v>
      </c>
    </row>
    <row r="19" spans="1:35" ht="158.4" x14ac:dyDescent="0.3">
      <c r="A19" s="172">
        <v>18</v>
      </c>
      <c r="B19" s="161" t="str">
        <f t="shared" si="1"/>
        <v>N</v>
      </c>
      <c r="C19" s="161" t="s">
        <v>113</v>
      </c>
      <c r="D19" s="162" t="s">
        <v>552</v>
      </c>
      <c r="E19" s="161" t="s">
        <v>553</v>
      </c>
      <c r="F19" s="161" t="s">
        <v>554</v>
      </c>
      <c r="G19" s="200" t="s">
        <v>551</v>
      </c>
      <c r="H19" s="160">
        <v>400</v>
      </c>
      <c r="I19" s="172" t="s">
        <v>1966</v>
      </c>
      <c r="J19" s="161" t="s">
        <v>50</v>
      </c>
      <c r="K19" s="161" t="s">
        <v>482</v>
      </c>
      <c r="L19" s="161" t="s">
        <v>51</v>
      </c>
      <c r="M19" s="161" t="s">
        <v>53</v>
      </c>
      <c r="N19" s="161" t="s">
        <v>52</v>
      </c>
      <c r="O19" s="201" t="s">
        <v>1952</v>
      </c>
      <c r="P19" s="161" t="s">
        <v>60</v>
      </c>
      <c r="Q19" s="161" t="s">
        <v>483</v>
      </c>
      <c r="R19" s="161" t="s">
        <v>51</v>
      </c>
      <c r="S19" s="161" t="s">
        <v>1996</v>
      </c>
      <c r="T19" s="162" t="s">
        <v>484</v>
      </c>
      <c r="U19" s="161" t="s">
        <v>55</v>
      </c>
      <c r="V19" s="204" t="s">
        <v>1979</v>
      </c>
      <c r="W19" s="161" t="s">
        <v>485</v>
      </c>
      <c r="X19" s="161" t="s">
        <v>517</v>
      </c>
      <c r="Y19" s="171">
        <v>500027172598</v>
      </c>
      <c r="Z19" s="161" t="s">
        <v>487</v>
      </c>
      <c r="AA19" s="172">
        <v>1</v>
      </c>
      <c r="AB19" s="161" t="s">
        <v>488</v>
      </c>
      <c r="AC19" s="202" t="s">
        <v>489</v>
      </c>
      <c r="AD19" s="202" t="s">
        <v>490</v>
      </c>
      <c r="AE19" s="161" t="s">
        <v>491</v>
      </c>
      <c r="AF19" s="161" t="s">
        <v>492</v>
      </c>
      <c r="AG19" s="161" t="s">
        <v>493</v>
      </c>
      <c r="AH19" s="161" t="s">
        <v>494</v>
      </c>
      <c r="AI19" s="161" t="s">
        <v>495</v>
      </c>
    </row>
    <row r="20" spans="1:35" ht="158.4" x14ac:dyDescent="0.3">
      <c r="A20" s="172">
        <v>19</v>
      </c>
      <c r="B20" s="161" t="str">
        <f t="shared" si="1"/>
        <v>N</v>
      </c>
      <c r="C20" s="161" t="s">
        <v>113</v>
      </c>
      <c r="D20" s="162" t="s">
        <v>555</v>
      </c>
      <c r="E20" s="161" t="s">
        <v>556</v>
      </c>
      <c r="F20" s="161" t="s">
        <v>557</v>
      </c>
      <c r="G20" s="200" t="s">
        <v>551</v>
      </c>
      <c r="H20" s="160">
        <v>400</v>
      </c>
      <c r="I20" s="172" t="s">
        <v>1966</v>
      </c>
      <c r="J20" s="162" t="s">
        <v>50</v>
      </c>
      <c r="K20" s="161" t="s">
        <v>482</v>
      </c>
      <c r="L20" s="161" t="s">
        <v>51</v>
      </c>
      <c r="M20" s="161" t="s">
        <v>53</v>
      </c>
      <c r="N20" s="161" t="s">
        <v>52</v>
      </c>
      <c r="O20" s="201" t="s">
        <v>1952</v>
      </c>
      <c r="P20" s="161" t="s">
        <v>60</v>
      </c>
      <c r="Q20" s="161" t="s">
        <v>483</v>
      </c>
      <c r="R20" s="161" t="s">
        <v>51</v>
      </c>
      <c r="S20" s="161" t="s">
        <v>1996</v>
      </c>
      <c r="T20" s="162" t="s">
        <v>520</v>
      </c>
      <c r="U20" s="161" t="s">
        <v>55</v>
      </c>
      <c r="V20" s="204" t="s">
        <v>1979</v>
      </c>
      <c r="W20" s="161" t="s">
        <v>485</v>
      </c>
      <c r="X20" s="161" t="s">
        <v>509</v>
      </c>
      <c r="Y20" s="204" t="s">
        <v>510</v>
      </c>
      <c r="Z20" s="161" t="s">
        <v>487</v>
      </c>
      <c r="AA20" s="172">
        <v>1</v>
      </c>
      <c r="AB20" s="161" t="s">
        <v>488</v>
      </c>
      <c r="AC20" s="202" t="s">
        <v>489</v>
      </c>
      <c r="AD20" s="202" t="s">
        <v>490</v>
      </c>
      <c r="AE20" s="161" t="s">
        <v>491</v>
      </c>
      <c r="AF20" s="161" t="s">
        <v>492</v>
      </c>
      <c r="AG20" s="161" t="s">
        <v>493</v>
      </c>
      <c r="AH20" s="161" t="s">
        <v>494</v>
      </c>
      <c r="AI20" s="161" t="s">
        <v>495</v>
      </c>
    </row>
    <row r="21" spans="1:35" ht="158.4" x14ac:dyDescent="0.3">
      <c r="A21" s="172">
        <v>20</v>
      </c>
      <c r="B21" s="161" t="str">
        <f t="shared" si="1"/>
        <v>N</v>
      </c>
      <c r="C21" s="161" t="s">
        <v>113</v>
      </c>
      <c r="D21" s="162" t="s">
        <v>558</v>
      </c>
      <c r="E21" s="161" t="s">
        <v>559</v>
      </c>
      <c r="F21" s="161" t="s">
        <v>560</v>
      </c>
      <c r="G21" s="200" t="s">
        <v>551</v>
      </c>
      <c r="H21" s="160">
        <v>400</v>
      </c>
      <c r="I21" s="172" t="s">
        <v>1966</v>
      </c>
      <c r="J21" s="162" t="s">
        <v>50</v>
      </c>
      <c r="K21" s="161" t="s">
        <v>482</v>
      </c>
      <c r="L21" s="161" t="s">
        <v>51</v>
      </c>
      <c r="M21" s="161" t="s">
        <v>53</v>
      </c>
      <c r="N21" s="161" t="s">
        <v>52</v>
      </c>
      <c r="O21" s="201" t="s">
        <v>1952</v>
      </c>
      <c r="P21" s="161" t="s">
        <v>60</v>
      </c>
      <c r="Q21" s="161" t="s">
        <v>483</v>
      </c>
      <c r="R21" s="161" t="s">
        <v>51</v>
      </c>
      <c r="S21" s="161" t="s">
        <v>1996</v>
      </c>
      <c r="T21" s="162" t="s">
        <v>171</v>
      </c>
      <c r="U21" s="161" t="s">
        <v>55</v>
      </c>
      <c r="V21" s="204" t="s">
        <v>1979</v>
      </c>
      <c r="W21" s="161" t="s">
        <v>485</v>
      </c>
      <c r="X21" s="161" t="s">
        <v>509</v>
      </c>
      <c r="Y21" s="204" t="s">
        <v>510</v>
      </c>
      <c r="Z21" s="161" t="s">
        <v>487</v>
      </c>
      <c r="AA21" s="172">
        <v>1</v>
      </c>
      <c r="AB21" s="161" t="s">
        <v>488</v>
      </c>
      <c r="AC21" s="202" t="s">
        <v>489</v>
      </c>
      <c r="AD21" s="202" t="s">
        <v>490</v>
      </c>
      <c r="AE21" s="161" t="s">
        <v>491</v>
      </c>
      <c r="AF21" s="161" t="s">
        <v>492</v>
      </c>
      <c r="AG21" s="161" t="s">
        <v>493</v>
      </c>
      <c r="AH21" s="161" t="s">
        <v>494</v>
      </c>
      <c r="AI21" s="161" t="s">
        <v>495</v>
      </c>
    </row>
    <row r="22" spans="1:35" ht="43.2" x14ac:dyDescent="0.3">
      <c r="A22" s="131">
        <v>21</v>
      </c>
      <c r="B22" s="79" t="str">
        <f t="shared" ref="B22:B33" si="2">C22</f>
        <v>N</v>
      </c>
      <c r="C22" s="79" t="s">
        <v>113</v>
      </c>
      <c r="D22" s="76" t="s">
        <v>561</v>
      </c>
      <c r="E22" s="161" t="s">
        <v>562</v>
      </c>
      <c r="F22" s="79" t="s">
        <v>563</v>
      </c>
      <c r="G22" s="79" t="s">
        <v>564</v>
      </c>
      <c r="H22" s="176">
        <v>400</v>
      </c>
      <c r="I22" s="131" t="s">
        <v>1967</v>
      </c>
      <c r="J22" s="164" t="s">
        <v>50</v>
      </c>
      <c r="K22" s="164" t="s">
        <v>482</v>
      </c>
      <c r="L22" s="164" t="s">
        <v>51</v>
      </c>
      <c r="M22" s="164" t="s">
        <v>53</v>
      </c>
      <c r="N22" s="164" t="s">
        <v>52</v>
      </c>
      <c r="O22" s="198" t="s">
        <v>1952</v>
      </c>
      <c r="P22" s="164" t="s">
        <v>60</v>
      </c>
      <c r="Q22" s="164" t="s">
        <v>483</v>
      </c>
      <c r="R22" s="164" t="s">
        <v>51</v>
      </c>
      <c r="S22" s="164"/>
      <c r="T22" s="166" t="s">
        <v>484</v>
      </c>
      <c r="U22" s="164" t="s">
        <v>55</v>
      </c>
      <c r="V22" s="167" t="s">
        <v>1982</v>
      </c>
      <c r="W22" s="164" t="s">
        <v>485</v>
      </c>
      <c r="X22" s="164" t="s">
        <v>486</v>
      </c>
      <c r="Y22" s="167">
        <v>200061812368</v>
      </c>
      <c r="Z22" s="164" t="s">
        <v>487</v>
      </c>
      <c r="AA22" s="168">
        <v>1</v>
      </c>
      <c r="AB22" s="164" t="s">
        <v>488</v>
      </c>
      <c r="AC22" s="199" t="s">
        <v>489</v>
      </c>
      <c r="AD22" s="199" t="s">
        <v>490</v>
      </c>
      <c r="AE22" s="164" t="s">
        <v>491</v>
      </c>
      <c r="AF22" s="164" t="s">
        <v>492</v>
      </c>
      <c r="AG22" s="164" t="s">
        <v>493</v>
      </c>
      <c r="AH22" s="164" t="s">
        <v>494</v>
      </c>
      <c r="AI22" s="164" t="s">
        <v>495</v>
      </c>
    </row>
    <row r="23" spans="1:35" ht="43.2" x14ac:dyDescent="0.3">
      <c r="A23" s="131">
        <v>22</v>
      </c>
      <c r="B23" s="79" t="str">
        <f t="shared" si="2"/>
        <v>N</v>
      </c>
      <c r="C23" s="79" t="s">
        <v>113</v>
      </c>
      <c r="D23" s="76" t="s">
        <v>565</v>
      </c>
      <c r="E23" s="161" t="s">
        <v>130</v>
      </c>
      <c r="F23" s="79" t="s">
        <v>566</v>
      </c>
      <c r="G23" s="79" t="s">
        <v>564</v>
      </c>
      <c r="H23" s="176">
        <v>400</v>
      </c>
      <c r="I23" s="131" t="s">
        <v>1967</v>
      </c>
      <c r="J23" s="164" t="s">
        <v>50</v>
      </c>
      <c r="K23" s="164" t="s">
        <v>482</v>
      </c>
      <c r="L23" s="164" t="s">
        <v>51</v>
      </c>
      <c r="M23" s="164" t="s">
        <v>53</v>
      </c>
      <c r="N23" s="164" t="s">
        <v>52</v>
      </c>
      <c r="O23" s="198" t="s">
        <v>1952</v>
      </c>
      <c r="P23" s="164" t="s">
        <v>60</v>
      </c>
      <c r="Q23" s="164" t="s">
        <v>483</v>
      </c>
      <c r="R23" s="164" t="s">
        <v>51</v>
      </c>
      <c r="S23" s="164"/>
      <c r="T23" s="166" t="s">
        <v>484</v>
      </c>
      <c r="U23" s="164" t="s">
        <v>55</v>
      </c>
      <c r="V23" s="167" t="s">
        <v>1981</v>
      </c>
      <c r="W23" s="164" t="s">
        <v>485</v>
      </c>
      <c r="X23" s="164" t="s">
        <v>517</v>
      </c>
      <c r="Y23" s="167">
        <v>500027172598</v>
      </c>
      <c r="Z23" s="164" t="s">
        <v>487</v>
      </c>
      <c r="AA23" s="168">
        <v>1</v>
      </c>
      <c r="AB23" s="164" t="s">
        <v>488</v>
      </c>
      <c r="AC23" s="199" t="s">
        <v>489</v>
      </c>
      <c r="AD23" s="199" t="s">
        <v>490</v>
      </c>
      <c r="AE23" s="164" t="s">
        <v>491</v>
      </c>
      <c r="AF23" s="164" t="s">
        <v>492</v>
      </c>
      <c r="AG23" s="164" t="s">
        <v>493</v>
      </c>
      <c r="AH23" s="164" t="s">
        <v>494</v>
      </c>
      <c r="AI23" s="164" t="s">
        <v>495</v>
      </c>
    </row>
    <row r="24" spans="1:35" ht="43.2" x14ac:dyDescent="0.3">
      <c r="A24" s="131">
        <v>23</v>
      </c>
      <c r="B24" s="79" t="str">
        <f t="shared" si="2"/>
        <v>N</v>
      </c>
      <c r="C24" s="79" t="s">
        <v>113</v>
      </c>
      <c r="D24" s="76" t="s">
        <v>567</v>
      </c>
      <c r="E24" s="161" t="s">
        <v>568</v>
      </c>
      <c r="F24" s="79" t="s">
        <v>569</v>
      </c>
      <c r="G24" s="79" t="s">
        <v>564</v>
      </c>
      <c r="H24" s="176">
        <v>400</v>
      </c>
      <c r="I24" s="131" t="s">
        <v>1967</v>
      </c>
      <c r="J24" s="166" t="s">
        <v>50</v>
      </c>
      <c r="K24" s="164" t="s">
        <v>482</v>
      </c>
      <c r="L24" s="164" t="s">
        <v>51</v>
      </c>
      <c r="M24" s="164" t="s">
        <v>53</v>
      </c>
      <c r="N24" s="164" t="s">
        <v>52</v>
      </c>
      <c r="O24" s="198" t="s">
        <v>1952</v>
      </c>
      <c r="P24" s="164" t="s">
        <v>60</v>
      </c>
      <c r="Q24" s="164" t="s">
        <v>483</v>
      </c>
      <c r="R24" s="164" t="s">
        <v>51</v>
      </c>
      <c r="S24" s="164"/>
      <c r="T24" s="166" t="s">
        <v>520</v>
      </c>
      <c r="U24" s="164" t="s">
        <v>55</v>
      </c>
      <c r="V24" s="167" t="s">
        <v>1982</v>
      </c>
      <c r="W24" s="164" t="s">
        <v>485</v>
      </c>
      <c r="X24" s="164" t="s">
        <v>509</v>
      </c>
      <c r="Y24" s="203" t="s">
        <v>510</v>
      </c>
      <c r="Z24" s="164" t="s">
        <v>487</v>
      </c>
      <c r="AA24" s="168">
        <v>1</v>
      </c>
      <c r="AB24" s="164" t="s">
        <v>488</v>
      </c>
      <c r="AC24" s="199" t="s">
        <v>489</v>
      </c>
      <c r="AD24" s="199" t="s">
        <v>490</v>
      </c>
      <c r="AE24" s="164" t="s">
        <v>491</v>
      </c>
      <c r="AF24" s="164" t="s">
        <v>492</v>
      </c>
      <c r="AG24" s="164" t="s">
        <v>493</v>
      </c>
      <c r="AH24" s="164" t="s">
        <v>494</v>
      </c>
      <c r="AI24" s="164" t="s">
        <v>495</v>
      </c>
    </row>
    <row r="25" spans="1:35" ht="57.6" x14ac:dyDescent="0.3">
      <c r="A25" s="131">
        <v>24</v>
      </c>
      <c r="B25" s="79" t="str">
        <f t="shared" si="2"/>
        <v>N</v>
      </c>
      <c r="C25" s="79" t="s">
        <v>113</v>
      </c>
      <c r="D25" s="76" t="s">
        <v>570</v>
      </c>
      <c r="E25" s="161" t="s">
        <v>571</v>
      </c>
      <c r="F25" s="79" t="s">
        <v>572</v>
      </c>
      <c r="G25" s="79" t="s">
        <v>564</v>
      </c>
      <c r="H25" s="176">
        <v>400</v>
      </c>
      <c r="I25" s="131" t="s">
        <v>1967</v>
      </c>
      <c r="J25" s="166" t="s">
        <v>50</v>
      </c>
      <c r="K25" s="164" t="s">
        <v>482</v>
      </c>
      <c r="L25" s="164" t="s">
        <v>51</v>
      </c>
      <c r="M25" s="164" t="s">
        <v>53</v>
      </c>
      <c r="N25" s="164" t="s">
        <v>52</v>
      </c>
      <c r="O25" s="198" t="s">
        <v>1952</v>
      </c>
      <c r="P25" s="164" t="s">
        <v>60</v>
      </c>
      <c r="Q25" s="164" t="s">
        <v>483</v>
      </c>
      <c r="R25" s="164" t="s">
        <v>51</v>
      </c>
      <c r="S25" s="164"/>
      <c r="T25" s="166" t="s">
        <v>171</v>
      </c>
      <c r="U25" s="164" t="s">
        <v>55</v>
      </c>
      <c r="V25" s="167" t="s">
        <v>1982</v>
      </c>
      <c r="W25" s="164" t="s">
        <v>485</v>
      </c>
      <c r="X25" s="164" t="s">
        <v>509</v>
      </c>
      <c r="Y25" s="203" t="s">
        <v>510</v>
      </c>
      <c r="Z25" s="164" t="s">
        <v>487</v>
      </c>
      <c r="AA25" s="168">
        <v>1</v>
      </c>
      <c r="AB25" s="164" t="s">
        <v>488</v>
      </c>
      <c r="AC25" s="199" t="s">
        <v>489</v>
      </c>
      <c r="AD25" s="199" t="s">
        <v>490</v>
      </c>
      <c r="AE25" s="164" t="s">
        <v>491</v>
      </c>
      <c r="AF25" s="164" t="s">
        <v>492</v>
      </c>
      <c r="AG25" s="164" t="s">
        <v>493</v>
      </c>
      <c r="AH25" s="164" t="s">
        <v>494</v>
      </c>
      <c r="AI25" s="164" t="s">
        <v>495</v>
      </c>
    </row>
    <row r="26" spans="1:35" ht="43.2" x14ac:dyDescent="0.3">
      <c r="A26" s="131">
        <v>25</v>
      </c>
      <c r="B26" s="79" t="str">
        <f t="shared" si="2"/>
        <v>Y</v>
      </c>
      <c r="C26" s="79" t="s">
        <v>45</v>
      </c>
      <c r="D26" s="76" t="s">
        <v>573</v>
      </c>
      <c r="E26" s="79" t="s">
        <v>574</v>
      </c>
      <c r="F26" s="79" t="s">
        <v>575</v>
      </c>
      <c r="G26" s="79" t="s">
        <v>564</v>
      </c>
      <c r="H26" s="176">
        <v>400</v>
      </c>
      <c r="I26" s="131" t="s">
        <v>1968</v>
      </c>
      <c r="J26" s="164" t="s">
        <v>50</v>
      </c>
      <c r="K26" s="164" t="s">
        <v>482</v>
      </c>
      <c r="L26" s="164" t="s">
        <v>51</v>
      </c>
      <c r="M26" s="164" t="s">
        <v>53</v>
      </c>
      <c r="N26" s="164" t="s">
        <v>52</v>
      </c>
      <c r="O26" s="198" t="s">
        <v>1952</v>
      </c>
      <c r="P26" s="164" t="s">
        <v>60</v>
      </c>
      <c r="Q26" s="164" t="s">
        <v>483</v>
      </c>
      <c r="R26" s="164" t="s">
        <v>51</v>
      </c>
      <c r="S26" s="164"/>
      <c r="T26" s="166" t="s">
        <v>484</v>
      </c>
      <c r="U26" s="164" t="s">
        <v>55</v>
      </c>
      <c r="V26" s="203" t="s">
        <v>1978</v>
      </c>
      <c r="W26" s="164" t="s">
        <v>485</v>
      </c>
      <c r="X26" s="164" t="s">
        <v>486</v>
      </c>
      <c r="Y26" s="167" t="s">
        <v>1977</v>
      </c>
      <c r="Z26" s="164" t="s">
        <v>487</v>
      </c>
      <c r="AA26" s="168">
        <v>1</v>
      </c>
      <c r="AB26" s="164" t="s">
        <v>488</v>
      </c>
      <c r="AC26" s="199" t="s">
        <v>489</v>
      </c>
      <c r="AD26" s="199" t="s">
        <v>490</v>
      </c>
      <c r="AE26" s="164" t="s">
        <v>491</v>
      </c>
      <c r="AF26" s="164" t="s">
        <v>492</v>
      </c>
      <c r="AG26" s="164" t="s">
        <v>493</v>
      </c>
      <c r="AH26" s="164" t="s">
        <v>494</v>
      </c>
      <c r="AI26" s="164" t="s">
        <v>495</v>
      </c>
    </row>
    <row r="27" spans="1:35" ht="43.2" x14ac:dyDescent="0.3">
      <c r="A27" s="131">
        <v>26</v>
      </c>
      <c r="B27" s="79" t="str">
        <f t="shared" si="2"/>
        <v>Y</v>
      </c>
      <c r="C27" s="79" t="s">
        <v>45</v>
      </c>
      <c r="D27" s="76" t="s">
        <v>576</v>
      </c>
      <c r="E27" s="79" t="s">
        <v>577</v>
      </c>
      <c r="F27" s="79" t="s">
        <v>578</v>
      </c>
      <c r="G27" s="79" t="s">
        <v>564</v>
      </c>
      <c r="H27" s="176">
        <v>400</v>
      </c>
      <c r="I27" s="131" t="s">
        <v>1968</v>
      </c>
      <c r="J27" s="164" t="s">
        <v>50</v>
      </c>
      <c r="K27" s="164" t="s">
        <v>482</v>
      </c>
      <c r="L27" s="164" t="s">
        <v>51</v>
      </c>
      <c r="M27" s="164" t="s">
        <v>53</v>
      </c>
      <c r="N27" s="164" t="s">
        <v>52</v>
      </c>
      <c r="O27" s="198" t="s">
        <v>1952</v>
      </c>
      <c r="P27" s="164" t="s">
        <v>60</v>
      </c>
      <c r="Q27" s="164" t="s">
        <v>483</v>
      </c>
      <c r="R27" s="164" t="s">
        <v>51</v>
      </c>
      <c r="S27" s="164"/>
      <c r="T27" s="166" t="s">
        <v>484</v>
      </c>
      <c r="U27" s="164" t="s">
        <v>55</v>
      </c>
      <c r="V27" s="203" t="s">
        <v>1978</v>
      </c>
      <c r="W27" s="164" t="s">
        <v>485</v>
      </c>
      <c r="X27" s="164" t="s">
        <v>517</v>
      </c>
      <c r="Y27" s="167" t="s">
        <v>1977</v>
      </c>
      <c r="Z27" s="164" t="s">
        <v>487</v>
      </c>
      <c r="AA27" s="168">
        <v>1</v>
      </c>
      <c r="AB27" s="164" t="s">
        <v>488</v>
      </c>
      <c r="AC27" s="199" t="s">
        <v>489</v>
      </c>
      <c r="AD27" s="199" t="s">
        <v>490</v>
      </c>
      <c r="AE27" s="164" t="s">
        <v>491</v>
      </c>
      <c r="AF27" s="164" t="s">
        <v>492</v>
      </c>
      <c r="AG27" s="164" t="s">
        <v>493</v>
      </c>
      <c r="AH27" s="164" t="s">
        <v>494</v>
      </c>
      <c r="AI27" s="164" t="s">
        <v>495</v>
      </c>
    </row>
    <row r="28" spans="1:35" ht="43.2" x14ac:dyDescent="0.3">
      <c r="A28" s="131">
        <v>27</v>
      </c>
      <c r="B28" s="79" t="str">
        <f t="shared" si="2"/>
        <v>Y</v>
      </c>
      <c r="C28" s="79" t="s">
        <v>45</v>
      </c>
      <c r="D28" s="76" t="s">
        <v>579</v>
      </c>
      <c r="E28" s="82" t="s">
        <v>580</v>
      </c>
      <c r="F28" s="13" t="s">
        <v>581</v>
      </c>
      <c r="G28" s="82" t="s">
        <v>564</v>
      </c>
      <c r="H28" s="176">
        <v>400</v>
      </c>
      <c r="I28" s="131" t="s">
        <v>1968</v>
      </c>
      <c r="J28" s="166" t="s">
        <v>50</v>
      </c>
      <c r="K28" s="164" t="s">
        <v>482</v>
      </c>
      <c r="L28" s="164" t="s">
        <v>51</v>
      </c>
      <c r="M28" s="164" t="s">
        <v>53</v>
      </c>
      <c r="N28" s="164" t="s">
        <v>52</v>
      </c>
      <c r="O28" s="198" t="s">
        <v>1952</v>
      </c>
      <c r="P28" s="164" t="s">
        <v>60</v>
      </c>
      <c r="Q28" s="164" t="s">
        <v>483</v>
      </c>
      <c r="R28" s="164" t="s">
        <v>51</v>
      </c>
      <c r="S28" s="164"/>
      <c r="T28" s="166" t="s">
        <v>520</v>
      </c>
      <c r="U28" s="164" t="s">
        <v>55</v>
      </c>
      <c r="V28" s="203" t="s">
        <v>1978</v>
      </c>
      <c r="W28" s="164" t="s">
        <v>485</v>
      </c>
      <c r="X28" s="164" t="s">
        <v>509</v>
      </c>
      <c r="Y28" s="203" t="s">
        <v>1977</v>
      </c>
      <c r="Z28" s="164" t="s">
        <v>487</v>
      </c>
      <c r="AA28" s="168">
        <v>1</v>
      </c>
      <c r="AB28" s="164" t="s">
        <v>488</v>
      </c>
      <c r="AC28" s="199" t="s">
        <v>489</v>
      </c>
      <c r="AD28" s="199" t="s">
        <v>490</v>
      </c>
      <c r="AE28" s="164" t="s">
        <v>491</v>
      </c>
      <c r="AF28" s="164" t="s">
        <v>492</v>
      </c>
      <c r="AG28" s="164" t="s">
        <v>493</v>
      </c>
      <c r="AH28" s="164" t="s">
        <v>494</v>
      </c>
      <c r="AI28" s="164" t="s">
        <v>495</v>
      </c>
    </row>
    <row r="29" spans="1:35" ht="57.6" x14ac:dyDescent="0.3">
      <c r="A29" s="131">
        <v>28</v>
      </c>
      <c r="B29" s="79" t="str">
        <f t="shared" si="2"/>
        <v>Y</v>
      </c>
      <c r="C29" s="79" t="s">
        <v>45</v>
      </c>
      <c r="D29" s="76" t="s">
        <v>582</v>
      </c>
      <c r="E29" s="82" t="s">
        <v>583</v>
      </c>
      <c r="F29" s="13" t="s">
        <v>584</v>
      </c>
      <c r="G29" s="82" t="s">
        <v>564</v>
      </c>
      <c r="H29" s="176">
        <v>400</v>
      </c>
      <c r="I29" s="131" t="s">
        <v>1968</v>
      </c>
      <c r="J29" s="166" t="s">
        <v>50</v>
      </c>
      <c r="K29" s="164" t="s">
        <v>482</v>
      </c>
      <c r="L29" s="164" t="s">
        <v>51</v>
      </c>
      <c r="M29" s="164" t="s">
        <v>53</v>
      </c>
      <c r="N29" s="164" t="s">
        <v>52</v>
      </c>
      <c r="O29" s="198" t="s">
        <v>1952</v>
      </c>
      <c r="P29" s="164" t="s">
        <v>60</v>
      </c>
      <c r="Q29" s="164" t="s">
        <v>483</v>
      </c>
      <c r="R29" s="164" t="s">
        <v>51</v>
      </c>
      <c r="S29" s="164"/>
      <c r="T29" s="166" t="s">
        <v>171</v>
      </c>
      <c r="U29" s="164" t="s">
        <v>55</v>
      </c>
      <c r="V29" s="203" t="s">
        <v>1978</v>
      </c>
      <c r="W29" s="164" t="s">
        <v>485</v>
      </c>
      <c r="X29" s="164" t="s">
        <v>509</v>
      </c>
      <c r="Y29" s="203" t="s">
        <v>1977</v>
      </c>
      <c r="Z29" s="164" t="s">
        <v>487</v>
      </c>
      <c r="AA29" s="168">
        <v>1</v>
      </c>
      <c r="AB29" s="164" t="s">
        <v>488</v>
      </c>
      <c r="AC29" s="199" t="s">
        <v>489</v>
      </c>
      <c r="AD29" s="199" t="s">
        <v>490</v>
      </c>
      <c r="AE29" s="164" t="s">
        <v>491</v>
      </c>
      <c r="AF29" s="164" t="s">
        <v>492</v>
      </c>
      <c r="AG29" s="164" t="s">
        <v>493</v>
      </c>
      <c r="AH29" s="164" t="s">
        <v>494</v>
      </c>
      <c r="AI29" s="164" t="s">
        <v>495</v>
      </c>
    </row>
    <row r="30" spans="1:35" ht="57.6" x14ac:dyDescent="0.3">
      <c r="A30" s="131">
        <v>29</v>
      </c>
      <c r="B30" s="79" t="str">
        <f t="shared" si="2"/>
        <v>N</v>
      </c>
      <c r="C30" s="79" t="s">
        <v>113</v>
      </c>
      <c r="D30" s="76" t="s">
        <v>585</v>
      </c>
      <c r="E30" s="180" t="s">
        <v>586</v>
      </c>
      <c r="F30" s="13" t="s">
        <v>587</v>
      </c>
      <c r="G30" s="82" t="s">
        <v>564</v>
      </c>
      <c r="H30" s="176">
        <v>400</v>
      </c>
      <c r="I30" s="131" t="s">
        <v>1967</v>
      </c>
      <c r="J30" s="164" t="s">
        <v>50</v>
      </c>
      <c r="K30" s="164" t="s">
        <v>482</v>
      </c>
      <c r="L30" s="164" t="s">
        <v>51</v>
      </c>
      <c r="M30" s="164" t="s">
        <v>53</v>
      </c>
      <c r="N30" s="164" t="s">
        <v>52</v>
      </c>
      <c r="O30" s="198" t="s">
        <v>1952</v>
      </c>
      <c r="P30" s="164" t="s">
        <v>60</v>
      </c>
      <c r="Q30" s="164" t="s">
        <v>483</v>
      </c>
      <c r="R30" s="164" t="s">
        <v>51</v>
      </c>
      <c r="S30" s="164"/>
      <c r="T30" s="166" t="s">
        <v>484</v>
      </c>
      <c r="U30" s="164" t="s">
        <v>55</v>
      </c>
      <c r="V30" s="167" t="s">
        <v>1981</v>
      </c>
      <c r="W30" s="164" t="s">
        <v>485</v>
      </c>
      <c r="X30" s="164" t="s">
        <v>486</v>
      </c>
      <c r="Y30" s="167" t="s">
        <v>1981</v>
      </c>
      <c r="Z30" s="164" t="s">
        <v>487</v>
      </c>
      <c r="AA30" s="168">
        <v>1</v>
      </c>
      <c r="AB30" s="164" t="s">
        <v>488</v>
      </c>
      <c r="AC30" s="199" t="s">
        <v>489</v>
      </c>
      <c r="AD30" s="199" t="s">
        <v>490</v>
      </c>
      <c r="AE30" s="164" t="s">
        <v>491</v>
      </c>
      <c r="AF30" s="164" t="s">
        <v>492</v>
      </c>
      <c r="AG30" s="164" t="s">
        <v>493</v>
      </c>
      <c r="AH30" s="164" t="s">
        <v>494</v>
      </c>
      <c r="AI30" s="164" t="s">
        <v>495</v>
      </c>
    </row>
    <row r="31" spans="1:35" ht="57.6" x14ac:dyDescent="0.3">
      <c r="A31" s="131">
        <v>30</v>
      </c>
      <c r="B31" s="79" t="str">
        <f t="shared" si="2"/>
        <v>N</v>
      </c>
      <c r="C31" s="79" t="s">
        <v>113</v>
      </c>
      <c r="D31" s="76" t="s">
        <v>588</v>
      </c>
      <c r="E31" s="180" t="s">
        <v>589</v>
      </c>
      <c r="F31" s="13" t="s">
        <v>590</v>
      </c>
      <c r="G31" s="82" t="s">
        <v>564</v>
      </c>
      <c r="H31" s="176">
        <v>400</v>
      </c>
      <c r="I31" s="131" t="s">
        <v>1967</v>
      </c>
      <c r="J31" s="164" t="s">
        <v>50</v>
      </c>
      <c r="K31" s="164" t="s">
        <v>482</v>
      </c>
      <c r="L31" s="164" t="s">
        <v>51</v>
      </c>
      <c r="M31" s="164" t="s">
        <v>53</v>
      </c>
      <c r="N31" s="164" t="s">
        <v>52</v>
      </c>
      <c r="O31" s="198" t="s">
        <v>1952</v>
      </c>
      <c r="P31" s="164" t="s">
        <v>60</v>
      </c>
      <c r="Q31" s="164" t="s">
        <v>483</v>
      </c>
      <c r="R31" s="164" t="s">
        <v>51</v>
      </c>
      <c r="S31" s="164"/>
      <c r="T31" s="166" t="s">
        <v>484</v>
      </c>
      <c r="U31" s="164" t="s">
        <v>55</v>
      </c>
      <c r="V31" s="167" t="s">
        <v>1981</v>
      </c>
      <c r="W31" s="164" t="s">
        <v>485</v>
      </c>
      <c r="X31" s="164" t="s">
        <v>517</v>
      </c>
      <c r="Y31" s="167" t="s">
        <v>1981</v>
      </c>
      <c r="Z31" s="164" t="s">
        <v>487</v>
      </c>
      <c r="AA31" s="168">
        <v>1</v>
      </c>
      <c r="AB31" s="164" t="s">
        <v>488</v>
      </c>
      <c r="AC31" s="199" t="s">
        <v>489</v>
      </c>
      <c r="AD31" s="199" t="s">
        <v>490</v>
      </c>
      <c r="AE31" s="164" t="s">
        <v>491</v>
      </c>
      <c r="AF31" s="164" t="s">
        <v>492</v>
      </c>
      <c r="AG31" s="164" t="s">
        <v>493</v>
      </c>
      <c r="AH31" s="164" t="s">
        <v>494</v>
      </c>
      <c r="AI31" s="164" t="s">
        <v>495</v>
      </c>
    </row>
    <row r="32" spans="1:35" ht="57.6" x14ac:dyDescent="0.3">
      <c r="A32" s="131">
        <v>31</v>
      </c>
      <c r="B32" s="79" t="str">
        <f t="shared" si="2"/>
        <v>N</v>
      </c>
      <c r="C32" s="79" t="s">
        <v>113</v>
      </c>
      <c r="D32" s="76" t="s">
        <v>591</v>
      </c>
      <c r="E32" s="180" t="s">
        <v>592</v>
      </c>
      <c r="F32" s="13" t="s">
        <v>593</v>
      </c>
      <c r="G32" s="82" t="s">
        <v>564</v>
      </c>
      <c r="H32" s="176">
        <v>400</v>
      </c>
      <c r="I32" s="131" t="s">
        <v>1967</v>
      </c>
      <c r="J32" s="166" t="s">
        <v>50</v>
      </c>
      <c r="K32" s="164" t="s">
        <v>482</v>
      </c>
      <c r="L32" s="164" t="s">
        <v>51</v>
      </c>
      <c r="M32" s="164" t="s">
        <v>53</v>
      </c>
      <c r="N32" s="164" t="s">
        <v>52</v>
      </c>
      <c r="O32" s="198" t="s">
        <v>1952</v>
      </c>
      <c r="P32" s="164" t="s">
        <v>60</v>
      </c>
      <c r="Q32" s="164" t="s">
        <v>483</v>
      </c>
      <c r="R32" s="164" t="s">
        <v>51</v>
      </c>
      <c r="S32" s="164"/>
      <c r="T32" s="166" t="s">
        <v>520</v>
      </c>
      <c r="U32" s="164" t="s">
        <v>55</v>
      </c>
      <c r="V32" s="167" t="s">
        <v>1981</v>
      </c>
      <c r="W32" s="164" t="s">
        <v>485</v>
      </c>
      <c r="X32" s="164" t="s">
        <v>509</v>
      </c>
      <c r="Y32" s="203" t="s">
        <v>1981</v>
      </c>
      <c r="Z32" s="164" t="s">
        <v>487</v>
      </c>
      <c r="AA32" s="168">
        <v>1</v>
      </c>
      <c r="AB32" s="164" t="s">
        <v>488</v>
      </c>
      <c r="AC32" s="199" t="s">
        <v>489</v>
      </c>
      <c r="AD32" s="199" t="s">
        <v>490</v>
      </c>
      <c r="AE32" s="164" t="s">
        <v>491</v>
      </c>
      <c r="AF32" s="164" t="s">
        <v>492</v>
      </c>
      <c r="AG32" s="164" t="s">
        <v>493</v>
      </c>
      <c r="AH32" s="164" t="s">
        <v>494</v>
      </c>
      <c r="AI32" s="164" t="s">
        <v>495</v>
      </c>
    </row>
    <row r="33" spans="1:35" ht="57.6" x14ac:dyDescent="0.3">
      <c r="A33" s="131">
        <v>32</v>
      </c>
      <c r="B33" s="79" t="str">
        <f t="shared" si="2"/>
        <v>N</v>
      </c>
      <c r="C33" s="79" t="s">
        <v>113</v>
      </c>
      <c r="D33" s="76" t="s">
        <v>594</v>
      </c>
      <c r="E33" s="180" t="s">
        <v>595</v>
      </c>
      <c r="F33" s="13" t="s">
        <v>596</v>
      </c>
      <c r="G33" s="82" t="s">
        <v>564</v>
      </c>
      <c r="H33" s="176">
        <v>400</v>
      </c>
      <c r="I33" s="131" t="s">
        <v>1967</v>
      </c>
      <c r="J33" s="166" t="s">
        <v>50</v>
      </c>
      <c r="K33" s="164" t="s">
        <v>482</v>
      </c>
      <c r="L33" s="164" t="s">
        <v>51</v>
      </c>
      <c r="M33" s="164" t="s">
        <v>53</v>
      </c>
      <c r="N33" s="164" t="s">
        <v>52</v>
      </c>
      <c r="O33" s="198" t="s">
        <v>1952</v>
      </c>
      <c r="P33" s="164" t="s">
        <v>60</v>
      </c>
      <c r="Q33" s="164" t="s">
        <v>483</v>
      </c>
      <c r="R33" s="164" t="s">
        <v>51</v>
      </c>
      <c r="S33" s="164"/>
      <c r="T33" s="166" t="s">
        <v>171</v>
      </c>
      <c r="U33" s="164" t="s">
        <v>55</v>
      </c>
      <c r="V33" s="167" t="s">
        <v>1981</v>
      </c>
      <c r="W33" s="164" t="s">
        <v>485</v>
      </c>
      <c r="X33" s="164" t="s">
        <v>509</v>
      </c>
      <c r="Y33" s="203" t="s">
        <v>1981</v>
      </c>
      <c r="Z33" s="164" t="s">
        <v>487</v>
      </c>
      <c r="AA33" s="168">
        <v>1</v>
      </c>
      <c r="AB33" s="164" t="s">
        <v>488</v>
      </c>
      <c r="AC33" s="199" t="s">
        <v>489</v>
      </c>
      <c r="AD33" s="199" t="s">
        <v>490</v>
      </c>
      <c r="AE33" s="164" t="s">
        <v>491</v>
      </c>
      <c r="AF33" s="164" t="s">
        <v>492</v>
      </c>
      <c r="AG33" s="164" t="s">
        <v>493</v>
      </c>
      <c r="AH33" s="164" t="s">
        <v>494</v>
      </c>
      <c r="AI33" s="164" t="s">
        <v>495</v>
      </c>
    </row>
    <row r="34" spans="1:35" ht="72" x14ac:dyDescent="0.3">
      <c r="A34" s="131">
        <v>33</v>
      </c>
      <c r="B34" s="79" t="str">
        <f>C34</f>
        <v>N</v>
      </c>
      <c r="C34" s="79" t="s">
        <v>113</v>
      </c>
      <c r="D34" s="76" t="s">
        <v>597</v>
      </c>
      <c r="E34" s="180" t="s">
        <v>598</v>
      </c>
      <c r="F34" s="13" t="s">
        <v>599</v>
      </c>
      <c r="G34" s="82" t="s">
        <v>564</v>
      </c>
      <c r="H34" s="176">
        <v>400</v>
      </c>
      <c r="I34" s="131" t="s">
        <v>1970</v>
      </c>
      <c r="J34" s="164" t="s">
        <v>50</v>
      </c>
      <c r="K34" s="164" t="s">
        <v>482</v>
      </c>
      <c r="L34" s="164" t="s">
        <v>51</v>
      </c>
      <c r="M34" s="164" t="s">
        <v>53</v>
      </c>
      <c r="N34" s="164" t="s">
        <v>52</v>
      </c>
      <c r="O34" s="198" t="s">
        <v>1952</v>
      </c>
      <c r="P34" s="164" t="s">
        <v>60</v>
      </c>
      <c r="Q34" s="164" t="s">
        <v>483</v>
      </c>
      <c r="R34" s="164" t="s">
        <v>51</v>
      </c>
      <c r="S34" s="164"/>
      <c r="T34" s="166" t="s">
        <v>484</v>
      </c>
      <c r="U34" s="164" t="s">
        <v>55</v>
      </c>
      <c r="V34" s="203" t="s">
        <v>1969</v>
      </c>
      <c r="W34" s="164" t="s">
        <v>485</v>
      </c>
      <c r="X34" s="164" t="s">
        <v>486</v>
      </c>
      <c r="Y34" s="167">
        <v>200061812368</v>
      </c>
      <c r="Z34" s="164" t="s">
        <v>487</v>
      </c>
      <c r="AA34" s="168">
        <v>1</v>
      </c>
      <c r="AB34" s="164" t="s">
        <v>488</v>
      </c>
      <c r="AC34" s="199" t="s">
        <v>489</v>
      </c>
      <c r="AD34" s="199" t="s">
        <v>490</v>
      </c>
      <c r="AE34" s="164" t="s">
        <v>491</v>
      </c>
      <c r="AF34" s="164" t="s">
        <v>492</v>
      </c>
      <c r="AG34" s="164" t="s">
        <v>493</v>
      </c>
      <c r="AH34" s="164" t="s">
        <v>494</v>
      </c>
      <c r="AI34" s="164" t="s">
        <v>495</v>
      </c>
    </row>
    <row r="35" spans="1:35" ht="72" x14ac:dyDescent="0.3">
      <c r="A35" s="131">
        <v>34</v>
      </c>
      <c r="B35" s="79" t="str">
        <f t="shared" ref="B35:B41" si="3">C35</f>
        <v>N</v>
      </c>
      <c r="C35" s="79" t="s">
        <v>113</v>
      </c>
      <c r="D35" s="76" t="s">
        <v>600</v>
      </c>
      <c r="E35" s="180" t="s">
        <v>601</v>
      </c>
      <c r="F35" s="13" t="s">
        <v>602</v>
      </c>
      <c r="G35" s="82" t="s">
        <v>564</v>
      </c>
      <c r="H35" s="176">
        <v>400</v>
      </c>
      <c r="I35" s="131" t="s">
        <v>1970</v>
      </c>
      <c r="J35" s="164" t="s">
        <v>50</v>
      </c>
      <c r="K35" s="164" t="s">
        <v>482</v>
      </c>
      <c r="L35" s="164" t="s">
        <v>51</v>
      </c>
      <c r="M35" s="164" t="s">
        <v>53</v>
      </c>
      <c r="N35" s="164" t="s">
        <v>52</v>
      </c>
      <c r="O35" s="198" t="s">
        <v>1952</v>
      </c>
      <c r="P35" s="164" t="s">
        <v>60</v>
      </c>
      <c r="Q35" s="164" t="s">
        <v>483</v>
      </c>
      <c r="R35" s="164" t="s">
        <v>51</v>
      </c>
      <c r="S35" s="164"/>
      <c r="T35" s="166" t="s">
        <v>484</v>
      </c>
      <c r="U35" s="164" t="s">
        <v>55</v>
      </c>
      <c r="V35" s="203" t="s">
        <v>1969</v>
      </c>
      <c r="W35" s="164" t="s">
        <v>485</v>
      </c>
      <c r="X35" s="164" t="s">
        <v>517</v>
      </c>
      <c r="Y35" s="167">
        <v>500027172598</v>
      </c>
      <c r="Z35" s="164" t="s">
        <v>487</v>
      </c>
      <c r="AA35" s="168">
        <v>1</v>
      </c>
      <c r="AB35" s="164" t="s">
        <v>488</v>
      </c>
      <c r="AC35" s="199" t="s">
        <v>489</v>
      </c>
      <c r="AD35" s="199" t="s">
        <v>490</v>
      </c>
      <c r="AE35" s="164" t="s">
        <v>491</v>
      </c>
      <c r="AF35" s="164" t="s">
        <v>492</v>
      </c>
      <c r="AG35" s="164" t="s">
        <v>493</v>
      </c>
      <c r="AH35" s="164" t="s">
        <v>494</v>
      </c>
      <c r="AI35" s="164" t="s">
        <v>495</v>
      </c>
    </row>
    <row r="36" spans="1:35" ht="72" x14ac:dyDescent="0.3">
      <c r="A36" s="131">
        <v>35</v>
      </c>
      <c r="B36" s="79" t="str">
        <f t="shared" si="3"/>
        <v>N</v>
      </c>
      <c r="C36" s="79" t="s">
        <v>113</v>
      </c>
      <c r="D36" s="76" t="s">
        <v>603</v>
      </c>
      <c r="E36" s="180" t="s">
        <v>604</v>
      </c>
      <c r="F36" s="13" t="s">
        <v>605</v>
      </c>
      <c r="G36" s="82" t="s">
        <v>564</v>
      </c>
      <c r="H36" s="176">
        <v>400</v>
      </c>
      <c r="I36" s="131" t="s">
        <v>1970</v>
      </c>
      <c r="J36" s="166" t="s">
        <v>50</v>
      </c>
      <c r="K36" s="164" t="s">
        <v>482</v>
      </c>
      <c r="L36" s="164" t="s">
        <v>51</v>
      </c>
      <c r="M36" s="164" t="s">
        <v>53</v>
      </c>
      <c r="N36" s="164" t="s">
        <v>52</v>
      </c>
      <c r="O36" s="198" t="s">
        <v>1952</v>
      </c>
      <c r="P36" s="164" t="s">
        <v>60</v>
      </c>
      <c r="Q36" s="164" t="s">
        <v>483</v>
      </c>
      <c r="R36" s="164" t="s">
        <v>51</v>
      </c>
      <c r="S36" s="164"/>
      <c r="T36" s="166" t="s">
        <v>520</v>
      </c>
      <c r="U36" s="164" t="s">
        <v>55</v>
      </c>
      <c r="V36" s="203" t="s">
        <v>1969</v>
      </c>
      <c r="W36" s="164" t="s">
        <v>485</v>
      </c>
      <c r="X36" s="164" t="s">
        <v>509</v>
      </c>
      <c r="Y36" s="203" t="s">
        <v>510</v>
      </c>
      <c r="Z36" s="164" t="s">
        <v>487</v>
      </c>
      <c r="AA36" s="168">
        <v>1</v>
      </c>
      <c r="AB36" s="164" t="s">
        <v>488</v>
      </c>
      <c r="AC36" s="199" t="s">
        <v>489</v>
      </c>
      <c r="AD36" s="199" t="s">
        <v>490</v>
      </c>
      <c r="AE36" s="164" t="s">
        <v>491</v>
      </c>
      <c r="AF36" s="164" t="s">
        <v>492</v>
      </c>
      <c r="AG36" s="164" t="s">
        <v>493</v>
      </c>
      <c r="AH36" s="164" t="s">
        <v>494</v>
      </c>
      <c r="AI36" s="164" t="s">
        <v>495</v>
      </c>
    </row>
    <row r="37" spans="1:35" ht="72" x14ac:dyDescent="0.3">
      <c r="A37" s="131">
        <v>36</v>
      </c>
      <c r="B37" s="79" t="str">
        <f t="shared" si="3"/>
        <v>N</v>
      </c>
      <c r="C37" s="79" t="s">
        <v>113</v>
      </c>
      <c r="D37" s="76" t="s">
        <v>606</v>
      </c>
      <c r="E37" s="180" t="s">
        <v>607</v>
      </c>
      <c r="F37" s="13" t="s">
        <v>608</v>
      </c>
      <c r="G37" s="82" t="s">
        <v>564</v>
      </c>
      <c r="H37" s="176">
        <v>400</v>
      </c>
      <c r="I37" s="131" t="s">
        <v>1970</v>
      </c>
      <c r="J37" s="166" t="s">
        <v>50</v>
      </c>
      <c r="K37" s="164" t="s">
        <v>482</v>
      </c>
      <c r="L37" s="164" t="s">
        <v>51</v>
      </c>
      <c r="M37" s="164" t="s">
        <v>53</v>
      </c>
      <c r="N37" s="164" t="s">
        <v>52</v>
      </c>
      <c r="O37" s="198" t="s">
        <v>1952</v>
      </c>
      <c r="P37" s="164" t="s">
        <v>60</v>
      </c>
      <c r="Q37" s="164" t="s">
        <v>483</v>
      </c>
      <c r="R37" s="164" t="s">
        <v>51</v>
      </c>
      <c r="S37" s="164"/>
      <c r="T37" s="166" t="s">
        <v>171</v>
      </c>
      <c r="U37" s="164" t="s">
        <v>55</v>
      </c>
      <c r="V37" s="203" t="s">
        <v>1969</v>
      </c>
      <c r="W37" s="164" t="s">
        <v>485</v>
      </c>
      <c r="X37" s="164" t="s">
        <v>509</v>
      </c>
      <c r="Y37" s="203" t="s">
        <v>510</v>
      </c>
      <c r="Z37" s="164" t="s">
        <v>487</v>
      </c>
      <c r="AA37" s="168">
        <v>1</v>
      </c>
      <c r="AB37" s="164" t="s">
        <v>488</v>
      </c>
      <c r="AC37" s="199" t="s">
        <v>489</v>
      </c>
      <c r="AD37" s="199" t="s">
        <v>490</v>
      </c>
      <c r="AE37" s="164" t="s">
        <v>491</v>
      </c>
      <c r="AF37" s="164" t="s">
        <v>492</v>
      </c>
      <c r="AG37" s="164" t="s">
        <v>493</v>
      </c>
      <c r="AH37" s="164" t="s">
        <v>494</v>
      </c>
      <c r="AI37" s="164" t="s">
        <v>495</v>
      </c>
    </row>
    <row r="38" spans="1:35" ht="57.6" x14ac:dyDescent="0.3">
      <c r="A38" s="131">
        <v>37</v>
      </c>
      <c r="B38" s="79" t="str">
        <f t="shared" si="3"/>
        <v>N</v>
      </c>
      <c r="C38" s="79" t="s">
        <v>113</v>
      </c>
      <c r="D38" s="76" t="s">
        <v>609</v>
      </c>
      <c r="E38" s="210" t="s">
        <v>610</v>
      </c>
      <c r="F38" s="13" t="s">
        <v>611</v>
      </c>
      <c r="G38" s="82" t="s">
        <v>564</v>
      </c>
      <c r="H38" s="205">
        <v>400</v>
      </c>
      <c r="I38" s="21" t="s">
        <v>1971</v>
      </c>
      <c r="J38" s="164" t="s">
        <v>50</v>
      </c>
      <c r="K38" s="164" t="s">
        <v>482</v>
      </c>
      <c r="L38" s="164" t="s">
        <v>51</v>
      </c>
      <c r="M38" s="164" t="s">
        <v>53</v>
      </c>
      <c r="N38" s="164" t="s">
        <v>52</v>
      </c>
      <c r="O38" s="198" t="s">
        <v>1952</v>
      </c>
      <c r="P38" s="164" t="s">
        <v>60</v>
      </c>
      <c r="Q38" s="164" t="s">
        <v>483</v>
      </c>
      <c r="R38" s="164" t="s">
        <v>51</v>
      </c>
      <c r="S38" s="164"/>
      <c r="T38" s="166" t="s">
        <v>484</v>
      </c>
      <c r="U38" s="164" t="s">
        <v>55</v>
      </c>
      <c r="V38" s="203" t="s">
        <v>1972</v>
      </c>
      <c r="W38" s="164" t="s">
        <v>485</v>
      </c>
      <c r="X38" s="164" t="s">
        <v>486</v>
      </c>
      <c r="Y38" s="167">
        <v>200061812368</v>
      </c>
      <c r="Z38" s="164" t="s">
        <v>487</v>
      </c>
      <c r="AA38" s="168">
        <v>1</v>
      </c>
      <c r="AB38" s="164" t="s">
        <v>488</v>
      </c>
      <c r="AC38" s="199" t="s">
        <v>489</v>
      </c>
      <c r="AD38" s="199" t="s">
        <v>490</v>
      </c>
      <c r="AE38" s="164" t="s">
        <v>491</v>
      </c>
      <c r="AF38" s="164" t="s">
        <v>492</v>
      </c>
      <c r="AG38" s="164" t="s">
        <v>493</v>
      </c>
      <c r="AH38" s="164" t="s">
        <v>494</v>
      </c>
      <c r="AI38" s="164" t="s">
        <v>495</v>
      </c>
    </row>
    <row r="39" spans="1:35" ht="57.6" x14ac:dyDescent="0.3">
      <c r="A39" s="131">
        <v>38</v>
      </c>
      <c r="B39" s="79" t="str">
        <f t="shared" si="3"/>
        <v>N</v>
      </c>
      <c r="C39" s="79" t="s">
        <v>113</v>
      </c>
      <c r="D39" s="76" t="s">
        <v>612</v>
      </c>
      <c r="E39" s="180" t="s">
        <v>613</v>
      </c>
      <c r="F39" s="13" t="s">
        <v>614</v>
      </c>
      <c r="G39" s="82" t="s">
        <v>564</v>
      </c>
      <c r="H39" s="205">
        <v>400</v>
      </c>
      <c r="I39" s="21" t="s">
        <v>1971</v>
      </c>
      <c r="J39" s="164" t="s">
        <v>50</v>
      </c>
      <c r="K39" s="164" t="s">
        <v>482</v>
      </c>
      <c r="L39" s="164" t="s">
        <v>51</v>
      </c>
      <c r="M39" s="164" t="s">
        <v>53</v>
      </c>
      <c r="N39" s="164" t="s">
        <v>52</v>
      </c>
      <c r="O39" s="198" t="s">
        <v>1952</v>
      </c>
      <c r="P39" s="164" t="s">
        <v>60</v>
      </c>
      <c r="Q39" s="164" t="s">
        <v>483</v>
      </c>
      <c r="R39" s="164" t="s">
        <v>51</v>
      </c>
      <c r="S39" s="164"/>
      <c r="T39" s="166" t="s">
        <v>484</v>
      </c>
      <c r="U39" s="164" t="s">
        <v>55</v>
      </c>
      <c r="V39" s="203" t="s">
        <v>1972</v>
      </c>
      <c r="W39" s="164" t="s">
        <v>485</v>
      </c>
      <c r="X39" s="164" t="s">
        <v>517</v>
      </c>
      <c r="Y39" s="167">
        <v>500027172598</v>
      </c>
      <c r="Z39" s="164" t="s">
        <v>487</v>
      </c>
      <c r="AA39" s="168">
        <v>1</v>
      </c>
      <c r="AB39" s="164" t="s">
        <v>488</v>
      </c>
      <c r="AC39" s="199" t="s">
        <v>489</v>
      </c>
      <c r="AD39" s="199" t="s">
        <v>490</v>
      </c>
      <c r="AE39" s="164" t="s">
        <v>491</v>
      </c>
      <c r="AF39" s="164" t="s">
        <v>492</v>
      </c>
      <c r="AG39" s="164" t="s">
        <v>493</v>
      </c>
      <c r="AH39" s="164" t="s">
        <v>494</v>
      </c>
      <c r="AI39" s="164" t="s">
        <v>495</v>
      </c>
    </row>
    <row r="40" spans="1:35" ht="57.6" x14ac:dyDescent="0.3">
      <c r="A40" s="131">
        <v>39</v>
      </c>
      <c r="B40" s="79" t="str">
        <f t="shared" si="3"/>
        <v>N</v>
      </c>
      <c r="C40" s="79" t="s">
        <v>113</v>
      </c>
      <c r="D40" s="76" t="s">
        <v>615</v>
      </c>
      <c r="E40" s="180" t="s">
        <v>616</v>
      </c>
      <c r="F40" s="13" t="s">
        <v>617</v>
      </c>
      <c r="G40" s="82" t="s">
        <v>564</v>
      </c>
      <c r="H40" s="205">
        <v>400</v>
      </c>
      <c r="I40" s="21" t="s">
        <v>1971</v>
      </c>
      <c r="J40" s="166" t="s">
        <v>50</v>
      </c>
      <c r="K40" s="164" t="s">
        <v>482</v>
      </c>
      <c r="L40" s="164" t="s">
        <v>51</v>
      </c>
      <c r="M40" s="164" t="s">
        <v>53</v>
      </c>
      <c r="N40" s="164" t="s">
        <v>52</v>
      </c>
      <c r="O40" s="198" t="s">
        <v>1952</v>
      </c>
      <c r="P40" s="164" t="s">
        <v>60</v>
      </c>
      <c r="Q40" s="164" t="s">
        <v>483</v>
      </c>
      <c r="R40" s="164" t="s">
        <v>51</v>
      </c>
      <c r="S40" s="164"/>
      <c r="T40" s="166" t="s">
        <v>520</v>
      </c>
      <c r="U40" s="164" t="s">
        <v>55</v>
      </c>
      <c r="V40" s="203" t="s">
        <v>1972</v>
      </c>
      <c r="W40" s="164" t="s">
        <v>485</v>
      </c>
      <c r="X40" s="164" t="s">
        <v>509</v>
      </c>
      <c r="Y40" s="203" t="s">
        <v>510</v>
      </c>
      <c r="Z40" s="164" t="s">
        <v>487</v>
      </c>
      <c r="AA40" s="168">
        <v>1</v>
      </c>
      <c r="AB40" s="164" t="s">
        <v>488</v>
      </c>
      <c r="AC40" s="199" t="s">
        <v>489</v>
      </c>
      <c r="AD40" s="199" t="s">
        <v>490</v>
      </c>
      <c r="AE40" s="164" t="s">
        <v>491</v>
      </c>
      <c r="AF40" s="164" t="s">
        <v>492</v>
      </c>
      <c r="AG40" s="164" t="s">
        <v>493</v>
      </c>
      <c r="AH40" s="164" t="s">
        <v>494</v>
      </c>
      <c r="AI40" s="164" t="s">
        <v>495</v>
      </c>
    </row>
    <row r="41" spans="1:35" ht="57.6" x14ac:dyDescent="0.3">
      <c r="A41" s="131">
        <v>40</v>
      </c>
      <c r="B41" s="79" t="str">
        <f t="shared" si="3"/>
        <v>N</v>
      </c>
      <c r="C41" s="79" t="s">
        <v>113</v>
      </c>
      <c r="D41" s="76" t="s">
        <v>618</v>
      </c>
      <c r="E41" s="180" t="s">
        <v>619</v>
      </c>
      <c r="F41" s="13" t="s">
        <v>620</v>
      </c>
      <c r="G41" s="82" t="s">
        <v>564</v>
      </c>
      <c r="H41" s="205">
        <v>400</v>
      </c>
      <c r="I41" s="21" t="s">
        <v>1971</v>
      </c>
      <c r="J41" s="166" t="s">
        <v>50</v>
      </c>
      <c r="K41" s="164" t="s">
        <v>482</v>
      </c>
      <c r="L41" s="164" t="s">
        <v>51</v>
      </c>
      <c r="M41" s="164" t="s">
        <v>53</v>
      </c>
      <c r="N41" s="164" t="s">
        <v>52</v>
      </c>
      <c r="O41" s="198" t="s">
        <v>1952</v>
      </c>
      <c r="P41" s="164" t="s">
        <v>60</v>
      </c>
      <c r="Q41" s="164" t="s">
        <v>483</v>
      </c>
      <c r="R41" s="164" t="s">
        <v>51</v>
      </c>
      <c r="S41" s="164"/>
      <c r="T41" s="166" t="s">
        <v>171</v>
      </c>
      <c r="U41" s="164" t="s">
        <v>55</v>
      </c>
      <c r="V41" s="203" t="s">
        <v>1972</v>
      </c>
      <c r="W41" s="164" t="s">
        <v>485</v>
      </c>
      <c r="X41" s="164" t="s">
        <v>509</v>
      </c>
      <c r="Y41" s="203" t="s">
        <v>510</v>
      </c>
      <c r="Z41" s="164" t="s">
        <v>487</v>
      </c>
      <c r="AA41" s="168">
        <v>1</v>
      </c>
      <c r="AB41" s="164" t="s">
        <v>488</v>
      </c>
      <c r="AC41" s="199" t="s">
        <v>489</v>
      </c>
      <c r="AD41" s="199" t="s">
        <v>490</v>
      </c>
      <c r="AE41" s="164" t="s">
        <v>491</v>
      </c>
      <c r="AF41" s="164" t="s">
        <v>492</v>
      </c>
      <c r="AG41" s="164" t="s">
        <v>493</v>
      </c>
      <c r="AH41" s="164" t="s">
        <v>494</v>
      </c>
      <c r="AI41" s="164" t="s">
        <v>495</v>
      </c>
    </row>
    <row r="42" spans="1:35" ht="57.6" x14ac:dyDescent="0.3">
      <c r="A42" s="131">
        <v>41</v>
      </c>
      <c r="B42" s="79" t="str">
        <f>C42</f>
        <v>Y</v>
      </c>
      <c r="C42" s="79" t="s">
        <v>45</v>
      </c>
      <c r="D42" s="76" t="s">
        <v>621</v>
      </c>
      <c r="E42" s="82" t="s">
        <v>622</v>
      </c>
      <c r="F42" s="13" t="s">
        <v>623</v>
      </c>
      <c r="G42" s="82" t="s">
        <v>564</v>
      </c>
      <c r="H42" s="205">
        <v>403</v>
      </c>
      <c r="I42" s="131" t="s">
        <v>1974</v>
      </c>
      <c r="J42" s="164" t="s">
        <v>50</v>
      </c>
      <c r="K42" s="164" t="s">
        <v>482</v>
      </c>
      <c r="L42" s="164" t="s">
        <v>51</v>
      </c>
      <c r="M42" s="164" t="s">
        <v>53</v>
      </c>
      <c r="N42" s="164" t="s">
        <v>52</v>
      </c>
      <c r="O42" s="198" t="s">
        <v>1952</v>
      </c>
      <c r="P42" s="164" t="s">
        <v>60</v>
      </c>
      <c r="Q42" s="164" t="s">
        <v>483</v>
      </c>
      <c r="R42" s="164" t="s">
        <v>51</v>
      </c>
      <c r="S42" s="206" t="s">
        <v>1997</v>
      </c>
      <c r="T42" s="166" t="s">
        <v>484</v>
      </c>
      <c r="U42" s="164" t="s">
        <v>55</v>
      </c>
      <c r="V42" s="203" t="s">
        <v>1978</v>
      </c>
      <c r="W42" s="164" t="s">
        <v>485</v>
      </c>
      <c r="X42" s="164" t="s">
        <v>486</v>
      </c>
      <c r="Y42" s="167">
        <v>200061812368</v>
      </c>
      <c r="Z42" s="164" t="s">
        <v>487</v>
      </c>
      <c r="AA42" s="168">
        <v>1</v>
      </c>
      <c r="AB42" s="164" t="s">
        <v>488</v>
      </c>
      <c r="AC42" s="199" t="s">
        <v>489</v>
      </c>
      <c r="AD42" s="199" t="s">
        <v>490</v>
      </c>
      <c r="AE42" s="164" t="s">
        <v>491</v>
      </c>
      <c r="AF42" s="164" t="s">
        <v>492</v>
      </c>
      <c r="AG42" s="164" t="s">
        <v>493</v>
      </c>
      <c r="AH42" s="164" t="s">
        <v>494</v>
      </c>
      <c r="AI42" s="164" t="s">
        <v>495</v>
      </c>
    </row>
    <row r="43" spans="1:35" ht="57.6" x14ac:dyDescent="0.3">
      <c r="A43" s="131">
        <v>42</v>
      </c>
      <c r="B43" s="79" t="str">
        <f t="shared" ref="B43:B106" si="4">C43</f>
        <v>Y</v>
      </c>
      <c r="C43" s="79" t="s">
        <v>45</v>
      </c>
      <c r="D43" s="76" t="s">
        <v>624</v>
      </c>
      <c r="E43" s="82" t="s">
        <v>625</v>
      </c>
      <c r="F43" s="13" t="s">
        <v>626</v>
      </c>
      <c r="G43" s="82" t="s">
        <v>564</v>
      </c>
      <c r="H43" s="205">
        <v>403</v>
      </c>
      <c r="I43" s="131" t="s">
        <v>1974</v>
      </c>
      <c r="J43" s="164" t="s">
        <v>50</v>
      </c>
      <c r="K43" s="164" t="s">
        <v>482</v>
      </c>
      <c r="L43" s="164" t="s">
        <v>51</v>
      </c>
      <c r="M43" s="164" t="s">
        <v>53</v>
      </c>
      <c r="N43" s="164" t="s">
        <v>52</v>
      </c>
      <c r="O43" s="198" t="s">
        <v>1952</v>
      </c>
      <c r="P43" s="164" t="s">
        <v>60</v>
      </c>
      <c r="Q43" s="164" t="s">
        <v>483</v>
      </c>
      <c r="R43" s="164" t="s">
        <v>51</v>
      </c>
      <c r="S43" s="206" t="s">
        <v>1997</v>
      </c>
      <c r="T43" s="166" t="s">
        <v>484</v>
      </c>
      <c r="U43" s="164" t="s">
        <v>55</v>
      </c>
      <c r="V43" s="203" t="s">
        <v>1978</v>
      </c>
      <c r="W43" s="164" t="s">
        <v>485</v>
      </c>
      <c r="X43" s="164" t="s">
        <v>517</v>
      </c>
      <c r="Y43" s="167">
        <v>500027172598</v>
      </c>
      <c r="Z43" s="164" t="s">
        <v>487</v>
      </c>
      <c r="AA43" s="168">
        <v>1</v>
      </c>
      <c r="AB43" s="164" t="s">
        <v>488</v>
      </c>
      <c r="AC43" s="199" t="s">
        <v>489</v>
      </c>
      <c r="AD43" s="199" t="s">
        <v>490</v>
      </c>
      <c r="AE43" s="164" t="s">
        <v>491</v>
      </c>
      <c r="AF43" s="164" t="s">
        <v>492</v>
      </c>
      <c r="AG43" s="164" t="s">
        <v>493</v>
      </c>
      <c r="AH43" s="164" t="s">
        <v>494</v>
      </c>
      <c r="AI43" s="164" t="s">
        <v>495</v>
      </c>
    </row>
    <row r="44" spans="1:35" ht="57.6" x14ac:dyDescent="0.3">
      <c r="A44" s="131">
        <v>43</v>
      </c>
      <c r="B44" s="79" t="str">
        <f t="shared" si="4"/>
        <v>Y</v>
      </c>
      <c r="C44" s="79" t="s">
        <v>45</v>
      </c>
      <c r="D44" s="76" t="s">
        <v>627</v>
      </c>
      <c r="E44" s="82" t="s">
        <v>628</v>
      </c>
      <c r="F44" s="13" t="s">
        <v>629</v>
      </c>
      <c r="G44" s="82" t="s">
        <v>564</v>
      </c>
      <c r="H44" s="205">
        <v>403</v>
      </c>
      <c r="I44" s="131" t="s">
        <v>1974</v>
      </c>
      <c r="J44" s="166" t="s">
        <v>50</v>
      </c>
      <c r="K44" s="164" t="s">
        <v>482</v>
      </c>
      <c r="L44" s="164" t="s">
        <v>51</v>
      </c>
      <c r="M44" s="164" t="s">
        <v>53</v>
      </c>
      <c r="N44" s="164" t="s">
        <v>52</v>
      </c>
      <c r="O44" s="198" t="s">
        <v>1952</v>
      </c>
      <c r="P44" s="164" t="s">
        <v>60</v>
      </c>
      <c r="Q44" s="164" t="s">
        <v>483</v>
      </c>
      <c r="R44" s="164" t="s">
        <v>51</v>
      </c>
      <c r="S44" s="206" t="s">
        <v>1997</v>
      </c>
      <c r="T44" s="166" t="s">
        <v>520</v>
      </c>
      <c r="U44" s="164" t="s">
        <v>55</v>
      </c>
      <c r="V44" s="203" t="s">
        <v>1978</v>
      </c>
      <c r="W44" s="164" t="s">
        <v>485</v>
      </c>
      <c r="X44" s="164" t="s">
        <v>509</v>
      </c>
      <c r="Y44" s="203" t="s">
        <v>510</v>
      </c>
      <c r="Z44" s="164" t="s">
        <v>487</v>
      </c>
      <c r="AA44" s="168">
        <v>1</v>
      </c>
      <c r="AB44" s="164" t="s">
        <v>488</v>
      </c>
      <c r="AC44" s="199" t="s">
        <v>489</v>
      </c>
      <c r="AD44" s="199" t="s">
        <v>490</v>
      </c>
      <c r="AE44" s="164" t="s">
        <v>491</v>
      </c>
      <c r="AF44" s="164" t="s">
        <v>492</v>
      </c>
      <c r="AG44" s="164" t="s">
        <v>493</v>
      </c>
      <c r="AH44" s="164" t="s">
        <v>494</v>
      </c>
      <c r="AI44" s="164" t="s">
        <v>495</v>
      </c>
    </row>
    <row r="45" spans="1:35" ht="57.6" x14ac:dyDescent="0.3">
      <c r="A45" s="131">
        <v>44</v>
      </c>
      <c r="B45" s="79" t="str">
        <f t="shared" si="4"/>
        <v>Y</v>
      </c>
      <c r="C45" s="79" t="s">
        <v>45</v>
      </c>
      <c r="D45" s="76" t="s">
        <v>630</v>
      </c>
      <c r="E45" s="82" t="s">
        <v>631</v>
      </c>
      <c r="F45" s="13" t="s">
        <v>632</v>
      </c>
      <c r="G45" s="82" t="s">
        <v>564</v>
      </c>
      <c r="H45" s="205">
        <v>403</v>
      </c>
      <c r="I45" s="131" t="s">
        <v>1974</v>
      </c>
      <c r="J45" s="166" t="s">
        <v>50</v>
      </c>
      <c r="K45" s="164" t="s">
        <v>482</v>
      </c>
      <c r="L45" s="164" t="s">
        <v>51</v>
      </c>
      <c r="M45" s="164" t="s">
        <v>53</v>
      </c>
      <c r="N45" s="164" t="s">
        <v>52</v>
      </c>
      <c r="O45" s="198" t="s">
        <v>1952</v>
      </c>
      <c r="P45" s="164" t="s">
        <v>60</v>
      </c>
      <c r="Q45" s="164" t="s">
        <v>483</v>
      </c>
      <c r="R45" s="164" t="s">
        <v>51</v>
      </c>
      <c r="S45" s="206" t="s">
        <v>1997</v>
      </c>
      <c r="T45" s="166" t="s">
        <v>171</v>
      </c>
      <c r="U45" s="164" t="s">
        <v>55</v>
      </c>
      <c r="V45" s="203" t="s">
        <v>1978</v>
      </c>
      <c r="W45" s="164" t="s">
        <v>485</v>
      </c>
      <c r="X45" s="164" t="s">
        <v>509</v>
      </c>
      <c r="Y45" s="203" t="s">
        <v>510</v>
      </c>
      <c r="Z45" s="164" t="s">
        <v>487</v>
      </c>
      <c r="AA45" s="168">
        <v>1</v>
      </c>
      <c r="AB45" s="164" t="s">
        <v>488</v>
      </c>
      <c r="AC45" s="199" t="s">
        <v>489</v>
      </c>
      <c r="AD45" s="199" t="s">
        <v>490</v>
      </c>
      <c r="AE45" s="164" t="s">
        <v>491</v>
      </c>
      <c r="AF45" s="164" t="s">
        <v>492</v>
      </c>
      <c r="AG45" s="164" t="s">
        <v>493</v>
      </c>
      <c r="AH45" s="164" t="s">
        <v>494</v>
      </c>
      <c r="AI45" s="164" t="s">
        <v>495</v>
      </c>
    </row>
    <row r="46" spans="1:35" ht="172.8" x14ac:dyDescent="0.3">
      <c r="A46" s="131">
        <v>45</v>
      </c>
      <c r="B46" s="79" t="str">
        <f t="shared" si="4"/>
        <v>N</v>
      </c>
      <c r="C46" s="79" t="s">
        <v>113</v>
      </c>
      <c r="D46" s="76" t="s">
        <v>633</v>
      </c>
      <c r="E46" s="83" t="s">
        <v>634</v>
      </c>
      <c r="F46" s="13" t="s">
        <v>635</v>
      </c>
      <c r="G46" s="82" t="s">
        <v>551</v>
      </c>
      <c r="H46" s="21">
        <v>200</v>
      </c>
      <c r="I46" s="21"/>
      <c r="J46" s="76" t="s">
        <v>50</v>
      </c>
      <c r="K46" s="13" t="s">
        <v>482</v>
      </c>
      <c r="L46" s="16"/>
      <c r="M46" s="16"/>
      <c r="N46" s="16"/>
      <c r="O46" s="12">
        <v>1042346967</v>
      </c>
      <c r="P46" s="13" t="s">
        <v>60</v>
      </c>
      <c r="Q46" s="13" t="s">
        <v>508</v>
      </c>
      <c r="R46" s="13" t="s">
        <v>51</v>
      </c>
      <c r="S46" s="13"/>
      <c r="T46" s="14" t="s">
        <v>484</v>
      </c>
      <c r="U46" s="16"/>
      <c r="V46" s="60">
        <v>200061812538</v>
      </c>
      <c r="W46" s="14" t="s">
        <v>485</v>
      </c>
      <c r="X46" s="13" t="s">
        <v>486</v>
      </c>
      <c r="Y46" s="22">
        <v>200061812368</v>
      </c>
      <c r="Z46" s="13" t="s">
        <v>487</v>
      </c>
      <c r="AA46" s="21">
        <v>1</v>
      </c>
      <c r="AB46" s="13" t="s">
        <v>488</v>
      </c>
      <c r="AC46" s="23" t="s">
        <v>489</v>
      </c>
      <c r="AD46" s="23" t="s">
        <v>490</v>
      </c>
      <c r="AE46" s="13" t="s">
        <v>491</v>
      </c>
      <c r="AF46" s="13" t="s">
        <v>492</v>
      </c>
      <c r="AG46" s="13" t="s">
        <v>493</v>
      </c>
      <c r="AH46" s="13" t="s">
        <v>494</v>
      </c>
      <c r="AI46" s="13" t="s">
        <v>495</v>
      </c>
    </row>
    <row r="47" spans="1:35" ht="172.8" x14ac:dyDescent="0.3">
      <c r="A47" s="131">
        <v>46</v>
      </c>
      <c r="B47" s="79" t="str">
        <f t="shared" si="4"/>
        <v>N</v>
      </c>
      <c r="C47" s="79" t="s">
        <v>113</v>
      </c>
      <c r="D47" s="76" t="s">
        <v>636</v>
      </c>
      <c r="E47" s="83" t="s">
        <v>637</v>
      </c>
      <c r="F47" s="13" t="s">
        <v>638</v>
      </c>
      <c r="G47" s="82" t="s">
        <v>551</v>
      </c>
      <c r="H47" s="21">
        <v>200</v>
      </c>
      <c r="I47" s="21"/>
      <c r="J47" s="76" t="s">
        <v>50</v>
      </c>
      <c r="K47" s="13" t="s">
        <v>482</v>
      </c>
      <c r="L47" s="16"/>
      <c r="M47" s="16"/>
      <c r="N47" s="16"/>
      <c r="O47" s="12">
        <v>1042346968</v>
      </c>
      <c r="P47" s="13" t="s">
        <v>60</v>
      </c>
      <c r="Q47" s="13" t="s">
        <v>508</v>
      </c>
      <c r="R47" s="13" t="s">
        <v>51</v>
      </c>
      <c r="S47" s="13"/>
      <c r="T47" s="14" t="s">
        <v>484</v>
      </c>
      <c r="U47" s="16"/>
      <c r="V47" s="60">
        <v>200061812538</v>
      </c>
      <c r="W47" s="14" t="s">
        <v>485</v>
      </c>
      <c r="X47" s="14" t="s">
        <v>517</v>
      </c>
      <c r="Y47" s="60">
        <v>500027172598</v>
      </c>
      <c r="Z47" s="13" t="s">
        <v>487</v>
      </c>
      <c r="AA47" s="21">
        <v>1</v>
      </c>
      <c r="AB47" s="13" t="s">
        <v>488</v>
      </c>
      <c r="AC47" s="23" t="s">
        <v>489</v>
      </c>
      <c r="AD47" s="23" t="s">
        <v>490</v>
      </c>
      <c r="AE47" s="13" t="s">
        <v>491</v>
      </c>
      <c r="AF47" s="13" t="s">
        <v>492</v>
      </c>
      <c r="AG47" s="13" t="s">
        <v>493</v>
      </c>
      <c r="AH47" s="13" t="s">
        <v>494</v>
      </c>
      <c r="AI47" s="13" t="s">
        <v>495</v>
      </c>
    </row>
    <row r="48" spans="1:35" ht="172.8" x14ac:dyDescent="0.3">
      <c r="A48" s="131">
        <v>47</v>
      </c>
      <c r="B48" s="79" t="str">
        <f t="shared" si="4"/>
        <v>N</v>
      </c>
      <c r="C48" s="79" t="s">
        <v>113</v>
      </c>
      <c r="D48" s="76" t="s">
        <v>639</v>
      </c>
      <c r="E48" s="83" t="s">
        <v>640</v>
      </c>
      <c r="F48" s="13" t="s">
        <v>641</v>
      </c>
      <c r="G48" s="82" t="s">
        <v>551</v>
      </c>
      <c r="H48" s="21">
        <v>200</v>
      </c>
      <c r="I48" s="21"/>
      <c r="J48" s="76" t="s">
        <v>50</v>
      </c>
      <c r="K48" s="13" t="s">
        <v>482</v>
      </c>
      <c r="L48" s="16"/>
      <c r="M48" s="16"/>
      <c r="N48" s="16"/>
      <c r="O48" s="12">
        <v>1042346969</v>
      </c>
      <c r="P48" s="13" t="s">
        <v>60</v>
      </c>
      <c r="Q48" s="13" t="s">
        <v>508</v>
      </c>
      <c r="R48" s="13" t="s">
        <v>51</v>
      </c>
      <c r="S48" s="13"/>
      <c r="T48" s="14" t="s">
        <v>520</v>
      </c>
      <c r="U48" s="16"/>
      <c r="V48" s="60">
        <v>200061812538</v>
      </c>
      <c r="W48" s="14" t="s">
        <v>485</v>
      </c>
      <c r="X48" s="14" t="s">
        <v>509</v>
      </c>
      <c r="Y48" s="60" t="s">
        <v>510</v>
      </c>
      <c r="Z48" s="13" t="s">
        <v>487</v>
      </c>
      <c r="AA48" s="21">
        <v>1</v>
      </c>
      <c r="AB48" s="13" t="s">
        <v>488</v>
      </c>
      <c r="AC48" s="23" t="s">
        <v>489</v>
      </c>
      <c r="AD48" s="23" t="s">
        <v>490</v>
      </c>
      <c r="AE48" s="13" t="s">
        <v>491</v>
      </c>
      <c r="AF48" s="13" t="s">
        <v>492</v>
      </c>
      <c r="AG48" s="13" t="s">
        <v>493</v>
      </c>
      <c r="AH48" s="13" t="s">
        <v>494</v>
      </c>
      <c r="AI48" s="13" t="s">
        <v>495</v>
      </c>
    </row>
    <row r="49" spans="1:35" ht="201.6" x14ac:dyDescent="0.3">
      <c r="A49" s="131">
        <v>48</v>
      </c>
      <c r="B49" s="79" t="str">
        <f t="shared" si="4"/>
        <v>N</v>
      </c>
      <c r="C49" s="79" t="s">
        <v>113</v>
      </c>
      <c r="D49" s="76" t="s">
        <v>642</v>
      </c>
      <c r="E49" s="83" t="s">
        <v>643</v>
      </c>
      <c r="F49" s="13" t="s">
        <v>644</v>
      </c>
      <c r="G49" s="82" t="s">
        <v>645</v>
      </c>
      <c r="H49" s="21">
        <v>200</v>
      </c>
      <c r="I49" s="21"/>
      <c r="J49" s="76" t="s">
        <v>50</v>
      </c>
      <c r="K49" s="13" t="s">
        <v>482</v>
      </c>
      <c r="L49" s="16"/>
      <c r="M49" s="16"/>
      <c r="N49" s="16"/>
      <c r="O49" s="12">
        <v>1042346970</v>
      </c>
      <c r="P49" s="13" t="s">
        <v>60</v>
      </c>
      <c r="Q49" s="13" t="s">
        <v>508</v>
      </c>
      <c r="R49" s="13" t="s">
        <v>51</v>
      </c>
      <c r="S49" s="13"/>
      <c r="T49" s="14" t="s">
        <v>171</v>
      </c>
      <c r="U49" s="16"/>
      <c r="V49" s="60">
        <v>200061812538</v>
      </c>
      <c r="W49" s="14" t="s">
        <v>485</v>
      </c>
      <c r="X49" s="14" t="s">
        <v>509</v>
      </c>
      <c r="Y49" s="60" t="s">
        <v>510</v>
      </c>
      <c r="Z49" s="13" t="s">
        <v>487</v>
      </c>
      <c r="AA49" s="21">
        <v>1</v>
      </c>
      <c r="AB49" s="13" t="s">
        <v>488</v>
      </c>
      <c r="AC49" s="23" t="s">
        <v>489</v>
      </c>
      <c r="AD49" s="23" t="s">
        <v>490</v>
      </c>
      <c r="AE49" s="13" t="s">
        <v>491</v>
      </c>
      <c r="AF49" s="13" t="s">
        <v>492</v>
      </c>
      <c r="AG49" s="13" t="s">
        <v>493</v>
      </c>
      <c r="AH49" s="13" t="s">
        <v>494</v>
      </c>
      <c r="AI49" s="13" t="s">
        <v>495</v>
      </c>
    </row>
    <row r="50" spans="1:35" ht="43.2" x14ac:dyDescent="0.3">
      <c r="A50" s="131">
        <v>49</v>
      </c>
      <c r="B50" s="79" t="str">
        <f t="shared" si="4"/>
        <v>N</v>
      </c>
      <c r="C50" s="13" t="s">
        <v>113</v>
      </c>
      <c r="D50" s="76" t="s">
        <v>646</v>
      </c>
      <c r="E50" s="82" t="s">
        <v>647</v>
      </c>
      <c r="F50" s="13" t="s">
        <v>648</v>
      </c>
      <c r="G50" s="82" t="s">
        <v>649</v>
      </c>
      <c r="H50" s="21">
        <v>200</v>
      </c>
      <c r="I50" s="21"/>
      <c r="J50" s="76" t="s">
        <v>50</v>
      </c>
      <c r="K50" s="13" t="s">
        <v>482</v>
      </c>
      <c r="L50" s="16"/>
      <c r="M50" s="16"/>
      <c r="N50" s="16"/>
      <c r="O50" s="12">
        <v>1042346971</v>
      </c>
      <c r="P50" s="13" t="s">
        <v>60</v>
      </c>
      <c r="Q50" s="13" t="s">
        <v>508</v>
      </c>
      <c r="R50" s="13" t="s">
        <v>51</v>
      </c>
      <c r="S50" s="13"/>
      <c r="T50" s="14" t="s">
        <v>484</v>
      </c>
      <c r="U50" s="16"/>
      <c r="V50" s="60">
        <v>200061777902</v>
      </c>
      <c r="W50" s="14" t="s">
        <v>485</v>
      </c>
      <c r="X50" s="13" t="s">
        <v>486</v>
      </c>
      <c r="Y50" s="22">
        <v>200061812368</v>
      </c>
      <c r="Z50" s="13" t="s">
        <v>487</v>
      </c>
      <c r="AA50" s="21">
        <v>1</v>
      </c>
      <c r="AB50" s="13" t="s">
        <v>488</v>
      </c>
      <c r="AC50" s="23" t="s">
        <v>489</v>
      </c>
      <c r="AD50" s="23" t="s">
        <v>490</v>
      </c>
      <c r="AE50" s="13" t="s">
        <v>491</v>
      </c>
      <c r="AF50" s="13" t="s">
        <v>492</v>
      </c>
      <c r="AG50" s="13" t="s">
        <v>493</v>
      </c>
      <c r="AH50" s="13" t="s">
        <v>494</v>
      </c>
      <c r="AI50" s="13" t="s">
        <v>495</v>
      </c>
    </row>
    <row r="51" spans="1:35" ht="43.2" x14ac:dyDescent="0.3">
      <c r="A51" s="131">
        <v>50</v>
      </c>
      <c r="B51" s="79" t="str">
        <f t="shared" si="4"/>
        <v>N</v>
      </c>
      <c r="C51" s="13" t="s">
        <v>113</v>
      </c>
      <c r="D51" s="76" t="s">
        <v>650</v>
      </c>
      <c r="E51" s="82" t="s">
        <v>651</v>
      </c>
      <c r="F51" s="13" t="s">
        <v>652</v>
      </c>
      <c r="G51" s="82" t="s">
        <v>649</v>
      </c>
      <c r="H51" s="21">
        <v>200</v>
      </c>
      <c r="I51" s="21"/>
      <c r="J51" s="76" t="s">
        <v>50</v>
      </c>
      <c r="K51" s="13" t="s">
        <v>482</v>
      </c>
      <c r="L51" s="16"/>
      <c r="M51" s="16"/>
      <c r="N51" s="16"/>
      <c r="O51" s="12">
        <v>1042346972</v>
      </c>
      <c r="P51" s="13" t="s">
        <v>60</v>
      </c>
      <c r="Q51" s="13" t="s">
        <v>508</v>
      </c>
      <c r="R51" s="13" t="s">
        <v>51</v>
      </c>
      <c r="S51" s="13"/>
      <c r="T51" s="14" t="s">
        <v>484</v>
      </c>
      <c r="U51" s="16"/>
      <c r="V51" s="60">
        <v>200061777902</v>
      </c>
      <c r="W51" s="14" t="s">
        <v>485</v>
      </c>
      <c r="X51" s="14" t="s">
        <v>517</v>
      </c>
      <c r="Y51" s="60">
        <v>500027172598</v>
      </c>
      <c r="Z51" s="13" t="s">
        <v>487</v>
      </c>
      <c r="AA51" s="21">
        <v>1</v>
      </c>
      <c r="AB51" s="13" t="s">
        <v>488</v>
      </c>
      <c r="AC51" s="23" t="s">
        <v>489</v>
      </c>
      <c r="AD51" s="23" t="s">
        <v>490</v>
      </c>
      <c r="AE51" s="13" t="s">
        <v>491</v>
      </c>
      <c r="AF51" s="13" t="s">
        <v>492</v>
      </c>
      <c r="AG51" s="13" t="s">
        <v>493</v>
      </c>
      <c r="AH51" s="13" t="s">
        <v>494</v>
      </c>
      <c r="AI51" s="13" t="s">
        <v>495</v>
      </c>
    </row>
    <row r="52" spans="1:35" ht="43.2" x14ac:dyDescent="0.3">
      <c r="A52" s="131">
        <v>51</v>
      </c>
      <c r="B52" s="79" t="str">
        <f t="shared" si="4"/>
        <v>N</v>
      </c>
      <c r="C52" s="13" t="s">
        <v>113</v>
      </c>
      <c r="D52" s="76" t="s">
        <v>653</v>
      </c>
      <c r="E52" s="82" t="s">
        <v>654</v>
      </c>
      <c r="F52" s="13" t="s">
        <v>655</v>
      </c>
      <c r="G52" s="82" t="s">
        <v>649</v>
      </c>
      <c r="H52" s="21">
        <v>200</v>
      </c>
      <c r="I52" s="21"/>
      <c r="J52" s="76" t="s">
        <v>50</v>
      </c>
      <c r="K52" s="13" t="s">
        <v>482</v>
      </c>
      <c r="L52" s="16"/>
      <c r="M52" s="16"/>
      <c r="N52" s="16"/>
      <c r="O52" s="12">
        <v>1042346973</v>
      </c>
      <c r="P52" s="13" t="s">
        <v>60</v>
      </c>
      <c r="Q52" s="13" t="s">
        <v>508</v>
      </c>
      <c r="R52" s="13" t="s">
        <v>51</v>
      </c>
      <c r="S52" s="13"/>
      <c r="T52" s="14" t="s">
        <v>520</v>
      </c>
      <c r="U52" s="16"/>
      <c r="V52" s="60">
        <v>200061777902</v>
      </c>
      <c r="W52" s="14" t="s">
        <v>485</v>
      </c>
      <c r="X52" s="14" t="s">
        <v>509</v>
      </c>
      <c r="Y52" s="60" t="s">
        <v>510</v>
      </c>
      <c r="Z52" s="13" t="s">
        <v>487</v>
      </c>
      <c r="AA52" s="21">
        <v>1</v>
      </c>
      <c r="AB52" s="13" t="s">
        <v>488</v>
      </c>
      <c r="AC52" s="23" t="s">
        <v>489</v>
      </c>
      <c r="AD52" s="23" t="s">
        <v>490</v>
      </c>
      <c r="AE52" s="13" t="s">
        <v>491</v>
      </c>
      <c r="AF52" s="13" t="s">
        <v>492</v>
      </c>
      <c r="AG52" s="13" t="s">
        <v>493</v>
      </c>
      <c r="AH52" s="13" t="s">
        <v>494</v>
      </c>
      <c r="AI52" s="13" t="s">
        <v>495</v>
      </c>
    </row>
    <row r="53" spans="1:35" ht="57.6" x14ac:dyDescent="0.3">
      <c r="A53" s="131">
        <v>52</v>
      </c>
      <c r="B53" s="79" t="str">
        <f t="shared" si="4"/>
        <v>N</v>
      </c>
      <c r="C53" s="13" t="s">
        <v>113</v>
      </c>
      <c r="D53" s="76" t="s">
        <v>656</v>
      </c>
      <c r="E53" s="82" t="s">
        <v>657</v>
      </c>
      <c r="F53" s="13" t="s">
        <v>658</v>
      </c>
      <c r="G53" s="82" t="s">
        <v>649</v>
      </c>
      <c r="H53" s="21">
        <v>200</v>
      </c>
      <c r="I53" s="21"/>
      <c r="J53" s="76" t="s">
        <v>50</v>
      </c>
      <c r="K53" s="13" t="s">
        <v>482</v>
      </c>
      <c r="L53" s="16"/>
      <c r="M53" s="16"/>
      <c r="N53" s="16"/>
      <c r="O53" s="12">
        <v>1042346974</v>
      </c>
      <c r="P53" s="13" t="s">
        <v>60</v>
      </c>
      <c r="Q53" s="13" t="s">
        <v>508</v>
      </c>
      <c r="R53" s="13" t="s">
        <v>51</v>
      </c>
      <c r="S53" s="13"/>
      <c r="T53" s="14" t="s">
        <v>171</v>
      </c>
      <c r="U53" s="16"/>
      <c r="V53" s="60">
        <v>200061777902</v>
      </c>
      <c r="W53" s="14" t="s">
        <v>485</v>
      </c>
      <c r="X53" s="14" t="s">
        <v>509</v>
      </c>
      <c r="Y53" s="60" t="s">
        <v>510</v>
      </c>
      <c r="Z53" s="13" t="s">
        <v>487</v>
      </c>
      <c r="AA53" s="21">
        <v>1</v>
      </c>
      <c r="AB53" s="13" t="s">
        <v>488</v>
      </c>
      <c r="AC53" s="23" t="s">
        <v>489</v>
      </c>
      <c r="AD53" s="23" t="s">
        <v>490</v>
      </c>
      <c r="AE53" s="13" t="s">
        <v>491</v>
      </c>
      <c r="AF53" s="13" t="s">
        <v>492</v>
      </c>
      <c r="AG53" s="13" t="s">
        <v>493</v>
      </c>
      <c r="AH53" s="13" t="s">
        <v>494</v>
      </c>
      <c r="AI53" s="13" t="s">
        <v>495</v>
      </c>
    </row>
    <row r="54" spans="1:35" ht="57.6" x14ac:dyDescent="0.3">
      <c r="A54" s="131">
        <v>53</v>
      </c>
      <c r="B54" s="79" t="str">
        <f t="shared" si="4"/>
        <v>N</v>
      </c>
      <c r="C54" s="13" t="s">
        <v>113</v>
      </c>
      <c r="D54" s="76" t="s">
        <v>659</v>
      </c>
      <c r="E54" s="82" t="s">
        <v>660</v>
      </c>
      <c r="F54" s="13" t="s">
        <v>661</v>
      </c>
      <c r="G54" s="82" t="s">
        <v>564</v>
      </c>
      <c r="H54" s="21">
        <v>400</v>
      </c>
      <c r="I54" s="21"/>
      <c r="J54" s="76" t="s">
        <v>50</v>
      </c>
      <c r="K54" s="13" t="s">
        <v>482</v>
      </c>
      <c r="L54" s="16"/>
      <c r="M54" s="16"/>
      <c r="N54" s="16"/>
      <c r="O54" s="12">
        <v>1042346975</v>
      </c>
      <c r="P54" s="13" t="s">
        <v>60</v>
      </c>
      <c r="Q54" s="13" t="s">
        <v>508</v>
      </c>
      <c r="R54" s="13" t="s">
        <v>51</v>
      </c>
      <c r="S54" s="13"/>
      <c r="T54" s="14" t="s">
        <v>484</v>
      </c>
      <c r="U54" s="16"/>
      <c r="V54" s="60">
        <v>200061777902</v>
      </c>
      <c r="W54" s="14" t="s">
        <v>485</v>
      </c>
      <c r="X54" s="13" t="s">
        <v>486</v>
      </c>
      <c r="Y54" s="22">
        <v>200061812368</v>
      </c>
      <c r="Z54" s="13" t="s">
        <v>487</v>
      </c>
      <c r="AA54" s="21">
        <v>1</v>
      </c>
      <c r="AB54" s="13" t="s">
        <v>488</v>
      </c>
      <c r="AC54" s="23" t="s">
        <v>489</v>
      </c>
      <c r="AD54" s="23" t="s">
        <v>490</v>
      </c>
      <c r="AE54" s="13" t="s">
        <v>491</v>
      </c>
      <c r="AF54" s="13" t="s">
        <v>492</v>
      </c>
      <c r="AG54" s="13" t="s">
        <v>493</v>
      </c>
      <c r="AH54" s="13" t="s">
        <v>494</v>
      </c>
      <c r="AI54" s="13" t="s">
        <v>495</v>
      </c>
    </row>
    <row r="55" spans="1:35" ht="57.6" x14ac:dyDescent="0.3">
      <c r="A55" s="131">
        <v>54</v>
      </c>
      <c r="B55" s="79" t="str">
        <f t="shared" si="4"/>
        <v>N</v>
      </c>
      <c r="C55" s="13" t="s">
        <v>113</v>
      </c>
      <c r="D55" s="76" t="s">
        <v>662</v>
      </c>
      <c r="E55" s="82" t="s">
        <v>663</v>
      </c>
      <c r="F55" s="13" t="s">
        <v>664</v>
      </c>
      <c r="G55" s="82" t="s">
        <v>564</v>
      </c>
      <c r="H55" s="21">
        <v>400</v>
      </c>
      <c r="I55" s="21"/>
      <c r="J55" s="76" t="s">
        <v>50</v>
      </c>
      <c r="K55" s="13" t="s">
        <v>482</v>
      </c>
      <c r="L55" s="16"/>
      <c r="M55" s="16"/>
      <c r="N55" s="16"/>
      <c r="O55" s="12">
        <v>1042346976</v>
      </c>
      <c r="P55" s="13" t="s">
        <v>60</v>
      </c>
      <c r="Q55" s="13" t="s">
        <v>508</v>
      </c>
      <c r="R55" s="13" t="s">
        <v>51</v>
      </c>
      <c r="S55" s="13"/>
      <c r="T55" s="14" t="s">
        <v>484</v>
      </c>
      <c r="U55" s="16"/>
      <c r="V55" s="60">
        <v>200061777902</v>
      </c>
      <c r="W55" s="14" t="s">
        <v>485</v>
      </c>
      <c r="X55" s="14" t="s">
        <v>517</v>
      </c>
      <c r="Y55" s="60">
        <v>500027172598</v>
      </c>
      <c r="Z55" s="13" t="s">
        <v>487</v>
      </c>
      <c r="AA55" s="21">
        <v>1</v>
      </c>
      <c r="AB55" s="13" t="s">
        <v>488</v>
      </c>
      <c r="AC55" s="23" t="s">
        <v>489</v>
      </c>
      <c r="AD55" s="23" t="s">
        <v>490</v>
      </c>
      <c r="AE55" s="13" t="s">
        <v>491</v>
      </c>
      <c r="AF55" s="13" t="s">
        <v>492</v>
      </c>
      <c r="AG55" s="13" t="s">
        <v>493</v>
      </c>
      <c r="AH55" s="13" t="s">
        <v>494</v>
      </c>
      <c r="AI55" s="13" t="s">
        <v>495</v>
      </c>
    </row>
    <row r="56" spans="1:35" ht="57.6" x14ac:dyDescent="0.3">
      <c r="A56" s="131">
        <v>55</v>
      </c>
      <c r="B56" s="79" t="str">
        <f t="shared" si="4"/>
        <v>N</v>
      </c>
      <c r="C56" s="13" t="s">
        <v>113</v>
      </c>
      <c r="D56" s="76" t="s">
        <v>665</v>
      </c>
      <c r="E56" s="82" t="s">
        <v>666</v>
      </c>
      <c r="F56" s="13" t="s">
        <v>667</v>
      </c>
      <c r="G56" s="82" t="s">
        <v>564</v>
      </c>
      <c r="H56" s="21">
        <v>400</v>
      </c>
      <c r="I56" s="21"/>
      <c r="J56" s="76" t="s">
        <v>50</v>
      </c>
      <c r="K56" s="13" t="s">
        <v>482</v>
      </c>
      <c r="L56" s="16"/>
      <c r="M56" s="16"/>
      <c r="N56" s="16"/>
      <c r="O56" s="12">
        <v>1042346977</v>
      </c>
      <c r="P56" s="13" t="s">
        <v>60</v>
      </c>
      <c r="Q56" s="13" t="s">
        <v>508</v>
      </c>
      <c r="R56" s="13" t="s">
        <v>51</v>
      </c>
      <c r="S56" s="13"/>
      <c r="T56" s="14" t="s">
        <v>520</v>
      </c>
      <c r="U56" s="16"/>
      <c r="V56" s="60">
        <v>200061777902</v>
      </c>
      <c r="W56" s="14" t="s">
        <v>485</v>
      </c>
      <c r="X56" s="14" t="s">
        <v>509</v>
      </c>
      <c r="Y56" s="60" t="s">
        <v>510</v>
      </c>
      <c r="Z56" s="13" t="s">
        <v>487</v>
      </c>
      <c r="AA56" s="21">
        <v>1</v>
      </c>
      <c r="AB56" s="13" t="s">
        <v>488</v>
      </c>
      <c r="AC56" s="23" t="s">
        <v>489</v>
      </c>
      <c r="AD56" s="23" t="s">
        <v>490</v>
      </c>
      <c r="AE56" s="13" t="s">
        <v>491</v>
      </c>
      <c r="AF56" s="13" t="s">
        <v>492</v>
      </c>
      <c r="AG56" s="13" t="s">
        <v>493</v>
      </c>
      <c r="AH56" s="13" t="s">
        <v>494</v>
      </c>
      <c r="AI56" s="13" t="s">
        <v>495</v>
      </c>
    </row>
    <row r="57" spans="1:35" ht="57.6" x14ac:dyDescent="0.3">
      <c r="A57" s="131">
        <v>56</v>
      </c>
      <c r="B57" s="79" t="str">
        <f t="shared" si="4"/>
        <v>N</v>
      </c>
      <c r="C57" s="13" t="s">
        <v>113</v>
      </c>
      <c r="D57" s="76" t="s">
        <v>668</v>
      </c>
      <c r="E57" s="82" t="s">
        <v>669</v>
      </c>
      <c r="F57" s="13" t="s">
        <v>670</v>
      </c>
      <c r="G57" s="82" t="s">
        <v>564</v>
      </c>
      <c r="H57" s="21">
        <v>400</v>
      </c>
      <c r="I57" s="21"/>
      <c r="J57" s="76" t="s">
        <v>50</v>
      </c>
      <c r="K57" s="13" t="s">
        <v>482</v>
      </c>
      <c r="L57" s="16"/>
      <c r="M57" s="16"/>
      <c r="N57" s="16"/>
      <c r="O57" s="12">
        <v>1042346978</v>
      </c>
      <c r="P57" s="13" t="s">
        <v>60</v>
      </c>
      <c r="Q57" s="13" t="s">
        <v>508</v>
      </c>
      <c r="R57" s="13" t="s">
        <v>51</v>
      </c>
      <c r="S57" s="13"/>
      <c r="T57" s="14" t="s">
        <v>171</v>
      </c>
      <c r="U57" s="16"/>
      <c r="V57" s="60">
        <v>200061777902</v>
      </c>
      <c r="W57" s="14" t="s">
        <v>485</v>
      </c>
      <c r="X57" s="14" t="s">
        <v>509</v>
      </c>
      <c r="Y57" s="60" t="s">
        <v>510</v>
      </c>
      <c r="Z57" s="13" t="s">
        <v>487</v>
      </c>
      <c r="AA57" s="21">
        <v>1</v>
      </c>
      <c r="AB57" s="13" t="s">
        <v>488</v>
      </c>
      <c r="AC57" s="23" t="s">
        <v>489</v>
      </c>
      <c r="AD57" s="23" t="s">
        <v>490</v>
      </c>
      <c r="AE57" s="13" t="s">
        <v>491</v>
      </c>
      <c r="AF57" s="13" t="s">
        <v>492</v>
      </c>
      <c r="AG57" s="13" t="s">
        <v>493</v>
      </c>
      <c r="AH57" s="13" t="s">
        <v>494</v>
      </c>
      <c r="AI57" s="13" t="s">
        <v>495</v>
      </c>
    </row>
    <row r="58" spans="1:35" ht="57.6" x14ac:dyDescent="0.3">
      <c r="A58" s="131">
        <v>57</v>
      </c>
      <c r="B58" s="79" t="str">
        <f t="shared" si="4"/>
        <v>N</v>
      </c>
      <c r="C58" s="13" t="s">
        <v>113</v>
      </c>
      <c r="D58" s="76" t="s">
        <v>671</v>
      </c>
      <c r="E58" s="82" t="s">
        <v>672</v>
      </c>
      <c r="F58" s="13" t="s">
        <v>673</v>
      </c>
      <c r="G58" s="82" t="s">
        <v>649</v>
      </c>
      <c r="H58" s="21">
        <v>200</v>
      </c>
      <c r="I58" s="21"/>
      <c r="J58" s="76" t="s">
        <v>50</v>
      </c>
      <c r="K58" s="13" t="s">
        <v>482</v>
      </c>
      <c r="L58" s="16"/>
      <c r="M58" s="16"/>
      <c r="N58" s="16"/>
      <c r="O58" s="12">
        <v>1042346979</v>
      </c>
      <c r="P58" s="13" t="s">
        <v>60</v>
      </c>
      <c r="Q58" s="13" t="s">
        <v>508</v>
      </c>
      <c r="R58" s="13" t="s">
        <v>51</v>
      </c>
      <c r="S58" s="13"/>
      <c r="T58" s="14" t="s">
        <v>484</v>
      </c>
      <c r="U58" s="16"/>
      <c r="V58" s="60">
        <v>200061777902</v>
      </c>
      <c r="W58" s="14" t="s">
        <v>485</v>
      </c>
      <c r="X58" s="13" t="s">
        <v>486</v>
      </c>
      <c r="Y58" s="22">
        <v>200061812368</v>
      </c>
      <c r="Z58" s="13" t="s">
        <v>487</v>
      </c>
      <c r="AA58" s="21">
        <v>1</v>
      </c>
      <c r="AB58" s="13" t="s">
        <v>488</v>
      </c>
      <c r="AC58" s="23" t="s">
        <v>489</v>
      </c>
      <c r="AD58" s="23" t="s">
        <v>490</v>
      </c>
      <c r="AE58" s="13" t="s">
        <v>491</v>
      </c>
      <c r="AF58" s="13" t="s">
        <v>492</v>
      </c>
      <c r="AG58" s="13" t="s">
        <v>493</v>
      </c>
      <c r="AH58" s="13" t="s">
        <v>494</v>
      </c>
      <c r="AI58" s="13" t="s">
        <v>495</v>
      </c>
    </row>
    <row r="59" spans="1:35" ht="57.6" x14ac:dyDescent="0.3">
      <c r="A59" s="131">
        <v>58</v>
      </c>
      <c r="B59" s="79" t="str">
        <f t="shared" si="4"/>
        <v>N</v>
      </c>
      <c r="C59" s="13" t="s">
        <v>113</v>
      </c>
      <c r="D59" s="76" t="s">
        <v>674</v>
      </c>
      <c r="E59" s="82" t="s">
        <v>675</v>
      </c>
      <c r="F59" s="13" t="s">
        <v>676</v>
      </c>
      <c r="G59" s="82" t="s">
        <v>649</v>
      </c>
      <c r="H59" s="21">
        <v>200</v>
      </c>
      <c r="I59" s="21"/>
      <c r="J59" s="76" t="s">
        <v>50</v>
      </c>
      <c r="K59" s="13" t="s">
        <v>482</v>
      </c>
      <c r="L59" s="16"/>
      <c r="M59" s="16"/>
      <c r="N59" s="16"/>
      <c r="O59" s="12">
        <v>1042346980</v>
      </c>
      <c r="P59" s="13" t="s">
        <v>60</v>
      </c>
      <c r="Q59" s="13" t="s">
        <v>508</v>
      </c>
      <c r="R59" s="13" t="s">
        <v>51</v>
      </c>
      <c r="S59" s="13"/>
      <c r="T59" s="14" t="s">
        <v>484</v>
      </c>
      <c r="U59" s="16"/>
      <c r="V59" s="60">
        <v>200061777902</v>
      </c>
      <c r="W59" s="14" t="s">
        <v>485</v>
      </c>
      <c r="X59" s="14" t="s">
        <v>517</v>
      </c>
      <c r="Y59" s="60">
        <v>500027172598</v>
      </c>
      <c r="Z59" s="13" t="s">
        <v>487</v>
      </c>
      <c r="AA59" s="21">
        <v>1</v>
      </c>
      <c r="AB59" s="13" t="s">
        <v>488</v>
      </c>
      <c r="AC59" s="23" t="s">
        <v>489</v>
      </c>
      <c r="AD59" s="23" t="s">
        <v>490</v>
      </c>
      <c r="AE59" s="13" t="s">
        <v>491</v>
      </c>
      <c r="AF59" s="13" t="s">
        <v>492</v>
      </c>
      <c r="AG59" s="13" t="s">
        <v>493</v>
      </c>
      <c r="AH59" s="13" t="s">
        <v>494</v>
      </c>
      <c r="AI59" s="13" t="s">
        <v>495</v>
      </c>
    </row>
    <row r="60" spans="1:35" ht="57.6" x14ac:dyDescent="0.3">
      <c r="A60" s="131">
        <v>59</v>
      </c>
      <c r="B60" s="79" t="str">
        <f t="shared" si="4"/>
        <v>N</v>
      </c>
      <c r="C60" s="13" t="s">
        <v>113</v>
      </c>
      <c r="D60" s="76" t="s">
        <v>677</v>
      </c>
      <c r="E60" s="82" t="s">
        <v>678</v>
      </c>
      <c r="F60" s="13" t="s">
        <v>679</v>
      </c>
      <c r="G60" s="82" t="s">
        <v>649</v>
      </c>
      <c r="H60" s="21">
        <v>200</v>
      </c>
      <c r="I60" s="21"/>
      <c r="J60" s="76" t="s">
        <v>50</v>
      </c>
      <c r="K60" s="13" t="s">
        <v>482</v>
      </c>
      <c r="L60" s="16"/>
      <c r="M60" s="16"/>
      <c r="N60" s="16"/>
      <c r="O60" s="12">
        <v>1042346981</v>
      </c>
      <c r="P60" s="13" t="s">
        <v>60</v>
      </c>
      <c r="Q60" s="13" t="s">
        <v>508</v>
      </c>
      <c r="R60" s="13" t="s">
        <v>51</v>
      </c>
      <c r="S60" s="13"/>
      <c r="T60" s="14" t="s">
        <v>520</v>
      </c>
      <c r="U60" s="16"/>
      <c r="V60" s="60">
        <v>200061777902</v>
      </c>
      <c r="W60" s="14" t="s">
        <v>485</v>
      </c>
      <c r="X60" s="14" t="s">
        <v>509</v>
      </c>
      <c r="Y60" s="60" t="s">
        <v>510</v>
      </c>
      <c r="Z60" s="13" t="s">
        <v>487</v>
      </c>
      <c r="AA60" s="21">
        <v>1</v>
      </c>
      <c r="AB60" s="13" t="s">
        <v>488</v>
      </c>
      <c r="AC60" s="23" t="s">
        <v>489</v>
      </c>
      <c r="AD60" s="23" t="s">
        <v>490</v>
      </c>
      <c r="AE60" s="13" t="s">
        <v>491</v>
      </c>
      <c r="AF60" s="13" t="s">
        <v>492</v>
      </c>
      <c r="AG60" s="13" t="s">
        <v>493</v>
      </c>
      <c r="AH60" s="13" t="s">
        <v>494</v>
      </c>
      <c r="AI60" s="13" t="s">
        <v>495</v>
      </c>
    </row>
    <row r="61" spans="1:35" ht="57.6" x14ac:dyDescent="0.3">
      <c r="A61" s="131">
        <v>60</v>
      </c>
      <c r="B61" s="79" t="str">
        <f t="shared" si="4"/>
        <v>N</v>
      </c>
      <c r="C61" s="13" t="s">
        <v>113</v>
      </c>
      <c r="D61" s="76" t="s">
        <v>680</v>
      </c>
      <c r="E61" s="82" t="s">
        <v>681</v>
      </c>
      <c r="F61" s="13" t="s">
        <v>682</v>
      </c>
      <c r="G61" s="82" t="s">
        <v>649</v>
      </c>
      <c r="H61" s="21">
        <v>200</v>
      </c>
      <c r="I61" s="21"/>
      <c r="J61" s="76" t="s">
        <v>50</v>
      </c>
      <c r="K61" s="13" t="s">
        <v>482</v>
      </c>
      <c r="L61" s="16"/>
      <c r="M61" s="16"/>
      <c r="N61" s="16"/>
      <c r="O61" s="12">
        <v>1042346982</v>
      </c>
      <c r="P61" s="13" t="s">
        <v>60</v>
      </c>
      <c r="Q61" s="13" t="s">
        <v>508</v>
      </c>
      <c r="R61" s="13" t="s">
        <v>51</v>
      </c>
      <c r="S61" s="13"/>
      <c r="T61" s="14" t="s">
        <v>171</v>
      </c>
      <c r="U61" s="16"/>
      <c r="V61" s="60">
        <v>200061777902</v>
      </c>
      <c r="W61" s="14" t="s">
        <v>485</v>
      </c>
      <c r="X61" s="14" t="s">
        <v>509</v>
      </c>
      <c r="Y61" s="60" t="s">
        <v>510</v>
      </c>
      <c r="Z61" s="13" t="s">
        <v>487</v>
      </c>
      <c r="AA61" s="21">
        <v>1</v>
      </c>
      <c r="AB61" s="13" t="s">
        <v>488</v>
      </c>
      <c r="AC61" s="23" t="s">
        <v>489</v>
      </c>
      <c r="AD61" s="23" t="s">
        <v>490</v>
      </c>
      <c r="AE61" s="13" t="s">
        <v>491</v>
      </c>
      <c r="AF61" s="13" t="s">
        <v>492</v>
      </c>
      <c r="AG61" s="13" t="s">
        <v>493</v>
      </c>
      <c r="AH61" s="13" t="s">
        <v>494</v>
      </c>
      <c r="AI61" s="13" t="s">
        <v>495</v>
      </c>
    </row>
    <row r="62" spans="1:35" ht="57.6" x14ac:dyDescent="0.3">
      <c r="A62" s="131">
        <v>61</v>
      </c>
      <c r="B62" s="79" t="str">
        <f t="shared" si="4"/>
        <v>N</v>
      </c>
      <c r="C62" s="13" t="s">
        <v>113</v>
      </c>
      <c r="D62" s="76" t="s">
        <v>683</v>
      </c>
      <c r="E62" s="82" t="s">
        <v>684</v>
      </c>
      <c r="F62" s="13" t="s">
        <v>685</v>
      </c>
      <c r="G62" s="82" t="s">
        <v>564</v>
      </c>
      <c r="H62" s="21">
        <v>400</v>
      </c>
      <c r="I62" s="21"/>
      <c r="J62" s="76" t="s">
        <v>50</v>
      </c>
      <c r="K62" s="13" t="s">
        <v>482</v>
      </c>
      <c r="L62" s="16"/>
      <c r="M62" s="16"/>
      <c r="N62" s="16"/>
      <c r="O62" s="12">
        <v>1042346983</v>
      </c>
      <c r="P62" s="13" t="s">
        <v>60</v>
      </c>
      <c r="Q62" s="13" t="s">
        <v>508</v>
      </c>
      <c r="R62" s="13" t="s">
        <v>51</v>
      </c>
      <c r="S62" s="13"/>
      <c r="T62" s="14" t="s">
        <v>484</v>
      </c>
      <c r="U62" s="16"/>
      <c r="V62" s="60">
        <v>200061777902</v>
      </c>
      <c r="W62" s="14" t="s">
        <v>485</v>
      </c>
      <c r="X62" s="14" t="s">
        <v>517</v>
      </c>
      <c r="Y62" s="60">
        <v>500027172598</v>
      </c>
      <c r="Z62" s="13" t="s">
        <v>487</v>
      </c>
      <c r="AA62" s="21">
        <v>1</v>
      </c>
      <c r="AB62" s="13" t="s">
        <v>488</v>
      </c>
      <c r="AC62" s="23" t="s">
        <v>489</v>
      </c>
      <c r="AD62" s="23" t="s">
        <v>490</v>
      </c>
      <c r="AE62" s="13" t="s">
        <v>491</v>
      </c>
      <c r="AF62" s="13" t="s">
        <v>492</v>
      </c>
      <c r="AG62" s="13" t="s">
        <v>493</v>
      </c>
      <c r="AH62" s="13" t="s">
        <v>494</v>
      </c>
      <c r="AI62" s="13" t="s">
        <v>495</v>
      </c>
    </row>
    <row r="63" spans="1:35" ht="57.6" x14ac:dyDescent="0.3">
      <c r="A63" s="131">
        <v>62</v>
      </c>
      <c r="B63" s="79" t="str">
        <f t="shared" si="4"/>
        <v>N</v>
      </c>
      <c r="C63" s="13" t="s">
        <v>113</v>
      </c>
      <c r="D63" s="76" t="s">
        <v>686</v>
      </c>
      <c r="E63" s="82" t="s">
        <v>687</v>
      </c>
      <c r="F63" s="13" t="s">
        <v>688</v>
      </c>
      <c r="G63" s="82" t="s">
        <v>564</v>
      </c>
      <c r="H63" s="21">
        <v>400</v>
      </c>
      <c r="I63" s="21"/>
      <c r="J63" s="76" t="s">
        <v>50</v>
      </c>
      <c r="K63" s="13" t="s">
        <v>482</v>
      </c>
      <c r="L63" s="16"/>
      <c r="M63" s="16"/>
      <c r="N63" s="16"/>
      <c r="O63" s="12">
        <v>1042346984</v>
      </c>
      <c r="P63" s="13" t="s">
        <v>60</v>
      </c>
      <c r="Q63" s="16"/>
      <c r="R63" s="16"/>
      <c r="S63" s="16"/>
      <c r="U63" s="16"/>
      <c r="V63" s="61"/>
      <c r="Y63" s="61"/>
      <c r="Z63" s="16"/>
      <c r="AA63" s="18"/>
      <c r="AB63" s="16"/>
      <c r="AC63" s="18"/>
      <c r="AD63" s="18"/>
      <c r="AE63" s="16"/>
      <c r="AF63" s="16"/>
      <c r="AG63" s="16"/>
      <c r="AH63" s="16"/>
      <c r="AI63" s="16"/>
    </row>
    <row r="64" spans="1:35" ht="57.6" x14ac:dyDescent="0.3">
      <c r="A64" s="131">
        <v>63</v>
      </c>
      <c r="B64" s="79" t="str">
        <f t="shared" si="4"/>
        <v>N</v>
      </c>
      <c r="C64" s="13" t="s">
        <v>113</v>
      </c>
      <c r="D64" s="76" t="s">
        <v>689</v>
      </c>
      <c r="E64" s="82" t="s">
        <v>690</v>
      </c>
      <c r="F64" s="13" t="s">
        <v>691</v>
      </c>
      <c r="G64" s="82" t="s">
        <v>564</v>
      </c>
      <c r="H64" s="21">
        <v>200</v>
      </c>
      <c r="I64" s="21"/>
      <c r="J64" s="76" t="s">
        <v>50</v>
      </c>
      <c r="K64" s="13" t="s">
        <v>482</v>
      </c>
      <c r="L64" s="16"/>
      <c r="M64" s="16"/>
      <c r="N64" s="16"/>
      <c r="O64" s="12">
        <v>1042346985</v>
      </c>
      <c r="P64" s="13" t="s">
        <v>60</v>
      </c>
      <c r="Q64" s="16"/>
      <c r="R64" s="16"/>
      <c r="S64" s="16"/>
      <c r="U64" s="16"/>
      <c r="V64" s="61"/>
      <c r="Y64" s="61"/>
      <c r="Z64" s="16"/>
      <c r="AA64" s="18"/>
      <c r="AB64" s="16"/>
      <c r="AC64" s="18"/>
      <c r="AD64" s="18"/>
      <c r="AE64" s="16"/>
      <c r="AF64" s="16"/>
      <c r="AG64" s="16"/>
      <c r="AH64" s="16"/>
      <c r="AI64" s="16"/>
    </row>
    <row r="65" spans="1:35" ht="57.6" x14ac:dyDescent="0.3">
      <c r="A65" s="131">
        <v>64</v>
      </c>
      <c r="B65" s="79" t="str">
        <f t="shared" si="4"/>
        <v>N</v>
      </c>
      <c r="C65" s="13" t="s">
        <v>113</v>
      </c>
      <c r="D65" s="76" t="s">
        <v>692</v>
      </c>
      <c r="E65" s="82" t="s">
        <v>693</v>
      </c>
      <c r="F65" s="13" t="s">
        <v>694</v>
      </c>
      <c r="G65" s="82" t="s">
        <v>564</v>
      </c>
      <c r="H65" s="21">
        <v>400</v>
      </c>
      <c r="I65" s="21"/>
      <c r="J65" s="76" t="s">
        <v>50</v>
      </c>
      <c r="K65" s="13" t="s">
        <v>482</v>
      </c>
      <c r="L65" s="16"/>
      <c r="M65" s="16"/>
      <c r="N65" s="16"/>
      <c r="O65" s="12">
        <v>1042346986</v>
      </c>
      <c r="P65" s="13" t="s">
        <v>60</v>
      </c>
      <c r="Q65" s="16"/>
      <c r="R65" s="16"/>
      <c r="S65" s="16"/>
      <c r="U65" s="16"/>
      <c r="V65" s="61"/>
      <c r="Y65" s="61"/>
      <c r="Z65" s="16"/>
      <c r="AA65" s="18"/>
      <c r="AB65" s="16"/>
      <c r="AC65" s="18"/>
      <c r="AD65" s="18"/>
      <c r="AE65" s="16"/>
      <c r="AF65" s="16"/>
      <c r="AG65" s="16"/>
      <c r="AH65" s="16"/>
      <c r="AI65" s="16"/>
    </row>
    <row r="66" spans="1:35" ht="288" x14ac:dyDescent="0.3">
      <c r="A66" s="131">
        <v>65</v>
      </c>
      <c r="B66" s="79" t="str">
        <f t="shared" si="4"/>
        <v>N</v>
      </c>
      <c r="C66" s="13" t="s">
        <v>113</v>
      </c>
      <c r="D66" s="76" t="s">
        <v>695</v>
      </c>
      <c r="E66" s="82" t="s">
        <v>696</v>
      </c>
      <c r="F66" s="13" t="s">
        <v>697</v>
      </c>
      <c r="G66" s="82" t="s">
        <v>698</v>
      </c>
      <c r="H66" s="21">
        <v>200</v>
      </c>
      <c r="I66" s="21"/>
      <c r="J66" s="76" t="s">
        <v>50</v>
      </c>
      <c r="K66" s="13" t="s">
        <v>482</v>
      </c>
      <c r="L66" s="16"/>
      <c r="M66" s="16"/>
      <c r="N66" s="16"/>
      <c r="O66" s="12">
        <v>1042346987</v>
      </c>
      <c r="P66" s="13" t="s">
        <v>60</v>
      </c>
      <c r="Q66" s="16"/>
      <c r="R66" s="16"/>
      <c r="S66" s="16"/>
      <c r="U66" s="16"/>
      <c r="V66" s="61"/>
      <c r="Y66" s="61"/>
      <c r="Z66" s="16"/>
      <c r="AA66" s="18"/>
      <c r="AB66" s="16"/>
      <c r="AC66" s="18"/>
      <c r="AD66" s="18"/>
      <c r="AE66" s="16"/>
      <c r="AF66" s="16"/>
      <c r="AG66" s="16"/>
      <c r="AH66" s="16"/>
      <c r="AI66" s="16"/>
    </row>
    <row r="67" spans="1:35" ht="288" x14ac:dyDescent="0.3">
      <c r="A67" s="131">
        <v>66</v>
      </c>
      <c r="B67" s="79" t="str">
        <f t="shared" si="4"/>
        <v>N</v>
      </c>
      <c r="C67" s="13" t="s">
        <v>113</v>
      </c>
      <c r="D67" s="76" t="s">
        <v>699</v>
      </c>
      <c r="E67" s="82" t="s">
        <v>700</v>
      </c>
      <c r="F67" s="13" t="s">
        <v>697</v>
      </c>
      <c r="G67" s="82" t="s">
        <v>698</v>
      </c>
      <c r="H67" s="21">
        <v>200</v>
      </c>
      <c r="I67" s="21"/>
      <c r="J67" s="76" t="s">
        <v>50</v>
      </c>
      <c r="K67" s="13" t="s">
        <v>482</v>
      </c>
      <c r="L67" s="16"/>
      <c r="M67" s="16"/>
      <c r="N67" s="16"/>
      <c r="O67" s="12">
        <v>1042346987</v>
      </c>
      <c r="P67" s="13" t="s">
        <v>60</v>
      </c>
      <c r="Q67" s="16"/>
      <c r="R67" s="16"/>
      <c r="S67" s="16"/>
      <c r="U67" s="16"/>
      <c r="V67" s="61"/>
      <c r="Y67" s="61"/>
      <c r="Z67" s="16"/>
      <c r="AA67" s="18"/>
      <c r="AB67" s="16"/>
      <c r="AC67" s="18"/>
      <c r="AD67" s="18"/>
      <c r="AE67" s="16"/>
      <c r="AF67" s="16"/>
      <c r="AG67" s="16"/>
      <c r="AH67" s="16"/>
      <c r="AI67" s="16"/>
    </row>
    <row r="68" spans="1:35" ht="288" x14ac:dyDescent="0.3">
      <c r="A68" s="131">
        <v>67</v>
      </c>
      <c r="B68" s="79" t="str">
        <f t="shared" si="4"/>
        <v>N</v>
      </c>
      <c r="C68" s="13" t="s">
        <v>113</v>
      </c>
      <c r="D68" s="76" t="s">
        <v>701</v>
      </c>
      <c r="E68" s="82" t="s">
        <v>702</v>
      </c>
      <c r="F68" s="13" t="s">
        <v>697</v>
      </c>
      <c r="G68" s="82" t="s">
        <v>698</v>
      </c>
      <c r="H68" s="21">
        <v>200</v>
      </c>
      <c r="I68" s="21"/>
      <c r="J68" s="76" t="s">
        <v>50</v>
      </c>
      <c r="K68" s="13" t="s">
        <v>482</v>
      </c>
      <c r="L68" s="16"/>
      <c r="M68" s="16"/>
      <c r="N68" s="16"/>
      <c r="O68" s="12">
        <v>1042346987</v>
      </c>
      <c r="P68" s="13" t="s">
        <v>60</v>
      </c>
      <c r="Q68" s="16"/>
      <c r="R68" s="16"/>
      <c r="S68" s="16"/>
      <c r="U68" s="16"/>
      <c r="V68" s="61"/>
      <c r="Y68" s="61"/>
      <c r="Z68" s="16"/>
      <c r="AA68" s="18"/>
      <c r="AB68" s="16"/>
      <c r="AC68" s="18"/>
      <c r="AD68" s="18"/>
      <c r="AE68" s="16"/>
      <c r="AF68" s="16"/>
      <c r="AG68" s="16"/>
      <c r="AH68" s="16"/>
      <c r="AI68" s="16"/>
    </row>
    <row r="69" spans="1:35" ht="288" x14ac:dyDescent="0.3">
      <c r="A69" s="131">
        <v>68</v>
      </c>
      <c r="B69" s="79" t="str">
        <f t="shared" si="4"/>
        <v>N</v>
      </c>
      <c r="C69" s="13" t="s">
        <v>113</v>
      </c>
      <c r="D69" s="76" t="s">
        <v>703</v>
      </c>
      <c r="E69" s="82" t="s">
        <v>704</v>
      </c>
      <c r="F69" s="13" t="s">
        <v>697</v>
      </c>
      <c r="G69" s="82" t="s">
        <v>698</v>
      </c>
      <c r="H69" s="21">
        <v>200</v>
      </c>
      <c r="I69" s="21"/>
      <c r="J69" s="76" t="s">
        <v>50</v>
      </c>
      <c r="K69" s="13" t="s">
        <v>482</v>
      </c>
      <c r="L69" s="16"/>
      <c r="M69" s="16"/>
      <c r="N69" s="16"/>
      <c r="O69" s="12">
        <v>1042346987</v>
      </c>
      <c r="P69" s="13" t="s">
        <v>60</v>
      </c>
      <c r="Q69" s="16"/>
      <c r="R69" s="16"/>
      <c r="S69" s="16"/>
      <c r="U69" s="16"/>
      <c r="V69" s="61"/>
      <c r="Y69" s="61"/>
      <c r="Z69" s="16"/>
      <c r="AA69" s="18"/>
      <c r="AB69" s="16"/>
      <c r="AC69" s="18"/>
      <c r="AD69" s="18"/>
      <c r="AE69" s="16"/>
      <c r="AF69" s="16"/>
      <c r="AG69" s="16"/>
      <c r="AH69" s="16"/>
      <c r="AI69" s="16"/>
    </row>
    <row r="70" spans="1:35" ht="201.6" x14ac:dyDescent="0.3">
      <c r="A70" s="131">
        <v>69</v>
      </c>
      <c r="B70" s="79" t="str">
        <f t="shared" si="4"/>
        <v>N</v>
      </c>
      <c r="C70" s="13" t="s">
        <v>113</v>
      </c>
      <c r="D70" s="76" t="s">
        <v>705</v>
      </c>
      <c r="E70" s="82" t="s">
        <v>706</v>
      </c>
      <c r="F70" s="13" t="s">
        <v>707</v>
      </c>
      <c r="G70" s="82" t="s">
        <v>708</v>
      </c>
      <c r="H70" s="21">
        <v>409</v>
      </c>
      <c r="I70" s="21"/>
      <c r="J70" s="76" t="s">
        <v>50</v>
      </c>
      <c r="K70" s="13" t="s">
        <v>482</v>
      </c>
      <c r="L70" s="16"/>
      <c r="M70" s="16"/>
      <c r="N70" s="16"/>
      <c r="O70" s="12">
        <v>1042346988</v>
      </c>
      <c r="P70" s="13" t="s">
        <v>60</v>
      </c>
      <c r="Q70" s="16"/>
      <c r="R70" s="16"/>
      <c r="S70" s="16"/>
      <c r="U70" s="16"/>
      <c r="V70" s="61"/>
      <c r="Y70" s="61"/>
      <c r="Z70" s="16"/>
      <c r="AA70" s="18"/>
      <c r="AB70" s="16"/>
      <c r="AC70" s="18"/>
      <c r="AD70" s="18"/>
      <c r="AE70" s="16"/>
      <c r="AF70" s="16"/>
      <c r="AG70" s="16"/>
      <c r="AH70" s="16"/>
      <c r="AI70" s="16"/>
    </row>
    <row r="71" spans="1:35" ht="201.6" x14ac:dyDescent="0.3">
      <c r="A71" s="131">
        <v>70</v>
      </c>
      <c r="B71" s="79" t="str">
        <f t="shared" si="4"/>
        <v>N</v>
      </c>
      <c r="C71" s="13" t="s">
        <v>113</v>
      </c>
      <c r="D71" s="76" t="s">
        <v>709</v>
      </c>
      <c r="E71" s="82" t="s">
        <v>710</v>
      </c>
      <c r="F71" s="13" t="s">
        <v>707</v>
      </c>
      <c r="G71" s="82" t="s">
        <v>708</v>
      </c>
      <c r="H71" s="21">
        <v>409</v>
      </c>
      <c r="I71" s="21"/>
      <c r="J71" s="76" t="s">
        <v>50</v>
      </c>
      <c r="K71" s="13" t="s">
        <v>482</v>
      </c>
      <c r="L71" s="16"/>
      <c r="M71" s="16"/>
      <c r="N71" s="16"/>
      <c r="O71" s="12">
        <v>1042346993</v>
      </c>
      <c r="P71" s="13" t="s">
        <v>60</v>
      </c>
      <c r="Q71" s="16"/>
      <c r="R71" s="16"/>
      <c r="S71" s="16"/>
      <c r="U71" s="16"/>
      <c r="V71" s="61"/>
      <c r="Y71" s="61"/>
      <c r="Z71" s="16"/>
      <c r="AA71" s="18"/>
      <c r="AB71" s="16"/>
      <c r="AC71" s="18"/>
      <c r="AD71" s="18"/>
      <c r="AE71" s="16"/>
      <c r="AF71" s="16"/>
      <c r="AG71" s="16"/>
      <c r="AH71" s="16"/>
      <c r="AI71" s="16"/>
    </row>
    <row r="72" spans="1:35" ht="201.6" x14ac:dyDescent="0.3">
      <c r="A72" s="131">
        <v>71</v>
      </c>
      <c r="B72" s="79" t="str">
        <f t="shared" si="4"/>
        <v>N</v>
      </c>
      <c r="C72" s="13" t="s">
        <v>113</v>
      </c>
      <c r="D72" s="76" t="s">
        <v>711</v>
      </c>
      <c r="E72" s="82" t="s">
        <v>712</v>
      </c>
      <c r="F72" s="13" t="s">
        <v>707</v>
      </c>
      <c r="G72" s="82" t="s">
        <v>708</v>
      </c>
      <c r="H72" s="21">
        <v>409</v>
      </c>
      <c r="I72" s="21"/>
      <c r="J72" s="76" t="s">
        <v>50</v>
      </c>
      <c r="K72" s="13" t="s">
        <v>482</v>
      </c>
      <c r="L72" s="16"/>
      <c r="M72" s="16"/>
      <c r="N72" s="16"/>
      <c r="O72" s="12">
        <v>1042346993</v>
      </c>
      <c r="P72" s="13" t="s">
        <v>60</v>
      </c>
      <c r="Q72" s="16"/>
      <c r="R72" s="16"/>
      <c r="S72" s="16"/>
      <c r="U72" s="16"/>
      <c r="V72" s="61"/>
      <c r="Y72" s="61"/>
      <c r="Z72" s="16"/>
      <c r="AA72" s="18"/>
      <c r="AB72" s="16"/>
      <c r="AC72" s="18"/>
      <c r="AD72" s="18"/>
      <c r="AE72" s="16"/>
      <c r="AF72" s="16"/>
      <c r="AG72" s="16"/>
      <c r="AH72" s="16"/>
      <c r="AI72" s="16"/>
    </row>
    <row r="73" spans="1:35" ht="201.6" x14ac:dyDescent="0.3">
      <c r="A73" s="131">
        <v>72</v>
      </c>
      <c r="B73" s="79" t="str">
        <f t="shared" si="4"/>
        <v>N</v>
      </c>
      <c r="C73" s="13" t="s">
        <v>113</v>
      </c>
      <c r="D73" s="76" t="s">
        <v>713</v>
      </c>
      <c r="E73" s="82" t="s">
        <v>714</v>
      </c>
      <c r="F73" s="13" t="s">
        <v>707</v>
      </c>
      <c r="G73" s="82" t="s">
        <v>708</v>
      </c>
      <c r="H73" s="21">
        <v>409</v>
      </c>
      <c r="I73" s="21"/>
      <c r="J73" s="76" t="s">
        <v>50</v>
      </c>
      <c r="K73" s="13" t="s">
        <v>482</v>
      </c>
      <c r="L73" s="16"/>
      <c r="M73" s="16"/>
      <c r="N73" s="16"/>
      <c r="O73" s="12">
        <v>1042346993</v>
      </c>
      <c r="P73" s="13" t="s">
        <v>60</v>
      </c>
      <c r="Q73" s="16"/>
      <c r="R73" s="16"/>
      <c r="S73" s="16"/>
      <c r="U73" s="16"/>
      <c r="V73" s="61"/>
      <c r="Y73" s="61"/>
      <c r="Z73" s="16"/>
      <c r="AA73" s="18"/>
      <c r="AB73" s="16"/>
      <c r="AC73" s="18"/>
      <c r="AD73" s="18"/>
      <c r="AE73" s="16"/>
      <c r="AF73" s="16"/>
      <c r="AG73" s="16"/>
      <c r="AH73" s="16"/>
      <c r="AI73" s="16"/>
    </row>
    <row r="74" spans="1:35" ht="57.6" x14ac:dyDescent="0.3">
      <c r="A74" s="131">
        <v>73</v>
      </c>
      <c r="B74" s="79" t="str">
        <f t="shared" si="4"/>
        <v>N</v>
      </c>
      <c r="C74" s="13" t="s">
        <v>113</v>
      </c>
      <c r="D74" s="76" t="s">
        <v>597</v>
      </c>
      <c r="E74" s="82" t="s">
        <v>715</v>
      </c>
      <c r="F74" s="13" t="s">
        <v>716</v>
      </c>
      <c r="G74" s="82" t="s">
        <v>717</v>
      </c>
      <c r="H74" s="15">
        <v>409</v>
      </c>
      <c r="I74" s="15"/>
      <c r="J74" s="76" t="s">
        <v>50</v>
      </c>
      <c r="K74" s="13" t="s">
        <v>482</v>
      </c>
      <c r="L74" s="16"/>
      <c r="M74" s="16"/>
      <c r="N74" s="16"/>
      <c r="O74" s="12"/>
      <c r="P74" s="13"/>
      <c r="Q74" s="16"/>
      <c r="R74" s="16"/>
      <c r="S74" s="16"/>
      <c r="U74" s="16"/>
      <c r="V74" s="61"/>
      <c r="Y74" s="61"/>
      <c r="Z74" s="16"/>
      <c r="AA74" s="18"/>
      <c r="AB74" s="16"/>
      <c r="AC74" s="18"/>
      <c r="AD74" s="18"/>
      <c r="AE74" s="16"/>
      <c r="AF74" s="16"/>
      <c r="AG74" s="16"/>
      <c r="AH74" s="16"/>
      <c r="AI74" s="16"/>
    </row>
    <row r="75" spans="1:35" ht="28.8" x14ac:dyDescent="0.3">
      <c r="A75" s="131">
        <v>74</v>
      </c>
      <c r="B75" s="79" t="str">
        <f t="shared" si="4"/>
        <v>N</v>
      </c>
      <c r="C75" s="13" t="s">
        <v>113</v>
      </c>
      <c r="D75" s="76" t="s">
        <v>718</v>
      </c>
      <c r="E75" s="82" t="s">
        <v>719</v>
      </c>
      <c r="F75" s="13" t="s">
        <v>720</v>
      </c>
      <c r="G75" s="82" t="s">
        <v>721</v>
      </c>
      <c r="H75" s="21">
        <v>200</v>
      </c>
      <c r="I75" s="21"/>
      <c r="J75" s="76" t="s">
        <v>50</v>
      </c>
      <c r="K75" s="13" t="s">
        <v>482</v>
      </c>
      <c r="L75" s="16"/>
      <c r="M75" s="16"/>
      <c r="N75" s="16"/>
      <c r="O75" s="12">
        <v>1042346990</v>
      </c>
      <c r="P75" s="13" t="s">
        <v>60</v>
      </c>
      <c r="Q75" s="16"/>
      <c r="R75" s="16"/>
      <c r="S75" s="16"/>
      <c r="U75" s="16"/>
      <c r="V75" s="61"/>
      <c r="Y75" s="61"/>
      <c r="Z75" s="16"/>
      <c r="AA75" s="18"/>
      <c r="AB75" s="16"/>
      <c r="AC75" s="18"/>
      <c r="AD75" s="18"/>
      <c r="AE75" s="16"/>
      <c r="AF75" s="16"/>
      <c r="AG75" s="16"/>
      <c r="AH75" s="16"/>
      <c r="AI75" s="16"/>
    </row>
    <row r="76" spans="1:35" ht="28.8" x14ac:dyDescent="0.3">
      <c r="A76" s="131">
        <v>75</v>
      </c>
      <c r="B76" s="79" t="str">
        <f t="shared" si="4"/>
        <v>N</v>
      </c>
      <c r="C76" s="13" t="s">
        <v>113</v>
      </c>
      <c r="D76" s="76" t="s">
        <v>722</v>
      </c>
      <c r="E76" s="82" t="s">
        <v>723</v>
      </c>
      <c r="F76" s="13" t="s">
        <v>720</v>
      </c>
      <c r="G76" s="82" t="s">
        <v>721</v>
      </c>
      <c r="H76" s="21">
        <v>200</v>
      </c>
      <c r="I76" s="21"/>
      <c r="J76" s="76" t="s">
        <v>50</v>
      </c>
      <c r="K76" s="13" t="s">
        <v>482</v>
      </c>
      <c r="L76" s="16"/>
      <c r="M76" s="16"/>
      <c r="N76" s="16"/>
      <c r="O76" s="12">
        <v>1042346990</v>
      </c>
      <c r="P76" s="13" t="s">
        <v>60</v>
      </c>
      <c r="Q76" s="16"/>
      <c r="R76" s="16"/>
      <c r="S76" s="16"/>
      <c r="U76" s="16"/>
      <c r="V76" s="61"/>
      <c r="Y76" s="61"/>
      <c r="Z76" s="16"/>
      <c r="AA76" s="18"/>
      <c r="AB76" s="16"/>
      <c r="AC76" s="18"/>
      <c r="AD76" s="18"/>
      <c r="AE76" s="16"/>
      <c r="AF76" s="16"/>
      <c r="AG76" s="16"/>
      <c r="AH76" s="16"/>
      <c r="AI76" s="16"/>
    </row>
    <row r="77" spans="1:35" ht="28.8" x14ac:dyDescent="0.3">
      <c r="A77" s="131">
        <v>76</v>
      </c>
      <c r="B77" s="79" t="str">
        <f t="shared" si="4"/>
        <v>N</v>
      </c>
      <c r="C77" s="13" t="s">
        <v>113</v>
      </c>
      <c r="D77" s="76" t="s">
        <v>724</v>
      </c>
      <c r="E77" s="82" t="s">
        <v>725</v>
      </c>
      <c r="F77" s="13" t="s">
        <v>726</v>
      </c>
      <c r="G77" s="82" t="s">
        <v>721</v>
      </c>
      <c r="H77" s="21">
        <v>200</v>
      </c>
      <c r="I77" s="21"/>
      <c r="J77" s="76" t="s">
        <v>50</v>
      </c>
      <c r="K77" s="13" t="s">
        <v>482</v>
      </c>
      <c r="L77" s="16"/>
      <c r="M77" s="16"/>
      <c r="N77" s="16"/>
      <c r="O77" s="12">
        <v>1042346991</v>
      </c>
      <c r="P77" s="13" t="s">
        <v>60</v>
      </c>
      <c r="Q77" s="16"/>
      <c r="R77" s="16"/>
      <c r="S77" s="16"/>
      <c r="U77" s="16"/>
      <c r="V77" s="61"/>
      <c r="Y77" s="61"/>
      <c r="Z77" s="16"/>
      <c r="AA77" s="18"/>
      <c r="AB77" s="16"/>
      <c r="AC77" s="18"/>
      <c r="AD77" s="18"/>
      <c r="AE77" s="16"/>
      <c r="AF77" s="16"/>
      <c r="AG77" s="16"/>
      <c r="AH77" s="16"/>
      <c r="AI77" s="16"/>
    </row>
    <row r="78" spans="1:35" ht="28.8" x14ac:dyDescent="0.3">
      <c r="A78" s="131">
        <v>77</v>
      </c>
      <c r="B78" s="79" t="str">
        <f t="shared" si="4"/>
        <v>N</v>
      </c>
      <c r="C78" s="13" t="s">
        <v>113</v>
      </c>
      <c r="D78" s="76" t="s">
        <v>727</v>
      </c>
      <c r="E78" s="82" t="s">
        <v>728</v>
      </c>
      <c r="F78" s="13" t="s">
        <v>729</v>
      </c>
      <c r="G78" s="82" t="s">
        <v>721</v>
      </c>
      <c r="H78" s="21">
        <v>200</v>
      </c>
      <c r="I78" s="21"/>
      <c r="J78" s="76" t="s">
        <v>50</v>
      </c>
      <c r="K78" s="13" t="s">
        <v>482</v>
      </c>
      <c r="L78" s="16"/>
      <c r="M78" s="16"/>
      <c r="N78" s="16"/>
      <c r="O78" s="12">
        <v>1042346992</v>
      </c>
      <c r="P78" s="13" t="s">
        <v>60</v>
      </c>
      <c r="Q78" s="16"/>
      <c r="R78" s="16"/>
      <c r="S78" s="16"/>
      <c r="U78" s="16"/>
      <c r="V78" s="61"/>
      <c r="Y78" s="61"/>
      <c r="Z78" s="16"/>
      <c r="AA78" s="18"/>
      <c r="AB78" s="16"/>
      <c r="AC78" s="18"/>
      <c r="AD78" s="18"/>
      <c r="AE78" s="16"/>
      <c r="AF78" s="16"/>
      <c r="AG78" s="16"/>
      <c r="AH78" s="16"/>
      <c r="AI78" s="16"/>
    </row>
    <row r="79" spans="1:35" ht="28.8" x14ac:dyDescent="0.3">
      <c r="A79" s="131">
        <v>78</v>
      </c>
      <c r="B79" s="79" t="str">
        <f t="shared" si="4"/>
        <v>N</v>
      </c>
      <c r="C79" s="13" t="s">
        <v>113</v>
      </c>
      <c r="D79" s="76" t="s">
        <v>730</v>
      </c>
      <c r="E79" s="82" t="s">
        <v>731</v>
      </c>
      <c r="F79" s="13"/>
      <c r="G79" s="82"/>
      <c r="H79" s="21"/>
      <c r="I79" s="21"/>
      <c r="J79" s="76" t="s">
        <v>50</v>
      </c>
      <c r="K79" s="13" t="s">
        <v>482</v>
      </c>
      <c r="L79" s="16"/>
      <c r="M79" s="16"/>
      <c r="N79" s="16"/>
      <c r="O79" s="12">
        <v>1042346993</v>
      </c>
      <c r="P79" s="13" t="s">
        <v>60</v>
      </c>
      <c r="Q79" s="16"/>
      <c r="R79" s="16"/>
      <c r="S79" s="16"/>
      <c r="U79" s="16"/>
      <c r="V79" s="61"/>
      <c r="Y79" s="61"/>
      <c r="Z79" s="16"/>
      <c r="AA79" s="18"/>
      <c r="AB79" s="16"/>
      <c r="AC79" s="18"/>
      <c r="AD79" s="18"/>
      <c r="AE79" s="16"/>
      <c r="AF79" s="16"/>
      <c r="AG79" s="16"/>
      <c r="AH79" s="16"/>
      <c r="AI79" s="16"/>
    </row>
    <row r="80" spans="1:35" ht="28.8" x14ac:dyDescent="0.3">
      <c r="A80" s="131">
        <v>79</v>
      </c>
      <c r="B80" s="79" t="str">
        <f t="shared" si="4"/>
        <v>N</v>
      </c>
      <c r="C80" s="13" t="s">
        <v>113</v>
      </c>
      <c r="D80" s="76" t="s">
        <v>732</v>
      </c>
      <c r="E80" s="82" t="s">
        <v>733</v>
      </c>
      <c r="F80" s="13" t="s">
        <v>720</v>
      </c>
      <c r="G80" s="82" t="s">
        <v>734</v>
      </c>
      <c r="H80" s="21">
        <v>200</v>
      </c>
      <c r="I80" s="21"/>
      <c r="J80" s="76" t="s">
        <v>50</v>
      </c>
      <c r="K80" s="13" t="s">
        <v>482</v>
      </c>
      <c r="L80" s="16"/>
      <c r="M80" s="16"/>
      <c r="N80" s="16"/>
      <c r="O80" s="12">
        <v>1042346993</v>
      </c>
      <c r="P80" s="13" t="s">
        <v>60</v>
      </c>
      <c r="Q80" s="16"/>
      <c r="R80" s="16"/>
      <c r="S80" s="16"/>
      <c r="U80" s="16"/>
      <c r="V80" s="61"/>
      <c r="Y80" s="61"/>
      <c r="Z80" s="16"/>
      <c r="AA80" s="18"/>
      <c r="AB80" s="16"/>
      <c r="AC80" s="18"/>
      <c r="AD80" s="18"/>
      <c r="AE80" s="16"/>
      <c r="AF80" s="16"/>
      <c r="AG80" s="16"/>
      <c r="AH80" s="16"/>
      <c r="AI80" s="16"/>
    </row>
    <row r="81" spans="1:35" ht="28.8" x14ac:dyDescent="0.3">
      <c r="A81" s="131">
        <v>80</v>
      </c>
      <c r="B81" s="79" t="str">
        <f t="shared" si="4"/>
        <v>N</v>
      </c>
      <c r="C81" s="13" t="s">
        <v>113</v>
      </c>
      <c r="D81" s="76" t="s">
        <v>735</v>
      </c>
      <c r="E81" s="82" t="s">
        <v>736</v>
      </c>
      <c r="F81" s="13" t="s">
        <v>726</v>
      </c>
      <c r="G81" s="82" t="s">
        <v>734</v>
      </c>
      <c r="H81" s="21">
        <v>200</v>
      </c>
      <c r="I81" s="21"/>
      <c r="J81" s="76" t="s">
        <v>50</v>
      </c>
      <c r="K81" s="13" t="s">
        <v>482</v>
      </c>
      <c r="L81" s="16"/>
      <c r="M81" s="16"/>
      <c r="N81" s="16"/>
      <c r="O81" s="12">
        <v>1042346994</v>
      </c>
      <c r="P81" s="13" t="s">
        <v>60</v>
      </c>
      <c r="Q81" s="16"/>
      <c r="R81" s="16"/>
      <c r="S81" s="16"/>
      <c r="U81" s="16"/>
      <c r="V81" s="61"/>
      <c r="Y81" s="61"/>
      <c r="Z81" s="16"/>
      <c r="AA81" s="18"/>
      <c r="AB81" s="16"/>
      <c r="AC81" s="18"/>
      <c r="AD81" s="18"/>
      <c r="AE81" s="16"/>
      <c r="AF81" s="16"/>
      <c r="AG81" s="16"/>
      <c r="AH81" s="16"/>
      <c r="AI81" s="16"/>
    </row>
    <row r="82" spans="1:35" ht="28.8" x14ac:dyDescent="0.3">
      <c r="A82" s="131">
        <v>81</v>
      </c>
      <c r="B82" s="79" t="str">
        <f t="shared" si="4"/>
        <v>N</v>
      </c>
      <c r="C82" s="13" t="s">
        <v>113</v>
      </c>
      <c r="D82" s="76" t="s">
        <v>737</v>
      </c>
      <c r="E82" s="82" t="s">
        <v>738</v>
      </c>
      <c r="F82" s="13" t="s">
        <v>729</v>
      </c>
      <c r="G82" s="82" t="s">
        <v>734</v>
      </c>
      <c r="H82" s="21">
        <v>200</v>
      </c>
      <c r="I82" s="21"/>
      <c r="J82" s="76" t="s">
        <v>50</v>
      </c>
      <c r="K82" s="13" t="s">
        <v>482</v>
      </c>
      <c r="L82" s="16"/>
      <c r="M82" s="16"/>
      <c r="N82" s="16"/>
      <c r="O82" s="12">
        <v>1042346995</v>
      </c>
      <c r="P82" s="13" t="s">
        <v>60</v>
      </c>
      <c r="Q82" s="16"/>
      <c r="R82" s="16"/>
      <c r="S82" s="16"/>
      <c r="U82" s="16"/>
      <c r="V82" s="61"/>
      <c r="Y82" s="61"/>
      <c r="Z82" s="16"/>
      <c r="AA82" s="18"/>
      <c r="AB82" s="16"/>
      <c r="AC82" s="18"/>
      <c r="AD82" s="18"/>
      <c r="AE82" s="16"/>
      <c r="AF82" s="16"/>
      <c r="AG82" s="16"/>
      <c r="AH82" s="16"/>
      <c r="AI82" s="16"/>
    </row>
    <row r="83" spans="1:35" ht="28.8" x14ac:dyDescent="0.3">
      <c r="A83" s="131">
        <v>82</v>
      </c>
      <c r="B83" s="79" t="str">
        <f t="shared" si="4"/>
        <v>N</v>
      </c>
      <c r="C83" s="13" t="s">
        <v>113</v>
      </c>
      <c r="D83" s="76" t="s">
        <v>739</v>
      </c>
      <c r="E83" s="82" t="s">
        <v>740</v>
      </c>
      <c r="F83" s="13" t="s">
        <v>720</v>
      </c>
      <c r="G83" s="82" t="s">
        <v>741</v>
      </c>
      <c r="H83" s="21">
        <v>200</v>
      </c>
      <c r="I83" s="21"/>
      <c r="J83" s="76" t="s">
        <v>50</v>
      </c>
      <c r="K83" s="13" t="s">
        <v>482</v>
      </c>
      <c r="L83" s="16"/>
      <c r="M83" s="16"/>
      <c r="N83" s="16"/>
      <c r="O83" s="12">
        <v>1042346996</v>
      </c>
      <c r="P83" s="13" t="s">
        <v>60</v>
      </c>
      <c r="Q83" s="16"/>
      <c r="R83" s="16"/>
      <c r="S83" s="16"/>
      <c r="U83" s="16"/>
      <c r="V83" s="61"/>
      <c r="Y83" s="61"/>
      <c r="Z83" s="16"/>
      <c r="AA83" s="18"/>
      <c r="AB83" s="16"/>
      <c r="AC83" s="18"/>
      <c r="AD83" s="18"/>
      <c r="AE83" s="16"/>
      <c r="AF83" s="16"/>
      <c r="AG83" s="16"/>
      <c r="AH83" s="16"/>
      <c r="AI83" s="16"/>
    </row>
    <row r="84" spans="1:35" ht="28.8" x14ac:dyDescent="0.3">
      <c r="A84" s="131">
        <v>83</v>
      </c>
      <c r="B84" s="79" t="str">
        <f t="shared" si="4"/>
        <v>N</v>
      </c>
      <c r="C84" s="13" t="s">
        <v>113</v>
      </c>
      <c r="D84" s="76" t="s">
        <v>742</v>
      </c>
      <c r="E84" s="82" t="s">
        <v>743</v>
      </c>
      <c r="F84" s="13" t="s">
        <v>720</v>
      </c>
      <c r="G84" s="82" t="s">
        <v>741</v>
      </c>
      <c r="H84" s="21">
        <v>200</v>
      </c>
      <c r="I84" s="21"/>
      <c r="J84" s="76" t="s">
        <v>50</v>
      </c>
      <c r="K84" s="13" t="s">
        <v>482</v>
      </c>
      <c r="L84" s="16"/>
      <c r="M84" s="16"/>
      <c r="N84" s="16"/>
      <c r="O84" s="12">
        <v>1042346996</v>
      </c>
      <c r="P84" s="13" t="s">
        <v>60</v>
      </c>
      <c r="Q84" s="16"/>
      <c r="R84" s="16"/>
      <c r="S84" s="16"/>
      <c r="U84" s="16"/>
      <c r="V84" s="61"/>
      <c r="Y84" s="61"/>
      <c r="Z84" s="16"/>
      <c r="AA84" s="18"/>
      <c r="AB84" s="16"/>
      <c r="AC84" s="18"/>
      <c r="AD84" s="18"/>
      <c r="AE84" s="16"/>
      <c r="AF84" s="16"/>
      <c r="AG84" s="16"/>
      <c r="AH84" s="16"/>
      <c r="AI84" s="16"/>
    </row>
    <row r="85" spans="1:35" ht="28.8" x14ac:dyDescent="0.3">
      <c r="A85" s="131">
        <v>84</v>
      </c>
      <c r="B85" s="79" t="str">
        <f t="shared" si="4"/>
        <v>N</v>
      </c>
      <c r="C85" s="13" t="s">
        <v>113</v>
      </c>
      <c r="D85" s="76" t="s">
        <v>744</v>
      </c>
      <c r="E85" s="82" t="s">
        <v>745</v>
      </c>
      <c r="F85" s="13" t="s">
        <v>726</v>
      </c>
      <c r="G85" s="82" t="s">
        <v>741</v>
      </c>
      <c r="H85" s="21">
        <v>200</v>
      </c>
      <c r="I85" s="21"/>
      <c r="J85" s="76" t="s">
        <v>50</v>
      </c>
      <c r="K85" s="13" t="s">
        <v>482</v>
      </c>
      <c r="L85" s="16"/>
      <c r="M85" s="16"/>
      <c r="N85" s="16"/>
      <c r="O85" s="12">
        <v>1042346997</v>
      </c>
      <c r="P85" s="13" t="s">
        <v>60</v>
      </c>
      <c r="Q85" s="16"/>
      <c r="R85" s="16"/>
      <c r="S85" s="16"/>
      <c r="U85" s="16"/>
      <c r="V85" s="61"/>
      <c r="Y85" s="61"/>
      <c r="Z85" s="16"/>
      <c r="AA85" s="18"/>
      <c r="AB85" s="16"/>
      <c r="AC85" s="18"/>
      <c r="AD85" s="18"/>
      <c r="AE85" s="16"/>
      <c r="AF85" s="16"/>
      <c r="AG85" s="16"/>
      <c r="AH85" s="16"/>
      <c r="AI85" s="16"/>
    </row>
    <row r="86" spans="1:35" ht="28.8" x14ac:dyDescent="0.3">
      <c r="A86" s="131">
        <v>85</v>
      </c>
      <c r="B86" s="79" t="str">
        <f t="shared" si="4"/>
        <v>N</v>
      </c>
      <c r="C86" s="13" t="s">
        <v>113</v>
      </c>
      <c r="D86" s="76" t="s">
        <v>746</v>
      </c>
      <c r="E86" s="82" t="s">
        <v>747</v>
      </c>
      <c r="F86" s="13" t="s">
        <v>729</v>
      </c>
      <c r="G86" s="82" t="s">
        <v>741</v>
      </c>
      <c r="H86" s="21">
        <v>200</v>
      </c>
      <c r="I86" s="21"/>
      <c r="J86" s="76" t="s">
        <v>50</v>
      </c>
      <c r="K86" s="13" t="s">
        <v>482</v>
      </c>
      <c r="L86" s="16"/>
      <c r="M86" s="16"/>
      <c r="N86" s="16"/>
      <c r="O86" s="12">
        <v>1042346998</v>
      </c>
      <c r="P86" s="13" t="s">
        <v>60</v>
      </c>
      <c r="Q86" s="16"/>
      <c r="R86" s="16"/>
      <c r="S86" s="16"/>
      <c r="U86" s="16"/>
      <c r="V86" s="61"/>
      <c r="Y86" s="61"/>
      <c r="Z86" s="16"/>
      <c r="AA86" s="18"/>
      <c r="AB86" s="16"/>
      <c r="AC86" s="18"/>
      <c r="AD86" s="18"/>
      <c r="AE86" s="16"/>
      <c r="AF86" s="16"/>
      <c r="AG86" s="16"/>
      <c r="AH86" s="16"/>
      <c r="AI86" s="16"/>
    </row>
    <row r="87" spans="1:35" ht="28.8" x14ac:dyDescent="0.3">
      <c r="A87" s="131">
        <v>86</v>
      </c>
      <c r="B87" s="79" t="str">
        <f t="shared" si="4"/>
        <v>N</v>
      </c>
      <c r="C87" s="13" t="s">
        <v>113</v>
      </c>
      <c r="D87" s="76" t="s">
        <v>748</v>
      </c>
      <c r="E87" s="82" t="s">
        <v>749</v>
      </c>
      <c r="F87" s="13" t="s">
        <v>720</v>
      </c>
      <c r="G87" s="82" t="s">
        <v>750</v>
      </c>
      <c r="H87" s="21">
        <v>200</v>
      </c>
      <c r="I87" s="21"/>
      <c r="J87" s="76" t="s">
        <v>50</v>
      </c>
      <c r="K87" s="13" t="s">
        <v>482</v>
      </c>
      <c r="L87" s="16"/>
      <c r="M87" s="16"/>
      <c r="N87" s="16"/>
      <c r="O87" s="12">
        <v>1042346999</v>
      </c>
      <c r="P87" s="13" t="s">
        <v>60</v>
      </c>
      <c r="Q87" s="16"/>
      <c r="R87" s="16"/>
      <c r="S87" s="16"/>
      <c r="U87" s="16"/>
      <c r="V87" s="61"/>
      <c r="Y87" s="61"/>
      <c r="Z87" s="16"/>
      <c r="AA87" s="18"/>
      <c r="AB87" s="16"/>
      <c r="AC87" s="18"/>
      <c r="AD87" s="18"/>
      <c r="AE87" s="16"/>
      <c r="AF87" s="16"/>
      <c r="AG87" s="16"/>
      <c r="AH87" s="16"/>
      <c r="AI87" s="16"/>
    </row>
    <row r="88" spans="1:35" ht="28.8" x14ac:dyDescent="0.3">
      <c r="A88" s="131">
        <v>87</v>
      </c>
      <c r="B88" s="79" t="str">
        <f t="shared" si="4"/>
        <v>N</v>
      </c>
      <c r="C88" s="13" t="s">
        <v>113</v>
      </c>
      <c r="D88" s="76" t="s">
        <v>751</v>
      </c>
      <c r="E88" s="82" t="s">
        <v>752</v>
      </c>
      <c r="F88" s="13" t="s">
        <v>720</v>
      </c>
      <c r="G88" s="82" t="s">
        <v>750</v>
      </c>
      <c r="H88" s="21">
        <v>200</v>
      </c>
      <c r="I88" s="21"/>
      <c r="J88" s="76" t="s">
        <v>50</v>
      </c>
      <c r="K88" s="13" t="s">
        <v>482</v>
      </c>
      <c r="L88" s="16"/>
      <c r="M88" s="16"/>
      <c r="N88" s="16"/>
      <c r="O88" s="12">
        <v>1042346999</v>
      </c>
      <c r="P88" s="13" t="s">
        <v>60</v>
      </c>
      <c r="Q88" s="16"/>
      <c r="R88" s="16"/>
      <c r="S88" s="16"/>
      <c r="U88" s="16"/>
      <c r="V88" s="61"/>
      <c r="Y88" s="61"/>
      <c r="Z88" s="16"/>
      <c r="AA88" s="18"/>
      <c r="AB88" s="16"/>
      <c r="AC88" s="18"/>
      <c r="AD88" s="18"/>
      <c r="AE88" s="16"/>
      <c r="AF88" s="16"/>
      <c r="AG88" s="16"/>
      <c r="AH88" s="16"/>
      <c r="AI88" s="16"/>
    </row>
    <row r="89" spans="1:35" ht="28.8" x14ac:dyDescent="0.3">
      <c r="A89" s="131">
        <v>88</v>
      </c>
      <c r="B89" s="79" t="str">
        <f t="shared" si="4"/>
        <v>N</v>
      </c>
      <c r="C89" s="13" t="s">
        <v>113</v>
      </c>
      <c r="D89" s="76" t="s">
        <v>753</v>
      </c>
      <c r="E89" s="82" t="s">
        <v>754</v>
      </c>
      <c r="F89" s="13" t="s">
        <v>726</v>
      </c>
      <c r="G89" s="82" t="s">
        <v>750</v>
      </c>
      <c r="H89" s="21">
        <v>200</v>
      </c>
      <c r="I89" s="21"/>
      <c r="J89" s="76" t="s">
        <v>50</v>
      </c>
      <c r="K89" s="13" t="s">
        <v>482</v>
      </c>
      <c r="L89" s="16"/>
      <c r="M89" s="16"/>
      <c r="N89" s="16"/>
      <c r="O89" s="12">
        <v>1042347000</v>
      </c>
      <c r="P89" s="13" t="s">
        <v>60</v>
      </c>
      <c r="Q89" s="16"/>
      <c r="R89" s="16"/>
      <c r="S89" s="16"/>
      <c r="U89" s="16"/>
      <c r="V89" s="61"/>
      <c r="Y89" s="61"/>
      <c r="Z89" s="16"/>
      <c r="AA89" s="18"/>
      <c r="AB89" s="16"/>
      <c r="AC89" s="18"/>
      <c r="AD89" s="18"/>
      <c r="AE89" s="16"/>
      <c r="AF89" s="16"/>
      <c r="AG89" s="16"/>
      <c r="AH89" s="16"/>
      <c r="AI89" s="16"/>
    </row>
    <row r="90" spans="1:35" ht="28.8" x14ac:dyDescent="0.3">
      <c r="A90" s="131">
        <v>89</v>
      </c>
      <c r="B90" s="79" t="str">
        <f t="shared" si="4"/>
        <v>N</v>
      </c>
      <c r="C90" s="13" t="s">
        <v>113</v>
      </c>
      <c r="D90" s="76" t="s">
        <v>755</v>
      </c>
      <c r="E90" s="82" t="s">
        <v>756</v>
      </c>
      <c r="F90" s="13" t="s">
        <v>729</v>
      </c>
      <c r="G90" s="82" t="s">
        <v>750</v>
      </c>
      <c r="H90" s="21">
        <v>200</v>
      </c>
      <c r="I90" s="21"/>
      <c r="J90" s="76" t="s">
        <v>50</v>
      </c>
      <c r="K90" s="13" t="s">
        <v>482</v>
      </c>
      <c r="L90" s="16"/>
      <c r="M90" s="16"/>
      <c r="N90" s="16"/>
      <c r="O90" s="12">
        <v>1042347001</v>
      </c>
      <c r="P90" s="13" t="s">
        <v>60</v>
      </c>
      <c r="Q90" s="16"/>
      <c r="R90" s="16"/>
      <c r="S90" s="16"/>
      <c r="U90" s="16"/>
      <c r="V90" s="61"/>
      <c r="Y90" s="61"/>
      <c r="Z90" s="16"/>
      <c r="AA90" s="18"/>
      <c r="AB90" s="16"/>
      <c r="AC90" s="18"/>
      <c r="AD90" s="18"/>
      <c r="AE90" s="16"/>
      <c r="AF90" s="16"/>
      <c r="AG90" s="16"/>
      <c r="AH90" s="16"/>
      <c r="AI90" s="16"/>
    </row>
    <row r="91" spans="1:35" ht="43.2" x14ac:dyDescent="0.3">
      <c r="A91" s="131">
        <v>90</v>
      </c>
      <c r="B91" s="79" t="str">
        <f t="shared" si="4"/>
        <v>N</v>
      </c>
      <c r="C91" s="13" t="s">
        <v>113</v>
      </c>
      <c r="D91" s="76" t="s">
        <v>757</v>
      </c>
      <c r="E91" s="82" t="s">
        <v>758</v>
      </c>
      <c r="F91" s="13" t="s">
        <v>759</v>
      </c>
      <c r="G91" s="82" t="s">
        <v>750</v>
      </c>
      <c r="H91" s="21">
        <v>200</v>
      </c>
      <c r="I91" s="21"/>
      <c r="J91" s="76" t="s">
        <v>50</v>
      </c>
      <c r="K91" s="13" t="s">
        <v>482</v>
      </c>
      <c r="L91" s="16"/>
      <c r="M91" s="16"/>
      <c r="N91" s="16"/>
      <c r="O91" s="12">
        <v>1042347002</v>
      </c>
      <c r="P91" s="13" t="s">
        <v>60</v>
      </c>
      <c r="Q91" s="16"/>
      <c r="R91" s="16"/>
      <c r="S91" s="16"/>
      <c r="U91" s="16"/>
      <c r="V91" s="61"/>
      <c r="Y91" s="61"/>
      <c r="Z91" s="16"/>
      <c r="AA91" s="18"/>
      <c r="AB91" s="16"/>
      <c r="AC91" s="18"/>
      <c r="AD91" s="18"/>
      <c r="AE91" s="16"/>
      <c r="AF91" s="16"/>
      <c r="AG91" s="16"/>
      <c r="AH91" s="16"/>
      <c r="AI91" s="16"/>
    </row>
    <row r="92" spans="1:35" ht="43.2" x14ac:dyDescent="0.3">
      <c r="A92" s="131">
        <v>91</v>
      </c>
      <c r="B92" s="79" t="str">
        <f t="shared" si="4"/>
        <v>N</v>
      </c>
      <c r="C92" s="13" t="s">
        <v>113</v>
      </c>
      <c r="D92" s="76" t="s">
        <v>760</v>
      </c>
      <c r="E92" s="82" t="s">
        <v>761</v>
      </c>
      <c r="F92" s="13" t="s">
        <v>759</v>
      </c>
      <c r="G92" s="82" t="s">
        <v>750</v>
      </c>
      <c r="H92" s="21">
        <v>200</v>
      </c>
      <c r="I92" s="21"/>
      <c r="J92" s="76" t="s">
        <v>50</v>
      </c>
      <c r="K92" s="13" t="s">
        <v>482</v>
      </c>
      <c r="L92" s="16"/>
      <c r="M92" s="16"/>
      <c r="N92" s="16"/>
      <c r="O92" s="12">
        <v>1042347002</v>
      </c>
      <c r="P92" s="13" t="s">
        <v>60</v>
      </c>
      <c r="Q92" s="16"/>
      <c r="R92" s="16"/>
      <c r="S92" s="16"/>
      <c r="U92" s="16"/>
      <c r="V92" s="61"/>
      <c r="Y92" s="61"/>
      <c r="Z92" s="16"/>
      <c r="AA92" s="18"/>
      <c r="AB92" s="16"/>
      <c r="AC92" s="18"/>
      <c r="AD92" s="18"/>
      <c r="AE92" s="16"/>
      <c r="AF92" s="16"/>
      <c r="AG92" s="16"/>
      <c r="AH92" s="16"/>
      <c r="AI92" s="16"/>
    </row>
    <row r="93" spans="1:35" ht="43.2" x14ac:dyDescent="0.3">
      <c r="A93" s="131">
        <v>92</v>
      </c>
      <c r="B93" s="79" t="str">
        <f t="shared" si="4"/>
        <v>N</v>
      </c>
      <c r="C93" s="13" t="s">
        <v>113</v>
      </c>
      <c r="D93" s="76" t="s">
        <v>762</v>
      </c>
      <c r="E93" s="82" t="s">
        <v>763</v>
      </c>
      <c r="F93" s="13" t="s">
        <v>759</v>
      </c>
      <c r="G93" s="82" t="s">
        <v>750</v>
      </c>
      <c r="H93" s="21">
        <v>200</v>
      </c>
      <c r="I93" s="21"/>
      <c r="J93" s="76" t="s">
        <v>50</v>
      </c>
      <c r="K93" s="13" t="s">
        <v>482</v>
      </c>
      <c r="L93" s="16"/>
      <c r="M93" s="16"/>
      <c r="N93" s="16"/>
      <c r="O93" s="12">
        <v>1042347002</v>
      </c>
      <c r="P93" s="13" t="s">
        <v>60</v>
      </c>
      <c r="Q93" s="16"/>
      <c r="R93" s="16"/>
      <c r="S93" s="16"/>
      <c r="U93" s="16"/>
      <c r="V93" s="61"/>
      <c r="Y93" s="61"/>
      <c r="Z93" s="16"/>
      <c r="AA93" s="18"/>
      <c r="AB93" s="16"/>
      <c r="AC93" s="18"/>
      <c r="AD93" s="18"/>
      <c r="AE93" s="16"/>
      <c r="AF93" s="16"/>
      <c r="AG93" s="16"/>
      <c r="AH93" s="16"/>
      <c r="AI93" s="16"/>
    </row>
    <row r="94" spans="1:35" ht="43.2" x14ac:dyDescent="0.3">
      <c r="A94" s="131">
        <v>93</v>
      </c>
      <c r="B94" s="79" t="str">
        <f t="shared" si="4"/>
        <v>N</v>
      </c>
      <c r="C94" s="13" t="s">
        <v>113</v>
      </c>
      <c r="D94" s="76" t="s">
        <v>764</v>
      </c>
      <c r="E94" s="82" t="s">
        <v>765</v>
      </c>
      <c r="F94" s="13" t="s">
        <v>759</v>
      </c>
      <c r="G94" s="82" t="s">
        <v>750</v>
      </c>
      <c r="H94" s="21">
        <v>200</v>
      </c>
      <c r="I94" s="21"/>
      <c r="J94" s="76" t="s">
        <v>50</v>
      </c>
      <c r="K94" s="13" t="s">
        <v>482</v>
      </c>
      <c r="L94" s="16"/>
      <c r="M94" s="16"/>
      <c r="N94" s="16"/>
      <c r="O94" s="12">
        <v>1042347002</v>
      </c>
      <c r="P94" s="13" t="s">
        <v>60</v>
      </c>
      <c r="Q94" s="16"/>
      <c r="R94" s="16"/>
      <c r="S94" s="16"/>
      <c r="U94" s="16"/>
      <c r="V94" s="61"/>
      <c r="Y94" s="61"/>
      <c r="Z94" s="16"/>
      <c r="AA94" s="18"/>
      <c r="AB94" s="16"/>
      <c r="AC94" s="18"/>
      <c r="AD94" s="18"/>
      <c r="AE94" s="16"/>
      <c r="AF94" s="16"/>
      <c r="AG94" s="16"/>
      <c r="AH94" s="16"/>
      <c r="AI94" s="16"/>
    </row>
    <row r="95" spans="1:35" ht="43.2" x14ac:dyDescent="0.3">
      <c r="A95" s="131">
        <v>94</v>
      </c>
      <c r="B95" s="79" t="str">
        <f t="shared" si="4"/>
        <v>N</v>
      </c>
      <c r="C95" s="13" t="s">
        <v>113</v>
      </c>
      <c r="D95" s="76" t="s">
        <v>600</v>
      </c>
      <c r="E95" s="82" t="s">
        <v>766</v>
      </c>
      <c r="F95" s="13" t="s">
        <v>759</v>
      </c>
      <c r="G95" s="82" t="s">
        <v>767</v>
      </c>
      <c r="H95" s="15">
        <v>200</v>
      </c>
      <c r="I95" s="15"/>
      <c r="J95" s="76" t="s">
        <v>50</v>
      </c>
      <c r="K95" s="13" t="s">
        <v>482</v>
      </c>
      <c r="L95" s="16"/>
      <c r="M95" s="16"/>
      <c r="N95" s="16"/>
      <c r="O95" s="12"/>
      <c r="P95" s="13"/>
      <c r="Q95" s="16"/>
      <c r="R95" s="16"/>
      <c r="S95" s="16"/>
      <c r="U95" s="16"/>
      <c r="V95" s="61"/>
      <c r="Y95" s="61"/>
      <c r="Z95" s="16"/>
      <c r="AA95" s="18"/>
      <c r="AB95" s="16"/>
      <c r="AC95" s="18"/>
      <c r="AD95" s="18"/>
      <c r="AE95" s="16"/>
      <c r="AF95" s="16"/>
      <c r="AG95" s="16"/>
      <c r="AH95" s="16"/>
      <c r="AI95" s="16"/>
    </row>
    <row r="96" spans="1:35" ht="43.2" x14ac:dyDescent="0.3">
      <c r="A96" s="131">
        <v>95</v>
      </c>
      <c r="B96" s="79" t="str">
        <f t="shared" si="4"/>
        <v>N</v>
      </c>
      <c r="C96" s="13" t="s">
        <v>113</v>
      </c>
      <c r="D96" s="76" t="s">
        <v>768</v>
      </c>
      <c r="E96" s="82" t="s">
        <v>769</v>
      </c>
      <c r="F96" s="13" t="s">
        <v>759</v>
      </c>
      <c r="G96" s="82" t="s">
        <v>750</v>
      </c>
      <c r="H96" s="21">
        <v>200</v>
      </c>
      <c r="I96" s="21"/>
      <c r="J96" s="76" t="s">
        <v>50</v>
      </c>
      <c r="K96" s="13" t="s">
        <v>482</v>
      </c>
      <c r="L96" s="16"/>
      <c r="M96" s="16"/>
      <c r="N96" s="16"/>
      <c r="O96" s="12">
        <v>1042347003</v>
      </c>
      <c r="P96" s="13" t="s">
        <v>60</v>
      </c>
      <c r="Q96" s="16"/>
      <c r="R96" s="16"/>
      <c r="S96" s="16"/>
      <c r="U96" s="16"/>
      <c r="V96" s="61"/>
      <c r="Y96" s="61"/>
      <c r="Z96" s="16"/>
      <c r="AA96" s="18"/>
      <c r="AB96" s="16"/>
      <c r="AC96" s="18"/>
      <c r="AD96" s="18"/>
      <c r="AE96" s="16"/>
      <c r="AF96" s="16"/>
      <c r="AG96" s="16"/>
      <c r="AH96" s="16"/>
      <c r="AI96" s="16"/>
    </row>
    <row r="97" spans="1:35" ht="43.2" x14ac:dyDescent="0.3">
      <c r="A97" s="131">
        <v>96</v>
      </c>
      <c r="B97" s="79" t="str">
        <f t="shared" si="4"/>
        <v>N</v>
      </c>
      <c r="C97" s="13" t="s">
        <v>113</v>
      </c>
      <c r="D97" s="76" t="s">
        <v>770</v>
      </c>
      <c r="E97" s="82" t="s">
        <v>771</v>
      </c>
      <c r="F97" s="13" t="s">
        <v>759</v>
      </c>
      <c r="G97" s="82" t="s">
        <v>750</v>
      </c>
      <c r="H97" s="21">
        <v>200</v>
      </c>
      <c r="I97" s="21"/>
      <c r="J97" s="76" t="s">
        <v>50</v>
      </c>
      <c r="K97" s="13" t="s">
        <v>482</v>
      </c>
      <c r="L97" s="16"/>
      <c r="M97" s="16"/>
      <c r="N97" s="16"/>
      <c r="O97" s="12">
        <v>1042347003</v>
      </c>
      <c r="P97" s="13" t="s">
        <v>60</v>
      </c>
      <c r="Q97" s="16"/>
      <c r="R97" s="16"/>
      <c r="S97" s="16"/>
      <c r="U97" s="16"/>
      <c r="V97" s="61"/>
      <c r="Y97" s="61"/>
      <c r="Z97" s="16"/>
      <c r="AA97" s="18"/>
      <c r="AB97" s="16"/>
      <c r="AC97" s="18"/>
      <c r="AD97" s="18"/>
      <c r="AE97" s="16"/>
      <c r="AF97" s="16"/>
      <c r="AG97" s="16"/>
      <c r="AH97" s="16"/>
      <c r="AI97" s="16"/>
    </row>
    <row r="98" spans="1:35" ht="43.2" x14ac:dyDescent="0.3">
      <c r="A98" s="131">
        <v>97</v>
      </c>
      <c r="B98" s="79" t="str">
        <f t="shared" si="4"/>
        <v>N</v>
      </c>
      <c r="C98" s="13" t="s">
        <v>113</v>
      </c>
      <c r="D98" s="76" t="s">
        <v>772</v>
      </c>
      <c r="E98" s="82" t="s">
        <v>773</v>
      </c>
      <c r="F98" s="13" t="s">
        <v>759</v>
      </c>
      <c r="G98" s="82" t="s">
        <v>750</v>
      </c>
      <c r="H98" s="21">
        <v>200</v>
      </c>
      <c r="I98" s="21"/>
      <c r="J98" s="76" t="s">
        <v>50</v>
      </c>
      <c r="K98" s="13" t="s">
        <v>482</v>
      </c>
      <c r="L98" s="16"/>
      <c r="M98" s="16"/>
      <c r="N98" s="16"/>
      <c r="O98" s="12">
        <v>1042347003</v>
      </c>
      <c r="P98" s="13" t="s">
        <v>60</v>
      </c>
      <c r="Q98" s="16"/>
      <c r="R98" s="16"/>
      <c r="S98" s="16"/>
      <c r="U98" s="16"/>
      <c r="V98" s="61"/>
      <c r="Y98" s="61"/>
      <c r="Z98" s="16"/>
      <c r="AA98" s="18"/>
      <c r="AB98" s="16"/>
      <c r="AC98" s="18"/>
      <c r="AD98" s="18"/>
      <c r="AE98" s="16"/>
      <c r="AF98" s="16"/>
      <c r="AG98" s="16"/>
      <c r="AH98" s="16"/>
      <c r="AI98" s="16"/>
    </row>
    <row r="99" spans="1:35" ht="43.2" x14ac:dyDescent="0.3">
      <c r="A99" s="131">
        <v>98</v>
      </c>
      <c r="B99" s="79" t="str">
        <f t="shared" si="4"/>
        <v>N</v>
      </c>
      <c r="C99" s="13" t="s">
        <v>113</v>
      </c>
      <c r="D99" s="76" t="s">
        <v>774</v>
      </c>
      <c r="E99" s="82" t="s">
        <v>775</v>
      </c>
      <c r="F99" s="13" t="s">
        <v>759</v>
      </c>
      <c r="G99" s="82" t="s">
        <v>750</v>
      </c>
      <c r="H99" s="21">
        <v>200</v>
      </c>
      <c r="I99" s="21"/>
      <c r="J99" s="76" t="s">
        <v>50</v>
      </c>
      <c r="K99" s="13" t="s">
        <v>482</v>
      </c>
      <c r="L99" s="16"/>
      <c r="M99" s="16"/>
      <c r="N99" s="16"/>
      <c r="O99" s="12">
        <v>1042347003</v>
      </c>
      <c r="P99" s="13" t="s">
        <v>60</v>
      </c>
      <c r="Q99" s="16"/>
      <c r="R99" s="16"/>
      <c r="S99" s="16"/>
      <c r="U99" s="16"/>
      <c r="V99" s="61"/>
      <c r="Y99" s="61"/>
      <c r="Z99" s="16"/>
      <c r="AA99" s="18"/>
      <c r="AB99" s="16"/>
      <c r="AC99" s="18"/>
      <c r="AD99" s="18"/>
      <c r="AE99" s="16"/>
      <c r="AF99" s="16"/>
      <c r="AG99" s="16"/>
      <c r="AH99" s="16"/>
      <c r="AI99" s="16"/>
    </row>
    <row r="100" spans="1:35" ht="43.2" x14ac:dyDescent="0.3">
      <c r="A100" s="131">
        <v>99</v>
      </c>
      <c r="B100" s="79" t="str">
        <f t="shared" si="4"/>
        <v>N</v>
      </c>
      <c r="C100" s="13" t="s">
        <v>113</v>
      </c>
      <c r="D100" s="76" t="s">
        <v>776</v>
      </c>
      <c r="E100" s="82" t="s">
        <v>777</v>
      </c>
      <c r="F100" s="13" t="s">
        <v>778</v>
      </c>
      <c r="G100" s="82" t="s">
        <v>750</v>
      </c>
      <c r="H100" s="21">
        <v>200</v>
      </c>
      <c r="I100" s="21"/>
      <c r="J100" s="76" t="s">
        <v>50</v>
      </c>
      <c r="K100" s="13" t="s">
        <v>482</v>
      </c>
      <c r="L100" s="16"/>
      <c r="M100" s="16"/>
      <c r="N100" s="16"/>
      <c r="O100" s="12">
        <v>1042347003</v>
      </c>
      <c r="P100" s="13" t="s">
        <v>60</v>
      </c>
      <c r="Q100" s="16"/>
      <c r="R100" s="16"/>
      <c r="S100" s="16"/>
      <c r="U100" s="16"/>
      <c r="V100" s="61"/>
      <c r="Y100" s="61"/>
      <c r="Z100" s="16"/>
      <c r="AA100" s="18"/>
      <c r="AB100" s="16"/>
      <c r="AC100" s="18"/>
      <c r="AD100" s="18"/>
      <c r="AE100" s="16"/>
      <c r="AF100" s="16"/>
      <c r="AG100" s="16"/>
      <c r="AH100" s="16"/>
      <c r="AI100" s="16"/>
    </row>
    <row r="101" spans="1:35" ht="43.2" x14ac:dyDescent="0.3">
      <c r="A101" s="131">
        <v>100</v>
      </c>
      <c r="B101" s="79" t="str">
        <f t="shared" si="4"/>
        <v>N</v>
      </c>
      <c r="C101" s="13" t="s">
        <v>113</v>
      </c>
      <c r="D101" s="76" t="s">
        <v>779</v>
      </c>
      <c r="E101" s="82" t="s">
        <v>780</v>
      </c>
      <c r="F101" s="13" t="s">
        <v>778</v>
      </c>
      <c r="G101" s="82" t="s">
        <v>750</v>
      </c>
      <c r="H101" s="21">
        <v>200</v>
      </c>
      <c r="I101" s="21"/>
      <c r="J101" s="76" t="s">
        <v>50</v>
      </c>
      <c r="K101" s="13" t="s">
        <v>482</v>
      </c>
      <c r="L101" s="16"/>
      <c r="M101" s="16"/>
      <c r="N101" s="16"/>
      <c r="O101" s="12">
        <v>1042347003</v>
      </c>
      <c r="P101" s="13" t="s">
        <v>60</v>
      </c>
      <c r="Q101" s="16"/>
      <c r="R101" s="16"/>
      <c r="S101" s="16"/>
      <c r="U101" s="16"/>
      <c r="V101" s="61"/>
      <c r="Y101" s="61"/>
      <c r="Z101" s="16"/>
      <c r="AA101" s="18"/>
      <c r="AB101" s="16"/>
      <c r="AC101" s="18"/>
      <c r="AD101" s="18"/>
      <c r="AE101" s="16"/>
      <c r="AF101" s="16"/>
      <c r="AG101" s="16"/>
      <c r="AH101" s="16"/>
      <c r="AI101" s="16"/>
    </row>
    <row r="102" spans="1:35" ht="43.2" x14ac:dyDescent="0.3">
      <c r="A102" s="131">
        <v>101</v>
      </c>
      <c r="B102" s="79" t="str">
        <f t="shared" si="4"/>
        <v>N</v>
      </c>
      <c r="C102" s="13" t="s">
        <v>113</v>
      </c>
      <c r="D102" s="76" t="s">
        <v>781</v>
      </c>
      <c r="E102" s="82" t="s">
        <v>782</v>
      </c>
      <c r="F102" s="13" t="s">
        <v>778</v>
      </c>
      <c r="G102" s="82" t="s">
        <v>750</v>
      </c>
      <c r="H102" s="21">
        <v>200</v>
      </c>
      <c r="I102" s="21"/>
      <c r="J102" s="76" t="s">
        <v>50</v>
      </c>
      <c r="K102" s="13" t="s">
        <v>482</v>
      </c>
      <c r="L102" s="16"/>
      <c r="M102" s="16"/>
      <c r="N102" s="16"/>
      <c r="O102" s="12">
        <v>1042347003</v>
      </c>
      <c r="P102" s="13" t="s">
        <v>60</v>
      </c>
      <c r="Q102" s="16"/>
      <c r="R102" s="16"/>
      <c r="S102" s="16"/>
      <c r="U102" s="16"/>
      <c r="V102" s="61"/>
      <c r="Y102" s="61"/>
      <c r="Z102" s="16"/>
      <c r="AA102" s="18"/>
      <c r="AB102" s="16"/>
      <c r="AC102" s="18"/>
      <c r="AD102" s="18"/>
      <c r="AE102" s="16"/>
      <c r="AF102" s="16"/>
      <c r="AG102" s="16"/>
      <c r="AH102" s="16"/>
      <c r="AI102" s="16"/>
    </row>
    <row r="103" spans="1:35" ht="43.2" x14ac:dyDescent="0.3">
      <c r="A103" s="131">
        <v>102</v>
      </c>
      <c r="B103" s="79" t="str">
        <f t="shared" si="4"/>
        <v>N</v>
      </c>
      <c r="C103" s="13" t="s">
        <v>113</v>
      </c>
      <c r="D103" s="76" t="s">
        <v>783</v>
      </c>
      <c r="E103" s="82" t="s">
        <v>784</v>
      </c>
      <c r="F103" s="13" t="s">
        <v>778</v>
      </c>
      <c r="G103" s="82" t="s">
        <v>750</v>
      </c>
      <c r="H103" s="21">
        <v>200</v>
      </c>
      <c r="I103" s="21"/>
      <c r="J103" s="76" t="s">
        <v>50</v>
      </c>
      <c r="K103" s="13" t="s">
        <v>482</v>
      </c>
      <c r="L103" s="16"/>
      <c r="M103" s="16"/>
      <c r="N103" s="16"/>
      <c r="O103" s="12">
        <v>1042347003</v>
      </c>
      <c r="P103" s="13" t="s">
        <v>60</v>
      </c>
      <c r="Q103" s="16"/>
      <c r="R103" s="16"/>
      <c r="S103" s="16"/>
      <c r="U103" s="16"/>
      <c r="V103" s="61"/>
      <c r="Y103" s="61"/>
      <c r="Z103" s="16"/>
      <c r="AA103" s="18"/>
      <c r="AB103" s="16"/>
      <c r="AC103" s="18"/>
      <c r="AD103" s="18"/>
      <c r="AE103" s="16"/>
      <c r="AF103" s="16"/>
      <c r="AG103" s="16"/>
      <c r="AH103" s="16"/>
      <c r="AI103" s="16"/>
    </row>
    <row r="104" spans="1:35" ht="57.6" x14ac:dyDescent="0.3">
      <c r="A104" s="131">
        <v>103</v>
      </c>
      <c r="B104" s="79" t="str">
        <f t="shared" si="4"/>
        <v>N</v>
      </c>
      <c r="C104" s="13" t="s">
        <v>113</v>
      </c>
      <c r="D104" s="76" t="s">
        <v>785</v>
      </c>
      <c r="E104" s="82" t="s">
        <v>786</v>
      </c>
      <c r="F104" s="13" t="s">
        <v>787</v>
      </c>
      <c r="G104" s="82" t="s">
        <v>750</v>
      </c>
      <c r="H104" s="21">
        <v>200</v>
      </c>
      <c r="I104" s="21"/>
      <c r="J104" s="76" t="s">
        <v>50</v>
      </c>
      <c r="K104" s="13" t="s">
        <v>482</v>
      </c>
      <c r="L104" s="16"/>
      <c r="M104" s="16"/>
      <c r="N104" s="16"/>
      <c r="O104" s="12">
        <v>1042347003</v>
      </c>
      <c r="P104" s="13" t="s">
        <v>60</v>
      </c>
      <c r="Q104" s="16"/>
      <c r="R104" s="16"/>
      <c r="S104" s="16"/>
      <c r="U104" s="16"/>
      <c r="V104" s="61"/>
      <c r="Y104" s="61"/>
      <c r="Z104" s="16"/>
      <c r="AA104" s="18"/>
      <c r="AB104" s="16"/>
      <c r="AC104" s="18"/>
      <c r="AD104" s="18"/>
      <c r="AE104" s="16"/>
      <c r="AF104" s="16"/>
      <c r="AG104" s="16"/>
      <c r="AH104" s="16"/>
      <c r="AI104" s="16"/>
    </row>
    <row r="105" spans="1:35" ht="57.6" x14ac:dyDescent="0.3">
      <c r="A105" s="131">
        <v>104</v>
      </c>
      <c r="B105" s="79" t="str">
        <f t="shared" si="4"/>
        <v>N</v>
      </c>
      <c r="C105" s="13" t="s">
        <v>113</v>
      </c>
      <c r="D105" s="76" t="s">
        <v>788</v>
      </c>
      <c r="E105" s="82" t="s">
        <v>789</v>
      </c>
      <c r="F105" s="13" t="s">
        <v>787</v>
      </c>
      <c r="G105" s="82" t="s">
        <v>750</v>
      </c>
      <c r="H105" s="21">
        <v>200</v>
      </c>
      <c r="I105" s="21"/>
      <c r="J105" s="76" t="s">
        <v>50</v>
      </c>
      <c r="K105" s="13" t="s">
        <v>482</v>
      </c>
      <c r="L105" s="16"/>
      <c r="M105" s="16"/>
      <c r="N105" s="16"/>
      <c r="O105" s="12">
        <v>1042347003</v>
      </c>
      <c r="P105" s="13" t="s">
        <v>60</v>
      </c>
      <c r="Q105" s="16"/>
      <c r="R105" s="16"/>
      <c r="S105" s="16"/>
      <c r="U105" s="16"/>
      <c r="V105" s="61"/>
      <c r="Y105" s="61"/>
      <c r="Z105" s="16"/>
      <c r="AA105" s="18"/>
      <c r="AB105" s="16"/>
      <c r="AC105" s="18"/>
      <c r="AD105" s="18"/>
      <c r="AE105" s="16"/>
      <c r="AF105" s="16"/>
      <c r="AG105" s="16"/>
      <c r="AH105" s="16"/>
      <c r="AI105" s="16"/>
    </row>
    <row r="106" spans="1:35" ht="57.6" x14ac:dyDescent="0.3">
      <c r="A106" s="131">
        <v>105</v>
      </c>
      <c r="B106" s="79" t="str">
        <f t="shared" si="4"/>
        <v>N</v>
      </c>
      <c r="C106" s="13" t="s">
        <v>113</v>
      </c>
      <c r="D106" s="76" t="s">
        <v>790</v>
      </c>
      <c r="E106" s="82" t="s">
        <v>791</v>
      </c>
      <c r="F106" s="13" t="s">
        <v>787</v>
      </c>
      <c r="G106" s="82" t="s">
        <v>750</v>
      </c>
      <c r="H106" s="21">
        <v>200</v>
      </c>
      <c r="I106" s="21"/>
      <c r="J106" s="76" t="s">
        <v>50</v>
      </c>
      <c r="K106" s="13" t="s">
        <v>482</v>
      </c>
      <c r="L106" s="16"/>
      <c r="M106" s="16"/>
      <c r="N106" s="16"/>
      <c r="O106" s="12">
        <v>1042347003</v>
      </c>
      <c r="P106" s="13" t="s">
        <v>60</v>
      </c>
      <c r="Q106" s="16"/>
      <c r="R106" s="16"/>
      <c r="S106" s="16"/>
      <c r="U106" s="16"/>
      <c r="V106" s="61"/>
      <c r="Y106" s="61"/>
      <c r="Z106" s="16"/>
      <c r="AA106" s="18"/>
      <c r="AB106" s="16"/>
      <c r="AC106" s="18"/>
      <c r="AD106" s="18"/>
      <c r="AE106" s="16"/>
      <c r="AF106" s="16"/>
      <c r="AG106" s="16"/>
      <c r="AH106" s="16"/>
      <c r="AI106" s="16"/>
    </row>
    <row r="107" spans="1:35" ht="57.6" x14ac:dyDescent="0.3">
      <c r="A107" s="131">
        <v>106</v>
      </c>
      <c r="B107" s="79" t="str">
        <f t="shared" ref="B107:B115" si="5">C107</f>
        <v>N</v>
      </c>
      <c r="C107" s="13" t="s">
        <v>113</v>
      </c>
      <c r="D107" s="76" t="s">
        <v>792</v>
      </c>
      <c r="E107" s="82" t="s">
        <v>793</v>
      </c>
      <c r="F107" s="13" t="s">
        <v>787</v>
      </c>
      <c r="G107" s="82" t="s">
        <v>750</v>
      </c>
      <c r="H107" s="21">
        <v>200</v>
      </c>
      <c r="I107" s="21"/>
      <c r="J107" s="76" t="s">
        <v>50</v>
      </c>
      <c r="K107" s="13" t="s">
        <v>482</v>
      </c>
      <c r="L107" s="16"/>
      <c r="M107" s="16"/>
      <c r="N107" s="16"/>
      <c r="O107" s="12">
        <v>1042347003</v>
      </c>
      <c r="P107" s="13" t="s">
        <v>60</v>
      </c>
      <c r="Q107" s="16"/>
      <c r="R107" s="16"/>
      <c r="S107" s="16"/>
      <c r="U107" s="16"/>
      <c r="V107" s="61"/>
      <c r="Y107" s="61"/>
      <c r="Z107" s="16"/>
      <c r="AA107" s="18"/>
      <c r="AB107" s="16"/>
      <c r="AC107" s="18"/>
      <c r="AD107" s="18"/>
      <c r="AE107" s="16"/>
      <c r="AF107" s="16"/>
      <c r="AG107" s="16"/>
      <c r="AH107" s="16"/>
      <c r="AI107" s="16"/>
    </row>
    <row r="108" spans="1:35" ht="72" x14ac:dyDescent="0.3">
      <c r="A108" s="131">
        <v>107</v>
      </c>
      <c r="B108" s="79" t="str">
        <f t="shared" si="5"/>
        <v>N</v>
      </c>
      <c r="C108" s="13" t="s">
        <v>113</v>
      </c>
      <c r="D108" s="76" t="s">
        <v>794</v>
      </c>
      <c r="E108" s="82" t="s">
        <v>795</v>
      </c>
      <c r="F108" s="13" t="s">
        <v>796</v>
      </c>
      <c r="G108" s="82" t="s">
        <v>750</v>
      </c>
      <c r="H108" s="21">
        <v>409</v>
      </c>
      <c r="I108" s="21"/>
      <c r="J108" s="76" t="s">
        <v>50</v>
      </c>
      <c r="K108" s="13" t="s">
        <v>482</v>
      </c>
      <c r="L108" s="16"/>
      <c r="M108" s="16"/>
      <c r="N108" s="16"/>
      <c r="O108" s="12">
        <v>1042347003</v>
      </c>
      <c r="P108" s="13" t="s">
        <v>60</v>
      </c>
      <c r="Q108" s="16"/>
      <c r="R108" s="16"/>
      <c r="S108" s="16"/>
      <c r="U108" s="16"/>
      <c r="V108" s="61"/>
      <c r="Y108" s="61"/>
      <c r="Z108" s="16"/>
      <c r="AA108" s="18"/>
      <c r="AB108" s="16"/>
      <c r="AC108" s="18"/>
      <c r="AD108" s="18"/>
      <c r="AE108" s="16"/>
      <c r="AF108" s="16"/>
      <c r="AG108" s="16"/>
      <c r="AH108" s="16"/>
      <c r="AI108" s="16"/>
    </row>
    <row r="109" spans="1:35" ht="72" x14ac:dyDescent="0.3">
      <c r="A109" s="131">
        <v>108</v>
      </c>
      <c r="B109" s="79" t="str">
        <f t="shared" si="5"/>
        <v>N</v>
      </c>
      <c r="C109" s="13" t="s">
        <v>113</v>
      </c>
      <c r="D109" s="76" t="s">
        <v>797</v>
      </c>
      <c r="E109" s="82" t="s">
        <v>798</v>
      </c>
      <c r="F109" s="13" t="s">
        <v>796</v>
      </c>
      <c r="G109" s="82" t="s">
        <v>750</v>
      </c>
      <c r="H109" s="21">
        <v>409</v>
      </c>
      <c r="I109" s="21"/>
      <c r="J109" s="76" t="s">
        <v>50</v>
      </c>
      <c r="K109" s="13" t="s">
        <v>482</v>
      </c>
      <c r="L109" s="16"/>
      <c r="M109" s="16"/>
      <c r="N109" s="16"/>
      <c r="O109" s="12">
        <v>1042347003</v>
      </c>
      <c r="P109" s="13" t="s">
        <v>60</v>
      </c>
      <c r="Q109" s="16"/>
      <c r="R109" s="16"/>
      <c r="S109" s="16"/>
      <c r="U109" s="16"/>
      <c r="V109" s="61"/>
      <c r="Y109" s="61"/>
      <c r="Z109" s="16"/>
      <c r="AA109" s="18"/>
      <c r="AB109" s="16"/>
      <c r="AC109" s="18"/>
      <c r="AD109" s="18"/>
      <c r="AE109" s="16"/>
      <c r="AF109" s="16"/>
      <c r="AG109" s="16"/>
      <c r="AH109" s="16"/>
      <c r="AI109" s="16"/>
    </row>
    <row r="110" spans="1:35" ht="72" x14ac:dyDescent="0.3">
      <c r="A110" s="131">
        <v>109</v>
      </c>
      <c r="B110" s="79" t="str">
        <f t="shared" si="5"/>
        <v>N</v>
      </c>
      <c r="C110" s="13" t="s">
        <v>113</v>
      </c>
      <c r="D110" s="76" t="s">
        <v>799</v>
      </c>
      <c r="E110" s="82" t="s">
        <v>800</v>
      </c>
      <c r="F110" s="13" t="s">
        <v>796</v>
      </c>
      <c r="G110" s="82" t="s">
        <v>750</v>
      </c>
      <c r="H110" s="21">
        <v>409</v>
      </c>
      <c r="I110" s="21"/>
      <c r="J110" s="76" t="s">
        <v>50</v>
      </c>
      <c r="K110" s="13" t="s">
        <v>482</v>
      </c>
      <c r="L110" s="16"/>
      <c r="M110" s="16"/>
      <c r="N110" s="16"/>
      <c r="O110" s="12">
        <v>1042347003</v>
      </c>
      <c r="P110" s="13" t="s">
        <v>60</v>
      </c>
      <c r="Q110" s="16"/>
      <c r="R110" s="16"/>
      <c r="S110" s="16"/>
      <c r="U110" s="16"/>
      <c r="V110" s="61"/>
      <c r="Y110" s="61"/>
      <c r="Z110" s="16"/>
      <c r="AA110" s="18"/>
      <c r="AB110" s="16"/>
      <c r="AC110" s="18"/>
      <c r="AD110" s="18"/>
      <c r="AE110" s="16"/>
      <c r="AF110" s="16"/>
      <c r="AG110" s="16"/>
      <c r="AH110" s="16"/>
      <c r="AI110" s="16"/>
    </row>
    <row r="111" spans="1:35" ht="72" x14ac:dyDescent="0.3">
      <c r="A111" s="131">
        <v>110</v>
      </c>
      <c r="B111" s="79" t="str">
        <f t="shared" si="5"/>
        <v>N</v>
      </c>
      <c r="C111" s="13" t="s">
        <v>113</v>
      </c>
      <c r="D111" s="76" t="s">
        <v>801</v>
      </c>
      <c r="E111" s="82" t="s">
        <v>802</v>
      </c>
      <c r="F111" s="13" t="s">
        <v>796</v>
      </c>
      <c r="G111" s="82" t="s">
        <v>750</v>
      </c>
      <c r="H111" s="21">
        <v>409</v>
      </c>
      <c r="I111" s="21"/>
      <c r="J111" s="76" t="s">
        <v>50</v>
      </c>
      <c r="K111" s="13" t="s">
        <v>482</v>
      </c>
      <c r="L111" s="16"/>
      <c r="M111" s="16"/>
      <c r="N111" s="16"/>
      <c r="O111" s="12">
        <v>1042347003</v>
      </c>
      <c r="P111" s="13" t="s">
        <v>60</v>
      </c>
      <c r="Q111" s="16"/>
      <c r="R111" s="16"/>
      <c r="S111" s="16"/>
      <c r="U111" s="16"/>
      <c r="V111" s="61"/>
      <c r="Y111" s="61"/>
      <c r="Z111" s="16"/>
      <c r="AA111" s="18"/>
      <c r="AB111" s="16"/>
      <c r="AC111" s="18"/>
      <c r="AD111" s="18"/>
      <c r="AE111" s="16"/>
      <c r="AF111" s="16"/>
      <c r="AG111" s="16"/>
      <c r="AH111" s="16"/>
      <c r="AI111" s="16"/>
    </row>
    <row r="112" spans="1:35" ht="72" x14ac:dyDescent="0.3">
      <c r="A112" s="131">
        <v>111</v>
      </c>
      <c r="B112" s="79" t="str">
        <f t="shared" si="5"/>
        <v>N</v>
      </c>
      <c r="C112" s="13" t="s">
        <v>113</v>
      </c>
      <c r="D112" s="76" t="s">
        <v>803</v>
      </c>
      <c r="E112" s="82" t="s">
        <v>804</v>
      </c>
      <c r="F112" s="13" t="s">
        <v>805</v>
      </c>
      <c r="G112" s="82" t="s">
        <v>750</v>
      </c>
      <c r="H112" s="21"/>
      <c r="I112" s="21"/>
      <c r="J112" s="76" t="s">
        <v>50</v>
      </c>
      <c r="K112" s="13" t="s">
        <v>482</v>
      </c>
      <c r="L112" s="16"/>
      <c r="M112" s="16"/>
      <c r="N112" s="16"/>
      <c r="O112" s="12">
        <v>1042347003</v>
      </c>
      <c r="P112" s="13" t="s">
        <v>60</v>
      </c>
      <c r="Q112" s="16"/>
      <c r="R112" s="16"/>
      <c r="S112" s="16"/>
      <c r="U112" s="16"/>
      <c r="V112" s="61"/>
      <c r="Y112" s="61"/>
      <c r="Z112" s="16"/>
      <c r="AA112" s="18"/>
      <c r="AB112" s="16"/>
      <c r="AC112" s="18"/>
      <c r="AD112" s="18"/>
      <c r="AE112" s="16"/>
      <c r="AF112" s="16"/>
      <c r="AG112" s="16"/>
      <c r="AH112" s="16"/>
      <c r="AI112" s="16"/>
    </row>
    <row r="113" spans="1:35" ht="72" x14ac:dyDescent="0.3">
      <c r="A113" s="131">
        <v>112</v>
      </c>
      <c r="B113" s="79" t="str">
        <f t="shared" si="5"/>
        <v>N</v>
      </c>
      <c r="C113" s="13" t="s">
        <v>113</v>
      </c>
      <c r="D113" s="76" t="s">
        <v>806</v>
      </c>
      <c r="E113" s="82" t="s">
        <v>807</v>
      </c>
      <c r="F113" s="13" t="s">
        <v>805</v>
      </c>
      <c r="G113" s="82" t="s">
        <v>750</v>
      </c>
      <c r="H113" s="21"/>
      <c r="I113" s="21"/>
      <c r="J113" s="76" t="s">
        <v>50</v>
      </c>
      <c r="K113" s="13" t="s">
        <v>482</v>
      </c>
      <c r="L113" s="16"/>
      <c r="M113" s="16"/>
      <c r="N113" s="16"/>
      <c r="O113" s="12">
        <v>1042347003</v>
      </c>
      <c r="P113" s="13" t="s">
        <v>60</v>
      </c>
      <c r="Q113" s="16"/>
      <c r="R113" s="16"/>
      <c r="S113" s="16"/>
      <c r="U113" s="16"/>
      <c r="V113" s="61"/>
      <c r="Y113" s="61"/>
      <c r="Z113" s="16"/>
      <c r="AA113" s="18"/>
      <c r="AB113" s="16"/>
      <c r="AC113" s="18"/>
      <c r="AD113" s="18"/>
      <c r="AE113" s="16"/>
      <c r="AF113" s="16"/>
      <c r="AG113" s="16"/>
      <c r="AH113" s="16"/>
      <c r="AI113" s="16"/>
    </row>
    <row r="114" spans="1:35" ht="72" x14ac:dyDescent="0.3">
      <c r="A114" s="131">
        <v>113</v>
      </c>
      <c r="B114" s="79" t="str">
        <f t="shared" si="5"/>
        <v>N</v>
      </c>
      <c r="C114" s="13" t="s">
        <v>113</v>
      </c>
      <c r="D114" s="76" t="s">
        <v>808</v>
      </c>
      <c r="E114" s="82" t="s">
        <v>809</v>
      </c>
      <c r="F114" s="13" t="s">
        <v>805</v>
      </c>
      <c r="G114" s="82" t="s">
        <v>750</v>
      </c>
      <c r="H114" s="15"/>
      <c r="I114" s="15"/>
      <c r="J114" s="76" t="s">
        <v>50</v>
      </c>
      <c r="K114" s="13" t="s">
        <v>482</v>
      </c>
      <c r="L114" s="16"/>
      <c r="M114" s="16"/>
      <c r="N114" s="16"/>
      <c r="O114" s="12">
        <v>1042347003</v>
      </c>
      <c r="P114" s="13" t="s">
        <v>60</v>
      </c>
      <c r="Q114" s="16"/>
      <c r="R114" s="16"/>
      <c r="S114" s="16"/>
      <c r="U114" s="16"/>
      <c r="V114" s="61"/>
      <c r="Y114" s="61"/>
      <c r="Z114" s="16"/>
      <c r="AA114" s="18"/>
      <c r="AB114" s="16"/>
      <c r="AC114" s="18"/>
      <c r="AD114" s="18"/>
      <c r="AE114" s="16"/>
      <c r="AF114" s="16"/>
      <c r="AG114" s="16"/>
      <c r="AH114" s="16"/>
      <c r="AI114" s="16"/>
    </row>
    <row r="115" spans="1:35" ht="72" x14ac:dyDescent="0.3">
      <c r="A115" s="131">
        <v>114</v>
      </c>
      <c r="B115" s="79" t="str">
        <f t="shared" si="5"/>
        <v>N</v>
      </c>
      <c r="C115" s="13" t="s">
        <v>113</v>
      </c>
      <c r="D115" s="76" t="s">
        <v>810</v>
      </c>
      <c r="E115" s="82" t="s">
        <v>811</v>
      </c>
      <c r="F115" s="13" t="s">
        <v>805</v>
      </c>
      <c r="G115" s="82" t="s">
        <v>750</v>
      </c>
      <c r="H115" s="15"/>
      <c r="I115" s="15"/>
      <c r="J115" s="76" t="s">
        <v>50</v>
      </c>
      <c r="K115" s="13" t="s">
        <v>482</v>
      </c>
      <c r="L115" s="16"/>
      <c r="M115" s="16"/>
      <c r="N115" s="16"/>
      <c r="O115" s="12">
        <v>1042347003</v>
      </c>
      <c r="P115" s="13" t="s">
        <v>60</v>
      </c>
      <c r="Q115" s="16"/>
      <c r="R115" s="16"/>
      <c r="S115" s="16"/>
      <c r="U115" s="16"/>
      <c r="V115" s="61"/>
      <c r="Y115" s="61"/>
      <c r="Z115" s="16"/>
      <c r="AA115" s="18"/>
      <c r="AB115" s="16"/>
      <c r="AC115" s="18"/>
      <c r="AD115" s="18"/>
      <c r="AE115" s="16"/>
      <c r="AF115" s="16"/>
      <c r="AG115" s="16"/>
      <c r="AH115" s="16"/>
      <c r="AI115" s="16"/>
    </row>
  </sheetData>
  <autoFilter ref="A1:AO115" xr:uid="{00000000-0001-0000-0500-000000000000}">
    <sortState xmlns:xlrd2="http://schemas.microsoft.com/office/spreadsheetml/2017/richdata2" ref="A4:AO115">
      <sortCondition ref="E1:E115"/>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outlinePr summaryBelow="0"/>
  </sheetPr>
  <dimension ref="A1:V115"/>
  <sheetViews>
    <sheetView zoomScale="70" zoomScaleNormal="70" workbookViewId="0">
      <pane ySplit="1" topLeftCell="A2" activePane="bottomLeft" state="frozen"/>
      <selection activeCell="Q5" sqref="Q5"/>
      <selection pane="bottomLeft" activeCell="E2" sqref="E2"/>
    </sheetView>
  </sheetViews>
  <sheetFormatPr defaultRowHeight="14.4" x14ac:dyDescent="0.3"/>
  <cols>
    <col min="1" max="1" width="8" style="24" bestFit="1" customWidth="1"/>
    <col min="2" max="3" width="9.109375" style="26" bestFit="1" customWidth="1"/>
    <col min="4" max="4" width="28.6640625" style="77" bestFit="1" customWidth="1"/>
    <col min="5" max="5" width="58.109375" style="84" bestFit="1" customWidth="1"/>
    <col min="6" max="6" width="35.109375" style="26" bestFit="1" customWidth="1"/>
    <col min="7" max="7" width="66" style="80" bestFit="1" customWidth="1"/>
    <col min="8" max="8" width="15.33203125" style="24" bestFit="1" customWidth="1"/>
    <col min="9" max="9" width="19.88671875" style="27" customWidth="1"/>
    <col min="10" max="10" width="24" style="80" bestFit="1" customWidth="1"/>
    <col min="11" max="11" width="11.44140625" style="26" bestFit="1" customWidth="1"/>
    <col min="12" max="12" width="12.44140625" style="26" bestFit="1" customWidth="1"/>
    <col min="13" max="13" width="16" style="26" bestFit="1" customWidth="1"/>
    <col min="14" max="14" width="14" style="26" bestFit="1" customWidth="1"/>
    <col min="15" max="16" width="11.44140625" style="26" bestFit="1" customWidth="1"/>
    <col min="17" max="17" width="15.44140625" style="58" bestFit="1" customWidth="1"/>
    <col min="18" max="18" width="18" style="26" bestFit="1" customWidth="1"/>
    <col min="19" max="22" width="13.5546875" bestFit="1" customWidth="1"/>
  </cols>
  <sheetData>
    <row r="1" spans="1:22" ht="28.8" x14ac:dyDescent="0.3">
      <c r="A1" s="36" t="s">
        <v>24</v>
      </c>
      <c r="B1" s="37" t="s">
        <v>25</v>
      </c>
      <c r="C1" s="37" t="s">
        <v>812</v>
      </c>
      <c r="D1" s="112" t="s">
        <v>27</v>
      </c>
      <c r="E1" s="98" t="s">
        <v>28</v>
      </c>
      <c r="F1" s="37" t="s">
        <v>29</v>
      </c>
      <c r="G1" s="98" t="s">
        <v>30</v>
      </c>
      <c r="H1" s="38" t="s">
        <v>31</v>
      </c>
      <c r="I1" s="3" t="s">
        <v>1947</v>
      </c>
      <c r="J1" s="104" t="s">
        <v>32</v>
      </c>
      <c r="K1" s="39" t="s">
        <v>33</v>
      </c>
      <c r="L1" s="39" t="s">
        <v>34</v>
      </c>
      <c r="M1" s="39" t="s">
        <v>35</v>
      </c>
      <c r="N1" s="39" t="s">
        <v>36</v>
      </c>
      <c r="O1" s="39" t="s">
        <v>37</v>
      </c>
      <c r="P1" s="5" t="s">
        <v>38</v>
      </c>
      <c r="Q1" s="40" t="s">
        <v>39</v>
      </c>
      <c r="R1" s="41" t="s">
        <v>40</v>
      </c>
      <c r="S1" s="11" t="s">
        <v>41</v>
      </c>
      <c r="T1" s="11" t="s">
        <v>42</v>
      </c>
      <c r="U1" s="11" t="s">
        <v>43</v>
      </c>
      <c r="V1" s="11" t="s">
        <v>44</v>
      </c>
    </row>
    <row r="2" spans="1:22" ht="57.6" x14ac:dyDescent="0.3">
      <c r="A2" s="153">
        <v>1</v>
      </c>
      <c r="B2" s="119" t="s">
        <v>45</v>
      </c>
      <c r="C2" s="119" t="s">
        <v>45</v>
      </c>
      <c r="D2" s="114" t="s">
        <v>813</v>
      </c>
      <c r="E2" s="119" t="s">
        <v>814</v>
      </c>
      <c r="F2" s="119" t="s">
        <v>48</v>
      </c>
      <c r="G2" s="119" t="s">
        <v>815</v>
      </c>
      <c r="H2" s="153">
        <v>200</v>
      </c>
      <c r="I2" s="131"/>
      <c r="J2" s="107" t="s">
        <v>50</v>
      </c>
      <c r="K2" s="107" t="s">
        <v>51</v>
      </c>
      <c r="L2" s="107" t="s">
        <v>21</v>
      </c>
      <c r="M2" s="107" t="s">
        <v>22</v>
      </c>
      <c r="N2" s="107" t="s">
        <v>816</v>
      </c>
      <c r="O2" s="107" t="s">
        <v>23</v>
      </c>
      <c r="P2" s="107" t="s">
        <v>51</v>
      </c>
      <c r="Q2" s="138">
        <v>200061817815</v>
      </c>
      <c r="R2" s="107" t="s">
        <v>55</v>
      </c>
    </row>
    <row r="3" spans="1:22" ht="82.8" x14ac:dyDescent="0.3">
      <c r="A3" s="153">
        <v>2</v>
      </c>
      <c r="B3" s="119" t="s">
        <v>45</v>
      </c>
      <c r="C3" s="119" t="s">
        <v>45</v>
      </c>
      <c r="D3" s="114" t="s">
        <v>817</v>
      </c>
      <c r="E3" s="119" t="s">
        <v>818</v>
      </c>
      <c r="F3" s="99" t="s">
        <v>134</v>
      </c>
      <c r="G3" s="120" t="s">
        <v>819</v>
      </c>
      <c r="H3" s="153">
        <v>401</v>
      </c>
      <c r="I3" s="131" t="s">
        <v>1948</v>
      </c>
      <c r="J3" s="107" t="s">
        <v>50</v>
      </c>
      <c r="K3" s="107" t="s">
        <v>51</v>
      </c>
      <c r="L3" s="107" t="s">
        <v>21</v>
      </c>
      <c r="M3" s="141" t="s">
        <v>820</v>
      </c>
      <c r="N3" s="107" t="s">
        <v>816</v>
      </c>
      <c r="O3" s="107" t="s">
        <v>23</v>
      </c>
      <c r="P3" s="107" t="s">
        <v>51</v>
      </c>
      <c r="Q3" s="138">
        <v>200061817815</v>
      </c>
      <c r="R3" s="107" t="s">
        <v>55</v>
      </c>
    </row>
    <row r="4" spans="1:22" ht="82.8" x14ac:dyDescent="0.3">
      <c r="A4" s="153">
        <v>3</v>
      </c>
      <c r="B4" s="119" t="s">
        <v>45</v>
      </c>
      <c r="C4" s="119" t="s">
        <v>45</v>
      </c>
      <c r="D4" s="114" t="s">
        <v>821</v>
      </c>
      <c r="E4" s="119" t="s">
        <v>822</v>
      </c>
      <c r="F4" s="99" t="s">
        <v>134</v>
      </c>
      <c r="G4" s="120" t="s">
        <v>819</v>
      </c>
      <c r="H4" s="153">
        <v>401</v>
      </c>
      <c r="I4" s="131" t="s">
        <v>1948</v>
      </c>
      <c r="J4" s="107" t="s">
        <v>50</v>
      </c>
      <c r="K4" s="107" t="s">
        <v>51</v>
      </c>
      <c r="L4" s="141" t="s">
        <v>823</v>
      </c>
      <c r="M4" s="107" t="s">
        <v>22</v>
      </c>
      <c r="N4" s="107" t="s">
        <v>816</v>
      </c>
      <c r="O4" s="107" t="s">
        <v>23</v>
      </c>
      <c r="P4" s="107" t="s">
        <v>51</v>
      </c>
      <c r="Q4" s="138">
        <v>200061817815</v>
      </c>
      <c r="R4" s="107" t="s">
        <v>55</v>
      </c>
    </row>
    <row r="5" spans="1:22" ht="82.8" x14ac:dyDescent="0.3">
      <c r="A5" s="153">
        <v>4</v>
      </c>
      <c r="B5" s="119" t="s">
        <v>45</v>
      </c>
      <c r="C5" s="119" t="s">
        <v>45</v>
      </c>
      <c r="D5" s="114" t="s">
        <v>824</v>
      </c>
      <c r="E5" s="119" t="s">
        <v>825</v>
      </c>
      <c r="F5" s="99" t="s">
        <v>140</v>
      </c>
      <c r="G5" s="120" t="s">
        <v>826</v>
      </c>
      <c r="H5" s="153">
        <v>401</v>
      </c>
      <c r="I5" s="131" t="s">
        <v>1957</v>
      </c>
      <c r="J5" s="107" t="s">
        <v>50</v>
      </c>
      <c r="K5" s="107" t="s">
        <v>51</v>
      </c>
      <c r="L5" s="107" t="s">
        <v>21</v>
      </c>
      <c r="M5" s="107" t="s">
        <v>22</v>
      </c>
      <c r="N5" s="141" t="s">
        <v>827</v>
      </c>
      <c r="O5" s="107" t="s">
        <v>23</v>
      </c>
      <c r="P5" s="107" t="s">
        <v>51</v>
      </c>
      <c r="Q5" s="138">
        <v>200061817815</v>
      </c>
      <c r="R5" s="107" t="s">
        <v>55</v>
      </c>
    </row>
    <row r="6" spans="1:22" ht="72" x14ac:dyDescent="0.3">
      <c r="A6" s="153">
        <v>5</v>
      </c>
      <c r="B6" s="119" t="s">
        <v>45</v>
      </c>
      <c r="C6" s="119" t="s">
        <v>45</v>
      </c>
      <c r="D6" s="114" t="s">
        <v>828</v>
      </c>
      <c r="E6" s="119" t="s">
        <v>829</v>
      </c>
      <c r="F6" s="119" t="s">
        <v>58</v>
      </c>
      <c r="G6" s="119" t="s">
        <v>830</v>
      </c>
      <c r="H6" s="153">
        <v>400</v>
      </c>
      <c r="I6" s="131" t="s">
        <v>1949</v>
      </c>
      <c r="J6" s="107" t="s">
        <v>50</v>
      </c>
      <c r="K6" s="107" t="s">
        <v>51</v>
      </c>
      <c r="L6" s="107" t="s">
        <v>21</v>
      </c>
      <c r="M6" s="107" t="s">
        <v>22</v>
      </c>
      <c r="N6" s="107" t="s">
        <v>816</v>
      </c>
      <c r="O6" s="107" t="s">
        <v>23</v>
      </c>
      <c r="P6" s="107" t="s">
        <v>51</v>
      </c>
      <c r="Q6" s="142" t="s">
        <v>1977</v>
      </c>
      <c r="R6" s="107" t="s">
        <v>55</v>
      </c>
    </row>
    <row r="7" spans="1:22" ht="57.6" x14ac:dyDescent="0.3">
      <c r="A7" s="153">
        <v>6</v>
      </c>
      <c r="B7" s="119" t="s">
        <v>45</v>
      </c>
      <c r="C7" s="119" t="s">
        <v>45</v>
      </c>
      <c r="D7" s="114" t="s">
        <v>831</v>
      </c>
      <c r="E7" s="119" t="s">
        <v>832</v>
      </c>
      <c r="F7" s="119" t="s">
        <v>58</v>
      </c>
      <c r="G7" s="119" t="s">
        <v>830</v>
      </c>
      <c r="H7" s="153">
        <v>400</v>
      </c>
      <c r="I7" s="131" t="s">
        <v>1980</v>
      </c>
      <c r="J7" s="107" t="s">
        <v>50</v>
      </c>
      <c r="K7" s="107" t="s">
        <v>51</v>
      </c>
      <c r="L7" s="107" t="s">
        <v>21</v>
      </c>
      <c r="M7" s="107" t="s">
        <v>22</v>
      </c>
      <c r="N7" s="107" t="s">
        <v>816</v>
      </c>
      <c r="O7" s="107" t="s">
        <v>23</v>
      </c>
      <c r="P7" s="107" t="s">
        <v>51</v>
      </c>
      <c r="Q7" s="138">
        <v>200061817815</v>
      </c>
      <c r="R7" s="142" t="s">
        <v>1977</v>
      </c>
    </row>
    <row r="8" spans="1:22" ht="57.6" x14ac:dyDescent="0.3">
      <c r="A8" s="153">
        <v>7</v>
      </c>
      <c r="B8" s="119" t="s">
        <v>45</v>
      </c>
      <c r="C8" s="119" t="s">
        <v>45</v>
      </c>
      <c r="D8" s="114" t="s">
        <v>833</v>
      </c>
      <c r="E8" s="119" t="s">
        <v>834</v>
      </c>
      <c r="F8" s="119" t="s">
        <v>65</v>
      </c>
      <c r="G8" s="119" t="s">
        <v>835</v>
      </c>
      <c r="H8" s="153">
        <v>200</v>
      </c>
      <c r="I8" s="131"/>
      <c r="J8" s="107" t="s">
        <v>50</v>
      </c>
      <c r="K8" s="107" t="s">
        <v>51</v>
      </c>
      <c r="L8" s="107" t="s">
        <v>21</v>
      </c>
      <c r="M8" s="107" t="s">
        <v>22</v>
      </c>
      <c r="N8" s="107" t="s">
        <v>816</v>
      </c>
      <c r="O8" s="107" t="s">
        <v>23</v>
      </c>
      <c r="P8" s="107" t="s">
        <v>51</v>
      </c>
      <c r="Q8" s="138">
        <v>200061817815</v>
      </c>
      <c r="R8" s="107" t="s">
        <v>55</v>
      </c>
    </row>
    <row r="9" spans="1:22" ht="57.6" x14ac:dyDescent="0.3">
      <c r="A9" s="153">
        <v>8</v>
      </c>
      <c r="B9" s="119" t="s">
        <v>45</v>
      </c>
      <c r="C9" s="119" t="s">
        <v>45</v>
      </c>
      <c r="D9" s="114" t="s">
        <v>836</v>
      </c>
      <c r="E9" s="119" t="s">
        <v>837</v>
      </c>
      <c r="F9" s="119" t="s">
        <v>69</v>
      </c>
      <c r="G9" s="119" t="s">
        <v>70</v>
      </c>
      <c r="H9" s="153">
        <v>200</v>
      </c>
      <c r="I9" s="131"/>
      <c r="J9" s="107" t="s">
        <v>50</v>
      </c>
      <c r="K9" s="107" t="s">
        <v>51</v>
      </c>
      <c r="L9" s="107" t="s">
        <v>21</v>
      </c>
      <c r="M9" s="107" t="s">
        <v>22</v>
      </c>
      <c r="N9" s="107" t="s">
        <v>816</v>
      </c>
      <c r="O9" s="107" t="s">
        <v>23</v>
      </c>
      <c r="P9" s="107" t="s">
        <v>51</v>
      </c>
      <c r="Q9" s="138">
        <v>200061817815</v>
      </c>
      <c r="R9" s="107" t="s">
        <v>55</v>
      </c>
    </row>
    <row r="10" spans="1:22" ht="57.6" x14ac:dyDescent="0.3">
      <c r="A10" s="153">
        <v>9</v>
      </c>
      <c r="B10" s="119" t="s">
        <v>45</v>
      </c>
      <c r="C10" s="119" t="s">
        <v>45</v>
      </c>
      <c r="D10" s="114" t="s">
        <v>838</v>
      </c>
      <c r="E10" s="119" t="s">
        <v>839</v>
      </c>
      <c r="F10" s="119" t="s">
        <v>73</v>
      </c>
      <c r="G10" s="119" t="s">
        <v>840</v>
      </c>
      <c r="H10" s="153">
        <v>401</v>
      </c>
      <c r="I10" s="131" t="s">
        <v>1948</v>
      </c>
      <c r="J10" s="107" t="s">
        <v>50</v>
      </c>
      <c r="K10" s="107" t="s">
        <v>51</v>
      </c>
      <c r="L10" s="107" t="s">
        <v>21</v>
      </c>
      <c r="M10" s="141" t="s">
        <v>820</v>
      </c>
      <c r="N10" s="107" t="s">
        <v>816</v>
      </c>
      <c r="O10" s="107" t="s">
        <v>23</v>
      </c>
      <c r="P10" s="107" t="s">
        <v>51</v>
      </c>
      <c r="Q10" s="138">
        <v>200061817815</v>
      </c>
      <c r="R10" s="107" t="s">
        <v>55</v>
      </c>
    </row>
    <row r="11" spans="1:22" ht="57.6" x14ac:dyDescent="0.3">
      <c r="A11" s="153">
        <v>10</v>
      </c>
      <c r="B11" s="119" t="s">
        <v>45</v>
      </c>
      <c r="C11" s="119" t="s">
        <v>45</v>
      </c>
      <c r="D11" s="114" t="s">
        <v>841</v>
      </c>
      <c r="E11" s="119" t="s">
        <v>842</v>
      </c>
      <c r="F11" s="119" t="s">
        <v>73</v>
      </c>
      <c r="G11" s="119" t="s">
        <v>840</v>
      </c>
      <c r="H11" s="153">
        <v>401</v>
      </c>
      <c r="I11" s="131" t="s">
        <v>1948</v>
      </c>
      <c r="J11" s="107" t="s">
        <v>50</v>
      </c>
      <c r="K11" s="107" t="s">
        <v>51</v>
      </c>
      <c r="L11" s="141" t="s">
        <v>823</v>
      </c>
      <c r="M11" s="107" t="s">
        <v>22</v>
      </c>
      <c r="N11" s="107" t="s">
        <v>816</v>
      </c>
      <c r="O11" s="107" t="s">
        <v>23</v>
      </c>
      <c r="P11" s="107" t="s">
        <v>51</v>
      </c>
      <c r="Q11" s="138">
        <v>200061817815</v>
      </c>
      <c r="R11" s="107" t="s">
        <v>55</v>
      </c>
    </row>
    <row r="12" spans="1:22" ht="57.6" x14ac:dyDescent="0.3">
      <c r="A12" s="153">
        <v>11</v>
      </c>
      <c r="B12" s="119" t="s">
        <v>45</v>
      </c>
      <c r="C12" s="119" t="s">
        <v>45</v>
      </c>
      <c r="D12" s="114" t="s">
        <v>843</v>
      </c>
      <c r="E12" s="119" t="s">
        <v>844</v>
      </c>
      <c r="F12" s="119" t="s">
        <v>73</v>
      </c>
      <c r="G12" s="119" t="s">
        <v>840</v>
      </c>
      <c r="H12" s="153">
        <v>401</v>
      </c>
      <c r="I12" s="131" t="s">
        <v>1948</v>
      </c>
      <c r="J12" s="107" t="s">
        <v>50</v>
      </c>
      <c r="K12" s="107" t="s">
        <v>51</v>
      </c>
      <c r="L12" s="107" t="s">
        <v>21</v>
      </c>
      <c r="M12" s="141" t="s">
        <v>1977</v>
      </c>
      <c r="N12" s="107" t="s">
        <v>816</v>
      </c>
      <c r="O12" s="107" t="s">
        <v>23</v>
      </c>
      <c r="P12" s="107" t="s">
        <v>51</v>
      </c>
      <c r="Q12" s="138">
        <v>200061817815</v>
      </c>
      <c r="R12" s="107" t="s">
        <v>55</v>
      </c>
    </row>
    <row r="13" spans="1:22" ht="57.6" x14ac:dyDescent="0.3">
      <c r="A13" s="153">
        <v>12</v>
      </c>
      <c r="B13" s="119" t="s">
        <v>45</v>
      </c>
      <c r="C13" s="119" t="s">
        <v>45</v>
      </c>
      <c r="D13" s="114" t="s">
        <v>845</v>
      </c>
      <c r="E13" s="119" t="s">
        <v>846</v>
      </c>
      <c r="F13" s="119" t="s">
        <v>73</v>
      </c>
      <c r="G13" s="119" t="s">
        <v>840</v>
      </c>
      <c r="H13" s="153">
        <v>401</v>
      </c>
      <c r="I13" s="131" t="s">
        <v>1948</v>
      </c>
      <c r="J13" s="107" t="s">
        <v>50</v>
      </c>
      <c r="K13" s="107" t="s">
        <v>51</v>
      </c>
      <c r="L13" s="141" t="s">
        <v>1977</v>
      </c>
      <c r="M13" s="107" t="s">
        <v>22</v>
      </c>
      <c r="N13" s="107" t="s">
        <v>816</v>
      </c>
      <c r="O13" s="107" t="s">
        <v>23</v>
      </c>
      <c r="P13" s="107" t="s">
        <v>51</v>
      </c>
      <c r="Q13" s="138">
        <v>200061817815</v>
      </c>
      <c r="R13" s="107" t="s">
        <v>55</v>
      </c>
    </row>
    <row r="14" spans="1:22" ht="72" x14ac:dyDescent="0.3">
      <c r="A14" s="153">
        <v>13</v>
      </c>
      <c r="B14" s="119" t="s">
        <v>45</v>
      </c>
      <c r="C14" s="119" t="s">
        <v>45</v>
      </c>
      <c r="D14" s="114" t="s">
        <v>847</v>
      </c>
      <c r="E14" s="119" t="s">
        <v>848</v>
      </c>
      <c r="F14" s="119" t="s">
        <v>73</v>
      </c>
      <c r="G14" s="119" t="s">
        <v>849</v>
      </c>
      <c r="H14" s="153">
        <v>400</v>
      </c>
      <c r="I14" s="131" t="s">
        <v>1949</v>
      </c>
      <c r="J14" s="107" t="s">
        <v>50</v>
      </c>
      <c r="K14" s="107" t="s">
        <v>51</v>
      </c>
      <c r="L14" s="107" t="s">
        <v>21</v>
      </c>
      <c r="M14" s="107" t="s">
        <v>22</v>
      </c>
      <c r="N14" s="107" t="s">
        <v>816</v>
      </c>
      <c r="O14" s="107" t="s">
        <v>23</v>
      </c>
      <c r="P14" s="107" t="s">
        <v>51</v>
      </c>
      <c r="Q14" s="142" t="s">
        <v>1977</v>
      </c>
      <c r="R14" s="107" t="s">
        <v>55</v>
      </c>
    </row>
    <row r="15" spans="1:22" ht="72" x14ac:dyDescent="0.3">
      <c r="A15" s="153">
        <v>14</v>
      </c>
      <c r="B15" s="119" t="s">
        <v>45</v>
      </c>
      <c r="C15" s="119" t="s">
        <v>45</v>
      </c>
      <c r="D15" s="114" t="s">
        <v>850</v>
      </c>
      <c r="E15" s="119" t="s">
        <v>851</v>
      </c>
      <c r="F15" s="119" t="s">
        <v>89</v>
      </c>
      <c r="G15" s="119" t="s">
        <v>849</v>
      </c>
      <c r="H15" s="153">
        <v>400</v>
      </c>
      <c r="I15" s="131" t="s">
        <v>1949</v>
      </c>
      <c r="J15" s="107" t="s">
        <v>50</v>
      </c>
      <c r="K15" s="107" t="s">
        <v>51</v>
      </c>
      <c r="L15" s="107" t="s">
        <v>21</v>
      </c>
      <c r="M15" s="107" t="s">
        <v>22</v>
      </c>
      <c r="N15" s="107" t="s">
        <v>816</v>
      </c>
      <c r="O15" s="107" t="s">
        <v>23</v>
      </c>
      <c r="P15" s="107" t="s">
        <v>51</v>
      </c>
      <c r="Q15" s="142">
        <v>200061817716</v>
      </c>
      <c r="R15" s="107" t="s">
        <v>55</v>
      </c>
    </row>
    <row r="16" spans="1:22" ht="72" x14ac:dyDescent="0.3">
      <c r="A16" s="153">
        <v>15</v>
      </c>
      <c r="B16" s="119" t="s">
        <v>45</v>
      </c>
      <c r="C16" s="119" t="s">
        <v>45</v>
      </c>
      <c r="D16" s="114" t="s">
        <v>852</v>
      </c>
      <c r="E16" s="119" t="s">
        <v>853</v>
      </c>
      <c r="F16" s="119" t="s">
        <v>99</v>
      </c>
      <c r="G16" s="119" t="s">
        <v>849</v>
      </c>
      <c r="H16" s="153">
        <v>400</v>
      </c>
      <c r="I16" s="131" t="s">
        <v>1949</v>
      </c>
      <c r="J16" s="107" t="s">
        <v>50</v>
      </c>
      <c r="K16" s="107" t="s">
        <v>51</v>
      </c>
      <c r="L16" s="107" t="s">
        <v>21</v>
      </c>
      <c r="M16" s="107" t="s">
        <v>22</v>
      </c>
      <c r="N16" s="107" t="s">
        <v>816</v>
      </c>
      <c r="O16" s="107" t="s">
        <v>23</v>
      </c>
      <c r="P16" s="107" t="s">
        <v>51</v>
      </c>
      <c r="Q16" s="142">
        <v>999999999999</v>
      </c>
      <c r="R16" s="107" t="s">
        <v>55</v>
      </c>
    </row>
    <row r="17" spans="1:18" ht="72" x14ac:dyDescent="0.3">
      <c r="A17" s="153">
        <v>16</v>
      </c>
      <c r="B17" s="119" t="s">
        <v>45</v>
      </c>
      <c r="C17" s="119" t="s">
        <v>45</v>
      </c>
      <c r="D17" s="114" t="s">
        <v>854</v>
      </c>
      <c r="E17" s="119" t="s">
        <v>855</v>
      </c>
      <c r="F17" s="119" t="s">
        <v>102</v>
      </c>
      <c r="G17" s="119" t="s">
        <v>849</v>
      </c>
      <c r="H17" s="153">
        <v>400</v>
      </c>
      <c r="I17" s="131" t="s">
        <v>1949</v>
      </c>
      <c r="J17" s="107" t="s">
        <v>50</v>
      </c>
      <c r="K17" s="107" t="s">
        <v>51</v>
      </c>
      <c r="L17" s="107" t="s">
        <v>21</v>
      </c>
      <c r="M17" s="107" t="s">
        <v>22</v>
      </c>
      <c r="N17" s="107" t="s">
        <v>816</v>
      </c>
      <c r="O17" s="107" t="s">
        <v>23</v>
      </c>
      <c r="P17" s="107" t="s">
        <v>51</v>
      </c>
      <c r="Q17" s="142" t="s">
        <v>856</v>
      </c>
      <c r="R17" s="107" t="s">
        <v>55</v>
      </c>
    </row>
    <row r="18" spans="1:18" ht="57.6" x14ac:dyDescent="0.3">
      <c r="A18" s="153">
        <v>17</v>
      </c>
      <c r="B18" s="119" t="s">
        <v>45</v>
      </c>
      <c r="C18" s="119" t="s">
        <v>45</v>
      </c>
      <c r="D18" s="114" t="s">
        <v>857</v>
      </c>
      <c r="E18" s="119" t="s">
        <v>858</v>
      </c>
      <c r="F18" s="119" t="s">
        <v>106</v>
      </c>
      <c r="G18" s="119" t="s">
        <v>859</v>
      </c>
      <c r="H18" s="153">
        <v>200</v>
      </c>
      <c r="I18" s="131"/>
      <c r="J18" s="107" t="s">
        <v>50</v>
      </c>
      <c r="K18" s="107" t="s">
        <v>51</v>
      </c>
      <c r="L18" s="107" t="s">
        <v>21</v>
      </c>
      <c r="M18" s="107" t="s">
        <v>22</v>
      </c>
      <c r="N18" s="107" t="s">
        <v>816</v>
      </c>
      <c r="O18" s="107" t="s">
        <v>23</v>
      </c>
      <c r="P18" s="107" t="s">
        <v>51</v>
      </c>
      <c r="Q18" s="138">
        <v>200061817815</v>
      </c>
      <c r="R18" s="107" t="s">
        <v>55</v>
      </c>
    </row>
    <row r="19" spans="1:18" ht="57.6" x14ac:dyDescent="0.3">
      <c r="A19" s="153">
        <v>18</v>
      </c>
      <c r="B19" s="119" t="s">
        <v>45</v>
      </c>
      <c r="C19" s="119" t="s">
        <v>45</v>
      </c>
      <c r="D19" s="114" t="s">
        <v>860</v>
      </c>
      <c r="E19" s="119" t="s">
        <v>861</v>
      </c>
      <c r="F19" s="119" t="s">
        <v>110</v>
      </c>
      <c r="G19" s="119" t="s">
        <v>862</v>
      </c>
      <c r="H19" s="153">
        <v>400</v>
      </c>
      <c r="I19" s="131" t="s">
        <v>1950</v>
      </c>
      <c r="J19" s="107" t="s">
        <v>50</v>
      </c>
      <c r="K19" s="107" t="s">
        <v>51</v>
      </c>
      <c r="L19" s="107" t="s">
        <v>21</v>
      </c>
      <c r="M19" s="107" t="s">
        <v>22</v>
      </c>
      <c r="N19" s="107" t="s">
        <v>816</v>
      </c>
      <c r="O19" s="107" t="s">
        <v>23</v>
      </c>
      <c r="P19" s="107" t="s">
        <v>51</v>
      </c>
      <c r="Q19" s="138">
        <v>200061817815</v>
      </c>
      <c r="R19" s="141" t="s">
        <v>112</v>
      </c>
    </row>
    <row r="20" spans="1:18" ht="72" x14ac:dyDescent="0.3">
      <c r="A20" s="153">
        <v>19</v>
      </c>
      <c r="B20" s="108" t="s">
        <v>113</v>
      </c>
      <c r="C20" s="108" t="s">
        <v>113</v>
      </c>
      <c r="D20" s="117" t="s">
        <v>863</v>
      </c>
      <c r="E20" s="108" t="s">
        <v>864</v>
      </c>
      <c r="F20" s="108" t="s">
        <v>865</v>
      </c>
      <c r="G20" s="108" t="s">
        <v>117</v>
      </c>
      <c r="H20" s="146">
        <v>200</v>
      </c>
      <c r="I20" s="127"/>
      <c r="J20" s="108" t="s">
        <v>50</v>
      </c>
      <c r="K20" s="108" t="s">
        <v>51</v>
      </c>
      <c r="L20" s="108"/>
      <c r="M20" s="108"/>
      <c r="N20" s="148"/>
      <c r="O20" s="108"/>
      <c r="P20" s="107" t="s">
        <v>51</v>
      </c>
      <c r="Q20" s="146">
        <v>200061817815</v>
      </c>
      <c r="R20" s="108" t="s">
        <v>55</v>
      </c>
    </row>
    <row r="21" spans="1:18" ht="72" x14ac:dyDescent="0.3">
      <c r="A21" s="153">
        <v>20</v>
      </c>
      <c r="B21" s="108" t="s">
        <v>113</v>
      </c>
      <c r="C21" s="108" t="s">
        <v>113</v>
      </c>
      <c r="D21" s="117" t="s">
        <v>866</v>
      </c>
      <c r="E21" s="108" t="s">
        <v>867</v>
      </c>
      <c r="F21" s="108" t="s">
        <v>120</v>
      </c>
      <c r="G21" s="108" t="s">
        <v>121</v>
      </c>
      <c r="H21" s="146">
        <v>401</v>
      </c>
      <c r="I21" s="127"/>
      <c r="J21" s="108" t="s">
        <v>50</v>
      </c>
      <c r="K21" s="108" t="s">
        <v>51</v>
      </c>
      <c r="L21" s="108"/>
      <c r="M21" s="108"/>
      <c r="N21" s="148"/>
      <c r="O21" s="108"/>
      <c r="P21" s="107" t="s">
        <v>51</v>
      </c>
      <c r="Q21" s="146"/>
      <c r="R21" s="108" t="s">
        <v>55</v>
      </c>
    </row>
    <row r="22" spans="1:18" ht="72" x14ac:dyDescent="0.3">
      <c r="A22" s="153">
        <v>21</v>
      </c>
      <c r="B22" s="108" t="s">
        <v>113</v>
      </c>
      <c r="C22" s="108" t="s">
        <v>113</v>
      </c>
      <c r="D22" s="117" t="s">
        <v>868</v>
      </c>
      <c r="E22" s="108" t="s">
        <v>869</v>
      </c>
      <c r="F22" s="108" t="s">
        <v>870</v>
      </c>
      <c r="G22" s="108" t="s">
        <v>125</v>
      </c>
      <c r="H22" s="146">
        <v>401</v>
      </c>
      <c r="I22" s="127"/>
      <c r="J22" s="108" t="s">
        <v>50</v>
      </c>
      <c r="K22" s="108" t="s">
        <v>51</v>
      </c>
      <c r="L22" s="108"/>
      <c r="M22" s="108"/>
      <c r="N22" s="148"/>
      <c r="O22" s="108"/>
      <c r="P22" s="107" t="s">
        <v>51</v>
      </c>
      <c r="Q22" s="146"/>
      <c r="R22" s="108" t="s">
        <v>55</v>
      </c>
    </row>
    <row r="23" spans="1:18" ht="72" x14ac:dyDescent="0.3">
      <c r="A23" s="153">
        <v>22</v>
      </c>
      <c r="B23" s="108" t="s">
        <v>113</v>
      </c>
      <c r="C23" s="108" t="s">
        <v>113</v>
      </c>
      <c r="D23" s="117" t="s">
        <v>871</v>
      </c>
      <c r="E23" s="108" t="s">
        <v>130</v>
      </c>
      <c r="F23" s="108" t="s">
        <v>128</v>
      </c>
      <c r="G23" s="108" t="s">
        <v>125</v>
      </c>
      <c r="H23" s="146">
        <v>401</v>
      </c>
      <c r="I23" s="127"/>
      <c r="J23" s="108" t="s">
        <v>50</v>
      </c>
      <c r="K23" s="108" t="s">
        <v>51</v>
      </c>
      <c r="L23" s="108"/>
      <c r="M23" s="108"/>
      <c r="N23" s="148"/>
      <c r="O23" s="108"/>
      <c r="P23" s="107" t="s">
        <v>51</v>
      </c>
      <c r="Q23" s="146"/>
      <c r="R23" s="108" t="s">
        <v>55</v>
      </c>
    </row>
    <row r="24" spans="1:18" ht="72" x14ac:dyDescent="0.3">
      <c r="A24" s="153">
        <v>23</v>
      </c>
      <c r="B24" s="108" t="s">
        <v>113</v>
      </c>
      <c r="C24" s="108" t="s">
        <v>113</v>
      </c>
      <c r="D24" s="117" t="s">
        <v>872</v>
      </c>
      <c r="E24" s="108" t="s">
        <v>873</v>
      </c>
      <c r="F24" s="108" t="s">
        <v>131</v>
      </c>
      <c r="G24" s="108" t="s">
        <v>125</v>
      </c>
      <c r="H24" s="146">
        <v>401</v>
      </c>
      <c r="I24" s="127"/>
      <c r="J24" s="108" t="s">
        <v>50</v>
      </c>
      <c r="K24" s="108" t="s">
        <v>51</v>
      </c>
      <c r="L24" s="108"/>
      <c r="M24" s="108"/>
      <c r="N24" s="148"/>
      <c r="O24" s="108"/>
      <c r="P24" s="107" t="s">
        <v>51</v>
      </c>
      <c r="Q24" s="146"/>
      <c r="R24" s="108" t="s">
        <v>55</v>
      </c>
    </row>
    <row r="25" spans="1:18" ht="193.2" x14ac:dyDescent="0.3">
      <c r="A25" s="153">
        <v>24</v>
      </c>
      <c r="B25" s="108" t="s">
        <v>113</v>
      </c>
      <c r="C25" s="108" t="s">
        <v>113</v>
      </c>
      <c r="D25" s="117" t="s">
        <v>874</v>
      </c>
      <c r="E25" s="108" t="s">
        <v>875</v>
      </c>
      <c r="F25" s="108" t="s">
        <v>876</v>
      </c>
      <c r="G25" s="121" t="s">
        <v>877</v>
      </c>
      <c r="H25" s="154">
        <v>403</v>
      </c>
      <c r="I25" s="127"/>
      <c r="J25" s="108" t="s">
        <v>50</v>
      </c>
      <c r="K25" s="108" t="s">
        <v>51</v>
      </c>
      <c r="L25" s="108"/>
      <c r="M25" s="108"/>
      <c r="N25" s="148"/>
      <c r="O25" s="108"/>
      <c r="P25" s="107" t="s">
        <v>51</v>
      </c>
      <c r="Q25" s="146">
        <v>200061817815</v>
      </c>
      <c r="R25" s="108" t="s">
        <v>55</v>
      </c>
    </row>
    <row r="26" spans="1:18" ht="230.4" x14ac:dyDescent="0.3">
      <c r="A26" s="153">
        <v>25</v>
      </c>
      <c r="B26" s="108" t="s">
        <v>113</v>
      </c>
      <c r="C26" s="108" t="s">
        <v>113</v>
      </c>
      <c r="D26" s="117" t="s">
        <v>878</v>
      </c>
      <c r="E26" s="108" t="s">
        <v>879</v>
      </c>
      <c r="F26" s="121" t="s">
        <v>880</v>
      </c>
      <c r="G26" s="108" t="s">
        <v>881</v>
      </c>
      <c r="H26" s="154">
        <v>403</v>
      </c>
      <c r="I26" s="127"/>
      <c r="J26" s="108" t="s">
        <v>50</v>
      </c>
      <c r="K26" s="108" t="s">
        <v>51</v>
      </c>
      <c r="L26" s="108" t="s">
        <v>21</v>
      </c>
      <c r="M26" s="108" t="s">
        <v>22</v>
      </c>
      <c r="N26" s="108" t="s">
        <v>816</v>
      </c>
      <c r="O26" s="108" t="s">
        <v>23</v>
      </c>
      <c r="P26" s="107" t="s">
        <v>51</v>
      </c>
      <c r="Q26" s="146">
        <v>200061817815</v>
      </c>
      <c r="R26" s="108" t="s">
        <v>55</v>
      </c>
    </row>
    <row r="27" spans="1:18" ht="57.6" x14ac:dyDescent="0.3">
      <c r="A27" s="153">
        <v>26</v>
      </c>
      <c r="B27" s="108" t="s">
        <v>113</v>
      </c>
      <c r="C27" s="108" t="s">
        <v>113</v>
      </c>
      <c r="D27" s="117" t="s">
        <v>882</v>
      </c>
      <c r="E27" s="108" t="s">
        <v>883</v>
      </c>
      <c r="F27" s="108" t="s">
        <v>144</v>
      </c>
      <c r="G27" s="108" t="s">
        <v>884</v>
      </c>
      <c r="H27" s="154">
        <v>403</v>
      </c>
      <c r="I27" s="127"/>
      <c r="J27" s="108" t="s">
        <v>50</v>
      </c>
      <c r="K27" s="108" t="s">
        <v>51</v>
      </c>
      <c r="L27" s="108" t="s">
        <v>21</v>
      </c>
      <c r="M27" s="108" t="s">
        <v>22</v>
      </c>
      <c r="N27" s="108" t="s">
        <v>816</v>
      </c>
      <c r="O27" s="108" t="s">
        <v>23</v>
      </c>
      <c r="P27" s="107" t="s">
        <v>51</v>
      </c>
      <c r="Q27" s="146">
        <v>200061817815</v>
      </c>
      <c r="R27" s="108" t="s">
        <v>55</v>
      </c>
    </row>
    <row r="28" spans="1:18" ht="57.6" x14ac:dyDescent="0.3">
      <c r="A28" s="55">
        <v>27</v>
      </c>
      <c r="B28" s="43" t="s">
        <v>113</v>
      </c>
      <c r="C28" s="43" t="s">
        <v>113</v>
      </c>
      <c r="D28" s="117" t="s">
        <v>885</v>
      </c>
      <c r="E28" s="122" t="s">
        <v>886</v>
      </c>
      <c r="F28" s="43" t="s">
        <v>148</v>
      </c>
      <c r="G28" s="108" t="s">
        <v>149</v>
      </c>
      <c r="H28" s="57">
        <v>200</v>
      </c>
      <c r="I28" s="15"/>
      <c r="J28" s="108" t="s">
        <v>50</v>
      </c>
      <c r="K28" s="43" t="s">
        <v>51</v>
      </c>
      <c r="L28" s="43" t="s">
        <v>21</v>
      </c>
      <c r="M28" s="43" t="s">
        <v>22</v>
      </c>
      <c r="N28" s="43" t="s">
        <v>816</v>
      </c>
      <c r="O28" s="43" t="s">
        <v>23</v>
      </c>
      <c r="P28" s="42" t="s">
        <v>51</v>
      </c>
      <c r="Q28" s="56">
        <v>200061817815</v>
      </c>
      <c r="R28" s="43" t="s">
        <v>55</v>
      </c>
    </row>
    <row r="29" spans="1:18" x14ac:dyDescent="0.3">
      <c r="I29" s="15"/>
    </row>
    <row r="30" spans="1:18" x14ac:dyDescent="0.3">
      <c r="I30" s="15"/>
    </row>
    <row r="31" spans="1:18" x14ac:dyDescent="0.3">
      <c r="I31" s="15"/>
    </row>
    <row r="32" spans="1:18" x14ac:dyDescent="0.3">
      <c r="I32" s="15"/>
    </row>
    <row r="33" spans="9:9" x14ac:dyDescent="0.3">
      <c r="I33" s="15"/>
    </row>
    <row r="34" spans="9:9" x14ac:dyDescent="0.3">
      <c r="I34" s="21"/>
    </row>
    <row r="35" spans="9:9" x14ac:dyDescent="0.3">
      <c r="I35" s="21"/>
    </row>
    <row r="36" spans="9:9" x14ac:dyDescent="0.3">
      <c r="I36" s="21"/>
    </row>
    <row r="37" spans="9:9" x14ac:dyDescent="0.3">
      <c r="I37" s="21"/>
    </row>
    <row r="38" spans="9:9" x14ac:dyDescent="0.3">
      <c r="I38" s="21"/>
    </row>
    <row r="39" spans="9:9" x14ac:dyDescent="0.3">
      <c r="I39" s="21"/>
    </row>
    <row r="40" spans="9:9" x14ac:dyDescent="0.3">
      <c r="I40" s="21"/>
    </row>
    <row r="41" spans="9:9" x14ac:dyDescent="0.3">
      <c r="I41" s="21"/>
    </row>
    <row r="42" spans="9:9" x14ac:dyDescent="0.3">
      <c r="I42" s="21"/>
    </row>
    <row r="43" spans="9:9" x14ac:dyDescent="0.3">
      <c r="I43" s="21"/>
    </row>
    <row r="44" spans="9:9" x14ac:dyDescent="0.3">
      <c r="I44" s="21"/>
    </row>
    <row r="45" spans="9:9" x14ac:dyDescent="0.3">
      <c r="I45" s="21"/>
    </row>
    <row r="46" spans="9:9" x14ac:dyDescent="0.3">
      <c r="I46" s="21"/>
    </row>
    <row r="47" spans="9:9" x14ac:dyDescent="0.3">
      <c r="I47" s="21"/>
    </row>
    <row r="48" spans="9:9" x14ac:dyDescent="0.3">
      <c r="I48" s="21"/>
    </row>
    <row r="49" spans="9:9" x14ac:dyDescent="0.3">
      <c r="I49" s="21"/>
    </row>
    <row r="50" spans="9:9" x14ac:dyDescent="0.3">
      <c r="I50" s="21"/>
    </row>
    <row r="51" spans="9:9" x14ac:dyDescent="0.3">
      <c r="I51" s="21"/>
    </row>
    <row r="52" spans="9:9" x14ac:dyDescent="0.3">
      <c r="I52" s="21"/>
    </row>
    <row r="53" spans="9:9" x14ac:dyDescent="0.3">
      <c r="I53" s="21"/>
    </row>
    <row r="54" spans="9:9" x14ac:dyDescent="0.3">
      <c r="I54" s="21"/>
    </row>
    <row r="55" spans="9:9" x14ac:dyDescent="0.3">
      <c r="I55" s="21"/>
    </row>
    <row r="56" spans="9:9" x14ac:dyDescent="0.3">
      <c r="I56" s="21"/>
    </row>
    <row r="57" spans="9:9" x14ac:dyDescent="0.3">
      <c r="I57" s="21"/>
    </row>
    <row r="58" spans="9:9" x14ac:dyDescent="0.3">
      <c r="I58" s="21"/>
    </row>
    <row r="59" spans="9:9" x14ac:dyDescent="0.3">
      <c r="I59" s="21"/>
    </row>
    <row r="60" spans="9:9" x14ac:dyDescent="0.3">
      <c r="I60" s="21"/>
    </row>
    <row r="61" spans="9:9" x14ac:dyDescent="0.3">
      <c r="I61" s="21"/>
    </row>
    <row r="62" spans="9:9" x14ac:dyDescent="0.3">
      <c r="I62" s="21"/>
    </row>
    <row r="63" spans="9:9" x14ac:dyDescent="0.3">
      <c r="I63" s="21"/>
    </row>
    <row r="64" spans="9:9" x14ac:dyDescent="0.3">
      <c r="I64" s="21"/>
    </row>
    <row r="65" spans="9:9" x14ac:dyDescent="0.3">
      <c r="I65" s="21"/>
    </row>
    <row r="66" spans="9:9" x14ac:dyDescent="0.3">
      <c r="I66" s="21"/>
    </row>
    <row r="67" spans="9:9" x14ac:dyDescent="0.3">
      <c r="I67" s="21"/>
    </row>
    <row r="68" spans="9:9" x14ac:dyDescent="0.3">
      <c r="I68" s="21"/>
    </row>
    <row r="69" spans="9:9" x14ac:dyDescent="0.3">
      <c r="I69" s="21"/>
    </row>
    <row r="70" spans="9:9" x14ac:dyDescent="0.3">
      <c r="I70" s="21"/>
    </row>
    <row r="71" spans="9:9" x14ac:dyDescent="0.3">
      <c r="I71" s="21"/>
    </row>
    <row r="72" spans="9:9" x14ac:dyDescent="0.3">
      <c r="I72" s="21"/>
    </row>
    <row r="73" spans="9:9" x14ac:dyDescent="0.3">
      <c r="I73" s="21"/>
    </row>
    <row r="74" spans="9:9" x14ac:dyDescent="0.3">
      <c r="I74" s="15"/>
    </row>
    <row r="75" spans="9:9" x14ac:dyDescent="0.3">
      <c r="I75" s="21"/>
    </row>
    <row r="76" spans="9:9" x14ac:dyDescent="0.3">
      <c r="I76" s="21"/>
    </row>
    <row r="77" spans="9:9" x14ac:dyDescent="0.3">
      <c r="I77" s="21"/>
    </row>
    <row r="78" spans="9:9" x14ac:dyDescent="0.3">
      <c r="I78" s="21"/>
    </row>
    <row r="79" spans="9:9" x14ac:dyDescent="0.3">
      <c r="I79" s="21"/>
    </row>
    <row r="80" spans="9:9"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21"/>
    </row>
    <row r="95" spans="9:9" x14ac:dyDescent="0.3">
      <c r="I95" s="15"/>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21"/>
    </row>
    <row r="114" spans="9:9" x14ac:dyDescent="0.3">
      <c r="I114" s="15"/>
    </row>
    <row r="115" spans="9:9" x14ac:dyDescent="0.3">
      <c r="I115"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outlinePr summaryBelow="0"/>
  </sheetPr>
  <dimension ref="A1:R114"/>
  <sheetViews>
    <sheetView zoomScale="70" zoomScaleNormal="70" workbookViewId="0">
      <pane ySplit="1" topLeftCell="A2" activePane="bottomLeft" state="frozen"/>
      <selection activeCell="Q5" sqref="Q5"/>
      <selection pane="bottomLeft" activeCell="F2" sqref="F2"/>
    </sheetView>
  </sheetViews>
  <sheetFormatPr defaultRowHeight="14.4" x14ac:dyDescent="0.3"/>
  <cols>
    <col min="1" max="1" width="3.109375" style="24" bestFit="1" customWidth="1"/>
    <col min="2" max="3" width="9.109375" style="26" bestFit="1" customWidth="1"/>
    <col min="4" max="4" width="23.109375" style="77" bestFit="1" customWidth="1"/>
    <col min="5" max="5" width="58.109375" style="84" bestFit="1" customWidth="1"/>
    <col min="6" max="6" width="35.109375" style="26" bestFit="1" customWidth="1"/>
    <col min="7" max="7" width="54.5546875" style="84" bestFit="1" customWidth="1"/>
    <col min="8" max="8" width="15.33203125" style="54" bestFit="1" customWidth="1"/>
    <col min="9" max="9" width="19.88671875" style="27" customWidth="1"/>
    <col min="10" max="10" width="54.5546875" style="80" bestFit="1" customWidth="1"/>
    <col min="11" max="11" width="11.44140625" style="26" bestFit="1" customWidth="1"/>
    <col min="12" max="12" width="14" style="26" bestFit="1" customWidth="1"/>
    <col min="13" max="14" width="11.44140625" style="26" bestFit="1" customWidth="1"/>
    <col min="15" max="18" width="8.88671875" bestFit="1" customWidth="1"/>
  </cols>
  <sheetData>
    <row r="1" spans="1:18" ht="43.2" x14ac:dyDescent="0.3">
      <c r="A1" s="1" t="s">
        <v>24</v>
      </c>
      <c r="B1" s="2" t="s">
        <v>25</v>
      </c>
      <c r="C1" s="2" t="s">
        <v>26</v>
      </c>
      <c r="D1" s="75" t="s">
        <v>27</v>
      </c>
      <c r="E1" s="78" t="s">
        <v>28</v>
      </c>
      <c r="F1" s="2" t="s">
        <v>29</v>
      </c>
      <c r="G1" s="78" t="s">
        <v>30</v>
      </c>
      <c r="H1" s="32" t="s">
        <v>31</v>
      </c>
      <c r="I1" s="3" t="s">
        <v>1947</v>
      </c>
      <c r="J1" s="88" t="s">
        <v>32</v>
      </c>
      <c r="K1" s="33" t="s">
        <v>150</v>
      </c>
      <c r="L1" s="5" t="s">
        <v>36</v>
      </c>
      <c r="M1" s="5" t="s">
        <v>37</v>
      </c>
      <c r="N1" s="5" t="s">
        <v>151</v>
      </c>
      <c r="O1" s="11" t="s">
        <v>41</v>
      </c>
      <c r="P1" s="11" t="s">
        <v>42</v>
      </c>
      <c r="Q1" s="11" t="s">
        <v>43</v>
      </c>
      <c r="R1" s="11" t="s">
        <v>44</v>
      </c>
    </row>
    <row r="2" spans="1:18" ht="409.6" x14ac:dyDescent="0.3">
      <c r="A2" s="127">
        <v>1</v>
      </c>
      <c r="B2" s="79" t="str">
        <f>C2</f>
        <v>Y</v>
      </c>
      <c r="C2" s="79" t="s">
        <v>45</v>
      </c>
      <c r="D2" s="76" t="s">
        <v>887</v>
      </c>
      <c r="E2" s="79" t="s">
        <v>888</v>
      </c>
      <c r="F2" s="79" t="s">
        <v>154</v>
      </c>
      <c r="G2" s="79" t="s">
        <v>155</v>
      </c>
      <c r="H2" s="110">
        <v>200</v>
      </c>
      <c r="I2" s="131"/>
      <c r="J2" s="102" t="s">
        <v>156</v>
      </c>
      <c r="K2" s="102"/>
      <c r="L2" s="102" t="s">
        <v>816</v>
      </c>
      <c r="M2" s="102" t="s">
        <v>23</v>
      </c>
      <c r="N2" s="102" t="s">
        <v>889</v>
      </c>
      <c r="O2" s="77"/>
      <c r="P2" s="77"/>
      <c r="Q2" s="77"/>
      <c r="R2" s="77"/>
    </row>
    <row r="3" spans="1:18" ht="409.6" x14ac:dyDescent="0.3">
      <c r="A3" s="127">
        <v>2</v>
      </c>
      <c r="B3" s="79" t="s">
        <v>45</v>
      </c>
      <c r="C3" s="79" t="s">
        <v>45</v>
      </c>
      <c r="D3" s="76" t="s">
        <v>890</v>
      </c>
      <c r="E3" s="79" t="s">
        <v>891</v>
      </c>
      <c r="F3" s="79" t="s">
        <v>160</v>
      </c>
      <c r="G3" s="79" t="s">
        <v>161</v>
      </c>
      <c r="H3" s="110">
        <v>200</v>
      </c>
      <c r="I3" s="131"/>
      <c r="J3" s="102" t="s">
        <v>156</v>
      </c>
      <c r="K3" s="102"/>
      <c r="L3" s="102" t="s">
        <v>816</v>
      </c>
      <c r="M3" s="102" t="s">
        <v>23</v>
      </c>
      <c r="N3" s="102" t="s">
        <v>892</v>
      </c>
      <c r="O3" s="77"/>
      <c r="P3" s="77"/>
      <c r="Q3" s="77"/>
      <c r="R3" s="77"/>
    </row>
    <row r="4" spans="1:18" ht="409.6" x14ac:dyDescent="0.3">
      <c r="A4" s="127">
        <v>3</v>
      </c>
      <c r="B4" s="79" t="s">
        <v>45</v>
      </c>
      <c r="C4" s="79" t="s">
        <v>45</v>
      </c>
      <c r="D4" s="76" t="s">
        <v>893</v>
      </c>
      <c r="E4" s="79" t="s">
        <v>894</v>
      </c>
      <c r="F4" s="79" t="s">
        <v>164</v>
      </c>
      <c r="G4" s="79" t="s">
        <v>165</v>
      </c>
      <c r="H4" s="110">
        <v>200</v>
      </c>
      <c r="I4" s="131"/>
      <c r="J4" s="102" t="s">
        <v>1983</v>
      </c>
      <c r="K4" s="102" t="s">
        <v>166</v>
      </c>
      <c r="L4" s="102" t="s">
        <v>816</v>
      </c>
      <c r="M4" s="102" t="s">
        <v>23</v>
      </c>
      <c r="N4" s="102" t="s">
        <v>895</v>
      </c>
      <c r="O4" s="77"/>
      <c r="P4" s="77"/>
      <c r="Q4" s="77"/>
      <c r="R4" s="77"/>
    </row>
    <row r="5" spans="1:18" ht="302.39999999999998" x14ac:dyDescent="0.3">
      <c r="A5" s="127">
        <v>4</v>
      </c>
      <c r="B5" s="79" t="s">
        <v>45</v>
      </c>
      <c r="C5" s="79" t="s">
        <v>45</v>
      </c>
      <c r="D5" s="76" t="s">
        <v>896</v>
      </c>
      <c r="E5" s="79" t="s">
        <v>897</v>
      </c>
      <c r="F5" s="79" t="s">
        <v>169</v>
      </c>
      <c r="G5" s="79" t="s">
        <v>170</v>
      </c>
      <c r="H5" s="110">
        <v>200</v>
      </c>
      <c r="I5" s="131"/>
      <c r="J5" s="102" t="s">
        <v>1984</v>
      </c>
      <c r="K5" s="102" t="s">
        <v>171</v>
      </c>
      <c r="L5" s="102" t="s">
        <v>816</v>
      </c>
      <c r="M5" s="102" t="s">
        <v>23</v>
      </c>
      <c r="N5" s="102" t="s">
        <v>898</v>
      </c>
      <c r="O5" s="77"/>
      <c r="P5" s="77"/>
      <c r="Q5" s="77"/>
      <c r="R5" s="77"/>
    </row>
    <row r="6" spans="1:18" ht="302.39999999999998" x14ac:dyDescent="0.3">
      <c r="A6" s="127">
        <v>5</v>
      </c>
      <c r="B6" s="79" t="s">
        <v>45</v>
      </c>
      <c r="C6" s="79" t="s">
        <v>45</v>
      </c>
      <c r="D6" s="76" t="s">
        <v>899</v>
      </c>
      <c r="E6" s="79" t="s">
        <v>900</v>
      </c>
      <c r="F6" s="79" t="s">
        <v>174</v>
      </c>
      <c r="G6" s="79" t="s">
        <v>175</v>
      </c>
      <c r="H6" s="110">
        <v>200</v>
      </c>
      <c r="I6" s="131"/>
      <c r="J6" s="102" t="s">
        <v>156</v>
      </c>
      <c r="K6" s="102"/>
      <c r="L6" s="102" t="s">
        <v>816</v>
      </c>
      <c r="M6" s="102" t="s">
        <v>23</v>
      </c>
      <c r="N6" s="102" t="s">
        <v>901</v>
      </c>
      <c r="O6" s="77"/>
      <c r="P6" s="77"/>
      <c r="Q6" s="77"/>
      <c r="R6" s="77"/>
    </row>
    <row r="7" spans="1:18" ht="72" x14ac:dyDescent="0.3">
      <c r="A7" s="127">
        <v>6</v>
      </c>
      <c r="B7" s="79" t="s">
        <v>45</v>
      </c>
      <c r="C7" s="79" t="s">
        <v>45</v>
      </c>
      <c r="D7" s="76" t="s">
        <v>902</v>
      </c>
      <c r="E7" s="79" t="s">
        <v>903</v>
      </c>
      <c r="F7" s="79" t="s">
        <v>178</v>
      </c>
      <c r="G7" s="79" t="s">
        <v>179</v>
      </c>
      <c r="H7" s="110">
        <v>400</v>
      </c>
      <c r="I7" s="131" t="s">
        <v>1953</v>
      </c>
      <c r="J7" s="102" t="s">
        <v>1985</v>
      </c>
      <c r="K7" s="129" t="s">
        <v>904</v>
      </c>
      <c r="L7" s="102" t="s">
        <v>816</v>
      </c>
      <c r="M7" s="102" t="s">
        <v>23</v>
      </c>
      <c r="N7" s="102" t="s">
        <v>905</v>
      </c>
      <c r="O7" s="77"/>
      <c r="P7" s="77"/>
      <c r="Q7" s="77"/>
      <c r="R7" s="77"/>
    </row>
    <row r="8" spans="1:18" ht="72" x14ac:dyDescent="0.3">
      <c r="A8" s="127">
        <v>7</v>
      </c>
      <c r="B8" s="79" t="s">
        <v>45</v>
      </c>
      <c r="C8" s="79" t="s">
        <v>45</v>
      </c>
      <c r="D8" s="76" t="s">
        <v>906</v>
      </c>
      <c r="E8" s="79" t="s">
        <v>907</v>
      </c>
      <c r="F8" s="79" t="s">
        <v>182</v>
      </c>
      <c r="G8" s="79" t="s">
        <v>189</v>
      </c>
      <c r="H8" s="110">
        <v>401</v>
      </c>
      <c r="I8" s="131" t="s">
        <v>1954</v>
      </c>
      <c r="J8" s="102" t="s">
        <v>156</v>
      </c>
      <c r="K8" s="102"/>
      <c r="L8" s="102" t="s">
        <v>816</v>
      </c>
      <c r="M8" s="129" t="s">
        <v>1977</v>
      </c>
      <c r="N8" s="102" t="s">
        <v>908</v>
      </c>
      <c r="O8" s="77"/>
      <c r="P8" s="77"/>
      <c r="Q8" s="77"/>
      <c r="R8" s="77"/>
    </row>
    <row r="9" spans="1:18" ht="72" x14ac:dyDescent="0.3">
      <c r="A9" s="127">
        <v>8</v>
      </c>
      <c r="B9" s="79" t="s">
        <v>45</v>
      </c>
      <c r="C9" s="79" t="s">
        <v>45</v>
      </c>
      <c r="D9" s="76" t="s">
        <v>909</v>
      </c>
      <c r="E9" s="79" t="s">
        <v>910</v>
      </c>
      <c r="F9" s="79" t="s">
        <v>185</v>
      </c>
      <c r="G9" s="79" t="s">
        <v>189</v>
      </c>
      <c r="H9" s="110">
        <v>401</v>
      </c>
      <c r="I9" s="131" t="s">
        <v>1955</v>
      </c>
      <c r="J9" s="102" t="s">
        <v>156</v>
      </c>
      <c r="K9" s="102"/>
      <c r="L9" s="129" t="s">
        <v>1981</v>
      </c>
      <c r="M9" s="102" t="s">
        <v>23</v>
      </c>
      <c r="N9" s="102" t="s">
        <v>911</v>
      </c>
      <c r="O9" s="77"/>
      <c r="P9" s="77"/>
      <c r="Q9" s="77"/>
      <c r="R9" s="77"/>
    </row>
    <row r="10" spans="1:18" ht="72" x14ac:dyDescent="0.3">
      <c r="A10" s="127">
        <v>9</v>
      </c>
      <c r="B10" s="79" t="s">
        <v>45</v>
      </c>
      <c r="C10" s="79" t="s">
        <v>45</v>
      </c>
      <c r="D10" s="76" t="s">
        <v>912</v>
      </c>
      <c r="E10" s="79" t="s">
        <v>913</v>
      </c>
      <c r="F10" s="79" t="s">
        <v>188</v>
      </c>
      <c r="G10" s="79" t="s">
        <v>189</v>
      </c>
      <c r="H10" s="110">
        <v>401</v>
      </c>
      <c r="I10" s="131" t="s">
        <v>1956</v>
      </c>
      <c r="J10" s="102" t="s">
        <v>156</v>
      </c>
      <c r="K10" s="102"/>
      <c r="L10" s="102" t="s">
        <v>816</v>
      </c>
      <c r="M10" s="129" t="s">
        <v>914</v>
      </c>
      <c r="N10" s="102" t="s">
        <v>911</v>
      </c>
      <c r="O10" s="77"/>
      <c r="P10" s="77"/>
      <c r="Q10" s="77"/>
      <c r="R10" s="77"/>
    </row>
    <row r="11" spans="1:18" ht="72" x14ac:dyDescent="0.3">
      <c r="A11" s="127">
        <v>10</v>
      </c>
      <c r="B11" s="79" t="s">
        <v>45</v>
      </c>
      <c r="C11" s="79" t="s">
        <v>45</v>
      </c>
      <c r="D11" s="76" t="s">
        <v>915</v>
      </c>
      <c r="E11" s="79" t="s">
        <v>916</v>
      </c>
      <c r="F11" s="79" t="s">
        <v>193</v>
      </c>
      <c r="G11" s="79" t="s">
        <v>189</v>
      </c>
      <c r="H11" s="110">
        <v>401</v>
      </c>
      <c r="I11" s="131" t="s">
        <v>1973</v>
      </c>
      <c r="J11" s="102" t="s">
        <v>156</v>
      </c>
      <c r="K11" s="102"/>
      <c r="L11" s="129" t="s">
        <v>917</v>
      </c>
      <c r="M11" s="102" t="s">
        <v>23</v>
      </c>
      <c r="N11" s="102" t="s">
        <v>918</v>
      </c>
      <c r="O11" s="77"/>
      <c r="P11" s="77"/>
      <c r="Q11" s="77"/>
      <c r="R11" s="77"/>
    </row>
    <row r="12" spans="1:18" ht="72" x14ac:dyDescent="0.3">
      <c r="A12" s="127">
        <v>11</v>
      </c>
      <c r="B12" s="79" t="s">
        <v>45</v>
      </c>
      <c r="C12" s="79" t="s">
        <v>45</v>
      </c>
      <c r="D12" s="76" t="s">
        <v>919</v>
      </c>
      <c r="E12" s="79" t="s">
        <v>920</v>
      </c>
      <c r="F12" s="79" t="s">
        <v>216</v>
      </c>
      <c r="G12" s="79" t="s">
        <v>217</v>
      </c>
      <c r="H12" s="110">
        <v>403</v>
      </c>
      <c r="I12" s="131" t="s">
        <v>1956</v>
      </c>
      <c r="J12" s="102" t="s">
        <v>156</v>
      </c>
      <c r="K12" s="102"/>
      <c r="L12" s="102" t="s">
        <v>816</v>
      </c>
      <c r="M12" s="129" t="s">
        <v>921</v>
      </c>
      <c r="N12" s="102" t="s">
        <v>922</v>
      </c>
      <c r="O12" s="77"/>
      <c r="P12" s="77"/>
      <c r="Q12" s="77"/>
      <c r="R12" s="77"/>
    </row>
    <row r="13" spans="1:18" ht="72" x14ac:dyDescent="0.3">
      <c r="A13" s="127">
        <v>12</v>
      </c>
      <c r="B13" s="79" t="s">
        <v>45</v>
      </c>
      <c r="C13" s="79" t="s">
        <v>45</v>
      </c>
      <c r="D13" s="76" t="s">
        <v>923</v>
      </c>
      <c r="E13" s="79" t="s">
        <v>924</v>
      </c>
      <c r="F13" s="79" t="s">
        <v>154</v>
      </c>
      <c r="G13" s="79" t="s">
        <v>197</v>
      </c>
      <c r="H13" s="127">
        <v>200</v>
      </c>
      <c r="I13" s="131"/>
      <c r="J13" s="102" t="s">
        <v>156</v>
      </c>
      <c r="K13" s="102"/>
      <c r="L13" s="102" t="s">
        <v>816</v>
      </c>
      <c r="M13" s="102" t="s">
        <v>23</v>
      </c>
      <c r="N13" s="102" t="s">
        <v>925</v>
      </c>
      <c r="O13" s="77"/>
      <c r="P13" s="77"/>
      <c r="Q13" s="77"/>
      <c r="R13" s="77"/>
    </row>
    <row r="14" spans="1:18" ht="72" x14ac:dyDescent="0.3">
      <c r="A14" s="127">
        <v>13</v>
      </c>
      <c r="B14" s="79" t="s">
        <v>45</v>
      </c>
      <c r="C14" s="79" t="s">
        <v>45</v>
      </c>
      <c r="D14" s="76" t="s">
        <v>926</v>
      </c>
      <c r="E14" s="79" t="s">
        <v>927</v>
      </c>
      <c r="F14" s="79" t="s">
        <v>200</v>
      </c>
      <c r="G14" s="79" t="s">
        <v>201</v>
      </c>
      <c r="H14" s="127">
        <v>200</v>
      </c>
      <c r="I14" s="127"/>
      <c r="J14" s="102" t="s">
        <v>156</v>
      </c>
      <c r="K14" s="102"/>
      <c r="L14" s="102" t="s">
        <v>816</v>
      </c>
      <c r="M14" s="102" t="s">
        <v>23</v>
      </c>
      <c r="N14" s="102" t="s">
        <v>928</v>
      </c>
      <c r="O14" s="77"/>
      <c r="P14" s="77"/>
      <c r="Q14" s="77"/>
      <c r="R14" s="77"/>
    </row>
    <row r="15" spans="1:18" ht="72" x14ac:dyDescent="0.3">
      <c r="A15" s="127">
        <v>14</v>
      </c>
      <c r="B15" s="79" t="s">
        <v>45</v>
      </c>
      <c r="C15" s="79" t="s">
        <v>45</v>
      </c>
      <c r="D15" s="76" t="s">
        <v>929</v>
      </c>
      <c r="E15" s="79" t="s">
        <v>930</v>
      </c>
      <c r="F15" s="79" t="s">
        <v>178</v>
      </c>
      <c r="G15" s="79" t="s">
        <v>204</v>
      </c>
      <c r="H15" s="110">
        <v>400</v>
      </c>
      <c r="I15" s="131" t="s">
        <v>1953</v>
      </c>
      <c r="J15" s="102" t="s">
        <v>156</v>
      </c>
      <c r="K15" s="129" t="s">
        <v>904</v>
      </c>
      <c r="L15" s="102" t="s">
        <v>816</v>
      </c>
      <c r="M15" s="102" t="s">
        <v>23</v>
      </c>
      <c r="N15" s="102" t="s">
        <v>905</v>
      </c>
      <c r="O15" s="77"/>
      <c r="P15" s="77"/>
      <c r="Q15" s="77"/>
      <c r="R15" s="77"/>
    </row>
    <row r="16" spans="1:18" ht="72" x14ac:dyDescent="0.3">
      <c r="A16" s="127">
        <v>15</v>
      </c>
      <c r="B16" s="79" t="s">
        <v>45</v>
      </c>
      <c r="C16" s="79" t="s">
        <v>45</v>
      </c>
      <c r="D16" s="76" t="s">
        <v>931</v>
      </c>
      <c r="E16" s="79" t="s">
        <v>932</v>
      </c>
      <c r="F16" s="79" t="s">
        <v>182</v>
      </c>
      <c r="G16" s="79" t="s">
        <v>207</v>
      </c>
      <c r="H16" s="110">
        <v>401</v>
      </c>
      <c r="I16" s="131" t="s">
        <v>1954</v>
      </c>
      <c r="J16" s="102" t="s">
        <v>156</v>
      </c>
      <c r="K16" s="102"/>
      <c r="L16" s="102" t="s">
        <v>816</v>
      </c>
      <c r="M16" s="129" t="s">
        <v>1977</v>
      </c>
      <c r="N16" s="102" t="s">
        <v>908</v>
      </c>
      <c r="O16" s="77"/>
      <c r="P16" s="77"/>
      <c r="Q16" s="77"/>
      <c r="R16" s="77"/>
    </row>
    <row r="17" spans="1:18" ht="72" x14ac:dyDescent="0.3">
      <c r="A17" s="127">
        <v>16</v>
      </c>
      <c r="B17" s="79" t="s">
        <v>45</v>
      </c>
      <c r="C17" s="79" t="s">
        <v>45</v>
      </c>
      <c r="D17" s="76" t="s">
        <v>933</v>
      </c>
      <c r="E17" s="79" t="s">
        <v>934</v>
      </c>
      <c r="F17" s="79" t="s">
        <v>185</v>
      </c>
      <c r="G17" s="79" t="s">
        <v>207</v>
      </c>
      <c r="H17" s="110">
        <v>401</v>
      </c>
      <c r="I17" s="131" t="s">
        <v>1955</v>
      </c>
      <c r="J17" s="102" t="s">
        <v>156</v>
      </c>
      <c r="K17" s="102"/>
      <c r="L17" s="129" t="s">
        <v>1977</v>
      </c>
      <c r="M17" s="102" t="s">
        <v>23</v>
      </c>
      <c r="N17" s="102" t="s">
        <v>911</v>
      </c>
      <c r="O17" s="77"/>
      <c r="P17" s="77"/>
      <c r="Q17" s="77"/>
      <c r="R17" s="77"/>
    </row>
    <row r="18" spans="1:18" ht="72" x14ac:dyDescent="0.3">
      <c r="A18" s="127">
        <v>17</v>
      </c>
      <c r="B18" s="79" t="s">
        <v>45</v>
      </c>
      <c r="C18" s="79" t="s">
        <v>45</v>
      </c>
      <c r="D18" s="76" t="s">
        <v>935</v>
      </c>
      <c r="E18" s="79" t="s">
        <v>936</v>
      </c>
      <c r="F18" s="79" t="s">
        <v>188</v>
      </c>
      <c r="G18" s="79" t="s">
        <v>207</v>
      </c>
      <c r="H18" s="110">
        <v>401</v>
      </c>
      <c r="I18" s="131" t="s">
        <v>1956</v>
      </c>
      <c r="J18" s="102" t="s">
        <v>156</v>
      </c>
      <c r="K18" s="102"/>
      <c r="L18" s="102" t="s">
        <v>816</v>
      </c>
      <c r="M18" s="129" t="s">
        <v>914</v>
      </c>
      <c r="N18" s="102" t="s">
        <v>911</v>
      </c>
      <c r="O18" s="77"/>
      <c r="P18" s="77"/>
      <c r="Q18" s="77"/>
      <c r="R18" s="77"/>
    </row>
    <row r="19" spans="1:18" ht="72" x14ac:dyDescent="0.3">
      <c r="A19" s="127">
        <v>18</v>
      </c>
      <c r="B19" s="79" t="s">
        <v>45</v>
      </c>
      <c r="C19" s="79" t="s">
        <v>45</v>
      </c>
      <c r="D19" s="76" t="s">
        <v>937</v>
      </c>
      <c r="E19" s="79" t="s">
        <v>938</v>
      </c>
      <c r="F19" s="79" t="s">
        <v>193</v>
      </c>
      <c r="G19" s="79" t="s">
        <v>207</v>
      </c>
      <c r="H19" s="110">
        <v>401</v>
      </c>
      <c r="I19" s="131" t="s">
        <v>1973</v>
      </c>
      <c r="J19" s="102" t="s">
        <v>156</v>
      </c>
      <c r="K19" s="102"/>
      <c r="L19" s="129" t="s">
        <v>917</v>
      </c>
      <c r="M19" s="102" t="s">
        <v>23</v>
      </c>
      <c r="N19" s="102" t="s">
        <v>918</v>
      </c>
      <c r="O19" s="77"/>
      <c r="P19" s="77"/>
      <c r="Q19" s="77"/>
      <c r="R19" s="77"/>
    </row>
    <row r="20" spans="1:18" ht="72" x14ac:dyDescent="0.3">
      <c r="A20" s="127">
        <v>19</v>
      </c>
      <c r="B20" s="79" t="s">
        <v>45</v>
      </c>
      <c r="C20" s="79" t="s">
        <v>45</v>
      </c>
      <c r="D20" s="76" t="s">
        <v>939</v>
      </c>
      <c r="E20" s="79" t="s">
        <v>940</v>
      </c>
      <c r="F20" s="79" t="s">
        <v>216</v>
      </c>
      <c r="G20" s="79" t="s">
        <v>941</v>
      </c>
      <c r="H20" s="110">
        <v>403</v>
      </c>
      <c r="I20" s="131" t="s">
        <v>1956</v>
      </c>
      <c r="J20" s="102" t="s">
        <v>156</v>
      </c>
      <c r="K20" s="102"/>
      <c r="L20" s="102" t="s">
        <v>816</v>
      </c>
      <c r="M20" s="129" t="s">
        <v>921</v>
      </c>
      <c r="N20" s="102" t="s">
        <v>922</v>
      </c>
      <c r="O20" s="77"/>
      <c r="P20" s="77"/>
      <c r="Q20" s="77"/>
      <c r="R20" s="77"/>
    </row>
    <row r="21" spans="1:18" x14ac:dyDescent="0.3">
      <c r="A21" s="135"/>
      <c r="B21" s="80"/>
      <c r="C21" s="80"/>
      <c r="E21" s="80"/>
      <c r="F21" s="80"/>
      <c r="G21" s="80"/>
      <c r="H21" s="86"/>
      <c r="I21" s="127"/>
      <c r="K21" s="80"/>
      <c r="L21" s="80"/>
      <c r="M21" s="80"/>
      <c r="N21" s="80"/>
      <c r="O21" s="77"/>
      <c r="P21" s="77"/>
      <c r="Q21" s="77"/>
      <c r="R21" s="77"/>
    </row>
    <row r="22" spans="1:18" x14ac:dyDescent="0.3">
      <c r="A22" s="135"/>
      <c r="B22" s="80"/>
      <c r="C22" s="80"/>
      <c r="E22" s="80"/>
      <c r="F22" s="80"/>
      <c r="G22" s="80"/>
      <c r="H22" s="86"/>
      <c r="I22" s="127"/>
      <c r="K22" s="80"/>
      <c r="L22" s="80"/>
      <c r="M22" s="80"/>
      <c r="N22" s="80"/>
      <c r="O22" s="77"/>
      <c r="P22" s="77"/>
      <c r="Q22" s="77"/>
      <c r="R22" s="77"/>
    </row>
    <row r="23" spans="1:18" x14ac:dyDescent="0.3">
      <c r="A23" s="135"/>
      <c r="B23" s="80"/>
      <c r="C23" s="80"/>
      <c r="E23" s="80"/>
      <c r="F23" s="80"/>
      <c r="G23" s="80"/>
      <c r="H23" s="86"/>
      <c r="I23" s="127"/>
      <c r="K23" s="80"/>
      <c r="L23" s="80"/>
      <c r="M23" s="80"/>
      <c r="N23" s="80"/>
      <c r="O23" s="77"/>
      <c r="P23" s="77"/>
      <c r="Q23" s="77"/>
      <c r="R23" s="77"/>
    </row>
    <row r="24" spans="1:18" x14ac:dyDescent="0.3">
      <c r="A24" s="135"/>
      <c r="B24" s="80"/>
      <c r="C24" s="80"/>
      <c r="E24" s="80"/>
      <c r="F24" s="80"/>
      <c r="G24" s="80"/>
      <c r="H24" s="86"/>
      <c r="I24" s="127"/>
      <c r="K24" s="80"/>
      <c r="L24" s="80"/>
      <c r="M24" s="80"/>
      <c r="N24" s="80"/>
      <c r="O24" s="77"/>
      <c r="P24" s="77"/>
      <c r="Q24" s="77"/>
      <c r="R24" s="77"/>
    </row>
    <row r="25" spans="1:18" x14ac:dyDescent="0.3">
      <c r="A25" s="135"/>
      <c r="B25" s="80"/>
      <c r="C25" s="80"/>
      <c r="E25" s="80"/>
      <c r="F25" s="80"/>
      <c r="G25" s="80"/>
      <c r="H25" s="86"/>
      <c r="I25" s="127"/>
      <c r="K25" s="80"/>
      <c r="L25" s="80"/>
      <c r="M25" s="80"/>
      <c r="N25" s="80"/>
      <c r="O25" s="77"/>
      <c r="P25" s="77"/>
      <c r="Q25" s="77"/>
      <c r="R25" s="77"/>
    </row>
    <row r="26" spans="1:18" x14ac:dyDescent="0.3">
      <c r="A26" s="135"/>
      <c r="B26" s="80"/>
      <c r="C26" s="80"/>
      <c r="E26" s="80"/>
      <c r="F26" s="80"/>
      <c r="G26" s="80"/>
      <c r="H26" s="86"/>
      <c r="I26" s="127"/>
      <c r="K26" s="80"/>
      <c r="L26" s="80"/>
      <c r="M26" s="80"/>
      <c r="N26" s="80"/>
      <c r="O26" s="77"/>
      <c r="P26" s="77"/>
      <c r="Q26" s="77"/>
      <c r="R26" s="77"/>
    </row>
    <row r="27" spans="1:18" x14ac:dyDescent="0.3">
      <c r="I27" s="15"/>
    </row>
    <row r="28" spans="1:18" x14ac:dyDescent="0.3">
      <c r="I28" s="15"/>
    </row>
    <row r="29" spans="1:18" x14ac:dyDescent="0.3">
      <c r="I29" s="15"/>
    </row>
    <row r="30" spans="1:18" x14ac:dyDescent="0.3">
      <c r="I30" s="15"/>
    </row>
    <row r="31" spans="1:18" x14ac:dyDescent="0.3">
      <c r="I31" s="15"/>
    </row>
    <row r="32" spans="1:18" x14ac:dyDescent="0.3">
      <c r="I32" s="15"/>
    </row>
    <row r="33" spans="9:9" x14ac:dyDescent="0.3">
      <c r="I33" s="21"/>
    </row>
    <row r="34" spans="9:9" x14ac:dyDescent="0.3">
      <c r="I34" s="21"/>
    </row>
    <row r="35" spans="9:9" x14ac:dyDescent="0.3">
      <c r="I35" s="21"/>
    </row>
    <row r="36" spans="9:9" x14ac:dyDescent="0.3">
      <c r="I36" s="21"/>
    </row>
    <row r="37" spans="9:9" x14ac:dyDescent="0.3">
      <c r="I37" s="21"/>
    </row>
    <row r="38" spans="9:9" x14ac:dyDescent="0.3">
      <c r="I38" s="21"/>
    </row>
    <row r="39" spans="9:9" x14ac:dyDescent="0.3">
      <c r="I39" s="21"/>
    </row>
    <row r="40" spans="9:9" x14ac:dyDescent="0.3">
      <c r="I40" s="21"/>
    </row>
    <row r="41" spans="9:9" x14ac:dyDescent="0.3">
      <c r="I41" s="21"/>
    </row>
    <row r="42" spans="9:9" x14ac:dyDescent="0.3">
      <c r="I42" s="21"/>
    </row>
    <row r="43" spans="9:9" x14ac:dyDescent="0.3">
      <c r="I43" s="21"/>
    </row>
    <row r="44" spans="9:9" x14ac:dyDescent="0.3">
      <c r="I44" s="21"/>
    </row>
    <row r="45" spans="9:9" x14ac:dyDescent="0.3">
      <c r="I45" s="21"/>
    </row>
    <row r="46" spans="9:9" x14ac:dyDescent="0.3">
      <c r="I46" s="21"/>
    </row>
    <row r="47" spans="9:9" x14ac:dyDescent="0.3">
      <c r="I47" s="21"/>
    </row>
    <row r="48" spans="9:9" x14ac:dyDescent="0.3">
      <c r="I48" s="21"/>
    </row>
    <row r="49" spans="9:9" x14ac:dyDescent="0.3">
      <c r="I49" s="21"/>
    </row>
    <row r="50" spans="9:9" x14ac:dyDescent="0.3">
      <c r="I50" s="21"/>
    </row>
    <row r="51" spans="9:9" x14ac:dyDescent="0.3">
      <c r="I51" s="21"/>
    </row>
    <row r="52" spans="9:9" x14ac:dyDescent="0.3">
      <c r="I52" s="21"/>
    </row>
    <row r="53" spans="9:9" x14ac:dyDescent="0.3">
      <c r="I53" s="21"/>
    </row>
    <row r="54" spans="9:9" x14ac:dyDescent="0.3">
      <c r="I54" s="21"/>
    </row>
    <row r="55" spans="9:9" x14ac:dyDescent="0.3">
      <c r="I55" s="21"/>
    </row>
    <row r="56" spans="9:9" x14ac:dyDescent="0.3">
      <c r="I56" s="21"/>
    </row>
    <row r="57" spans="9:9" x14ac:dyDescent="0.3">
      <c r="I57" s="21"/>
    </row>
    <row r="58" spans="9:9" x14ac:dyDescent="0.3">
      <c r="I58" s="21"/>
    </row>
    <row r="59" spans="9:9" x14ac:dyDescent="0.3">
      <c r="I59" s="21"/>
    </row>
    <row r="60" spans="9:9" x14ac:dyDescent="0.3">
      <c r="I60" s="21"/>
    </row>
    <row r="61" spans="9:9" x14ac:dyDescent="0.3">
      <c r="I61" s="21"/>
    </row>
    <row r="62" spans="9:9" x14ac:dyDescent="0.3">
      <c r="I62" s="21"/>
    </row>
    <row r="63" spans="9:9" x14ac:dyDescent="0.3">
      <c r="I63" s="21"/>
    </row>
    <row r="64" spans="9:9" x14ac:dyDescent="0.3">
      <c r="I64" s="21"/>
    </row>
    <row r="65" spans="9:9" x14ac:dyDescent="0.3">
      <c r="I65" s="21"/>
    </row>
    <row r="66" spans="9:9" x14ac:dyDescent="0.3">
      <c r="I66" s="21"/>
    </row>
    <row r="67" spans="9:9" x14ac:dyDescent="0.3">
      <c r="I67" s="21"/>
    </row>
    <row r="68" spans="9:9" x14ac:dyDescent="0.3">
      <c r="I68" s="21"/>
    </row>
    <row r="69" spans="9:9" x14ac:dyDescent="0.3">
      <c r="I69" s="21"/>
    </row>
    <row r="70" spans="9:9" x14ac:dyDescent="0.3">
      <c r="I70" s="21"/>
    </row>
    <row r="71" spans="9:9" x14ac:dyDescent="0.3">
      <c r="I71" s="21"/>
    </row>
    <row r="72" spans="9:9" x14ac:dyDescent="0.3">
      <c r="I72" s="21"/>
    </row>
    <row r="73" spans="9:9" x14ac:dyDescent="0.3">
      <c r="I73" s="15"/>
    </row>
    <row r="74" spans="9:9" x14ac:dyDescent="0.3">
      <c r="I74" s="21"/>
    </row>
    <row r="75" spans="9:9" x14ac:dyDescent="0.3">
      <c r="I75" s="21"/>
    </row>
    <row r="76" spans="9:9" x14ac:dyDescent="0.3">
      <c r="I76" s="21"/>
    </row>
    <row r="77" spans="9:9" x14ac:dyDescent="0.3">
      <c r="I77" s="21"/>
    </row>
    <row r="78" spans="9:9" x14ac:dyDescent="0.3">
      <c r="I78" s="21"/>
    </row>
    <row r="79" spans="9:9" x14ac:dyDescent="0.3">
      <c r="I79" s="21"/>
    </row>
    <row r="80" spans="9:9"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15"/>
    </row>
    <row r="95" spans="9:9" x14ac:dyDescent="0.3">
      <c r="I95" s="21"/>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15"/>
    </row>
    <row r="114" spans="9:9" x14ac:dyDescent="0.3">
      <c r="I114"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outlinePr summaryBelow="0"/>
  </sheetPr>
  <dimension ref="A1:T115"/>
  <sheetViews>
    <sheetView topLeftCell="E1" zoomScale="70" zoomScaleNormal="70" workbookViewId="0">
      <selection activeCell="G9" sqref="G9"/>
    </sheetView>
  </sheetViews>
  <sheetFormatPr defaultRowHeight="14.4" x14ac:dyDescent="0.3"/>
  <cols>
    <col min="1" max="1" width="3.109375" style="27" bestFit="1" customWidth="1"/>
    <col min="2" max="3" width="9.109375" style="28" bestFit="1" customWidth="1"/>
    <col min="4" max="4" width="21" style="77" bestFit="1" customWidth="1"/>
    <col min="5" max="5" width="58.109375" style="84" bestFit="1" customWidth="1"/>
    <col min="6" max="6" width="35.109375" style="28" bestFit="1" customWidth="1"/>
    <col min="7" max="7" width="54.5546875" style="84" bestFit="1" customWidth="1"/>
    <col min="8" max="8" width="15.33203125" style="29" bestFit="1" customWidth="1"/>
    <col min="9" max="9" width="19.88671875" style="27" customWidth="1"/>
    <col min="10" max="10" width="27.88671875" style="80" bestFit="1" customWidth="1"/>
    <col min="11" max="11" width="10.44140625" style="30" bestFit="1" customWidth="1"/>
    <col min="12" max="12" width="10.44140625" style="28" bestFit="1" customWidth="1"/>
    <col min="13" max="13" width="11.44140625" style="52" bestFit="1" customWidth="1"/>
    <col min="14" max="14" width="14" style="30" bestFit="1" customWidth="1"/>
    <col min="15" max="16" width="11.44140625" style="28" bestFit="1" customWidth="1"/>
    <col min="17" max="20" width="8.88671875" bestFit="1" customWidth="1"/>
  </cols>
  <sheetData>
    <row r="1" spans="1:20" ht="43.2" x14ac:dyDescent="0.3">
      <c r="A1" s="1" t="s">
        <v>24</v>
      </c>
      <c r="B1" s="2" t="s">
        <v>25</v>
      </c>
      <c r="C1" s="2" t="s">
        <v>26</v>
      </c>
      <c r="D1" s="75" t="s">
        <v>27</v>
      </c>
      <c r="E1" s="78" t="s">
        <v>28</v>
      </c>
      <c r="F1" s="2" t="s">
        <v>29</v>
      </c>
      <c r="G1" s="78" t="s">
        <v>30</v>
      </c>
      <c r="H1" s="32" t="s">
        <v>31</v>
      </c>
      <c r="I1" s="3" t="s">
        <v>1947</v>
      </c>
      <c r="J1" s="88" t="s">
        <v>32</v>
      </c>
      <c r="K1" s="49" t="s">
        <v>218</v>
      </c>
      <c r="L1" s="33" t="s">
        <v>219</v>
      </c>
      <c r="M1" s="49" t="s">
        <v>220</v>
      </c>
      <c r="N1" s="50" t="s">
        <v>36</v>
      </c>
      <c r="O1" s="5" t="s">
        <v>37</v>
      </c>
      <c r="P1" s="5" t="s">
        <v>38</v>
      </c>
      <c r="Q1" s="11" t="s">
        <v>41</v>
      </c>
      <c r="R1" s="11" t="s">
        <v>42</v>
      </c>
      <c r="S1" s="11" t="s">
        <v>43</v>
      </c>
      <c r="T1" s="11" t="s">
        <v>44</v>
      </c>
    </row>
    <row r="2" spans="1:20" ht="72" x14ac:dyDescent="0.3">
      <c r="A2" s="127">
        <v>1</v>
      </c>
      <c r="B2" s="79" t="str">
        <f>C2</f>
        <v>N</v>
      </c>
      <c r="C2" s="79" t="s">
        <v>113</v>
      </c>
      <c r="D2" s="76" t="s">
        <v>248</v>
      </c>
      <c r="E2" s="79" t="s">
        <v>249</v>
      </c>
      <c r="F2" s="79" t="s">
        <v>250</v>
      </c>
      <c r="G2" s="79" t="s">
        <v>251</v>
      </c>
      <c r="H2" s="110">
        <v>200</v>
      </c>
      <c r="I2" s="131"/>
      <c r="J2" s="79" t="s">
        <v>225</v>
      </c>
      <c r="K2" s="131"/>
      <c r="L2" s="79"/>
      <c r="M2" s="131">
        <v>1807626120391</v>
      </c>
      <c r="N2" s="131" t="s">
        <v>816</v>
      </c>
      <c r="O2" s="79" t="s">
        <v>23</v>
      </c>
      <c r="P2" s="79" t="s">
        <v>51</v>
      </c>
      <c r="Q2" s="77"/>
      <c r="R2" s="77"/>
    </row>
    <row r="3" spans="1:20" ht="57.6" x14ac:dyDescent="0.3">
      <c r="A3" s="127">
        <v>2</v>
      </c>
      <c r="B3" s="79" t="str">
        <f t="shared" ref="B3:B60" si="0">C3</f>
        <v>N</v>
      </c>
      <c r="C3" s="79" t="s">
        <v>113</v>
      </c>
      <c r="D3" s="76" t="s">
        <v>253</v>
      </c>
      <c r="E3" s="79" t="s">
        <v>254</v>
      </c>
      <c r="F3" s="79" t="s">
        <v>255</v>
      </c>
      <c r="G3" s="79" t="s">
        <v>256</v>
      </c>
      <c r="H3" s="110" t="s">
        <v>942</v>
      </c>
      <c r="I3" s="131"/>
      <c r="J3" s="79" t="s">
        <v>225</v>
      </c>
      <c r="K3" s="131">
        <v>10218</v>
      </c>
      <c r="L3" s="79" t="s">
        <v>434</v>
      </c>
      <c r="M3" s="131"/>
      <c r="N3" s="131">
        <v>1042346954</v>
      </c>
      <c r="O3" s="79" t="s">
        <v>60</v>
      </c>
      <c r="P3" s="79" t="s">
        <v>51</v>
      </c>
      <c r="Q3" s="77"/>
      <c r="R3" s="77"/>
    </row>
    <row r="4" spans="1:20" ht="57.6" x14ac:dyDescent="0.3">
      <c r="A4" s="127">
        <v>3</v>
      </c>
      <c r="B4" s="79" t="str">
        <f t="shared" si="0"/>
        <v>N</v>
      </c>
      <c r="C4" s="79" t="s">
        <v>113</v>
      </c>
      <c r="D4" s="76" t="s">
        <v>430</v>
      </c>
      <c r="E4" s="79" t="s">
        <v>431</v>
      </c>
      <c r="F4" s="79" t="s">
        <v>432</v>
      </c>
      <c r="G4" s="79" t="s">
        <v>433</v>
      </c>
      <c r="H4" s="110">
        <v>403</v>
      </c>
      <c r="I4" s="131"/>
      <c r="J4" s="79" t="s">
        <v>225</v>
      </c>
      <c r="K4" s="131">
        <v>10218</v>
      </c>
      <c r="L4" s="79" t="s">
        <v>434</v>
      </c>
      <c r="M4" s="131"/>
      <c r="N4" s="131">
        <v>1042346954</v>
      </c>
      <c r="O4" s="79" t="s">
        <v>60</v>
      </c>
      <c r="P4" s="79" t="s">
        <v>51</v>
      </c>
      <c r="Q4" s="77"/>
      <c r="R4" s="77"/>
    </row>
    <row r="5" spans="1:20" ht="57.6" x14ac:dyDescent="0.3">
      <c r="A5" s="127">
        <v>4</v>
      </c>
      <c r="B5" s="79" t="str">
        <f t="shared" si="0"/>
        <v>N</v>
      </c>
      <c r="C5" s="79" t="s">
        <v>113</v>
      </c>
      <c r="D5" s="76" t="s">
        <v>943</v>
      </c>
      <c r="E5" s="79" t="s">
        <v>944</v>
      </c>
      <c r="F5" s="79" t="s">
        <v>260</v>
      </c>
      <c r="G5" s="79" t="s">
        <v>261</v>
      </c>
      <c r="H5" s="110">
        <v>200</v>
      </c>
      <c r="I5" s="131"/>
      <c r="J5" s="79" t="s">
        <v>225</v>
      </c>
      <c r="K5" s="131">
        <v>10218</v>
      </c>
      <c r="L5" s="79" t="s">
        <v>434</v>
      </c>
      <c r="M5" s="131"/>
      <c r="N5" s="131">
        <v>1042346954</v>
      </c>
      <c r="O5" s="79" t="s">
        <v>60</v>
      </c>
      <c r="P5" s="79" t="s">
        <v>51</v>
      </c>
      <c r="Q5" s="77"/>
      <c r="R5" s="77"/>
    </row>
    <row r="6" spans="1:20" ht="86.4" x14ac:dyDescent="0.3">
      <c r="A6" s="127">
        <v>5</v>
      </c>
      <c r="B6" s="79" t="str">
        <f t="shared" si="0"/>
        <v>N</v>
      </c>
      <c r="C6" s="79" t="s">
        <v>113</v>
      </c>
      <c r="D6" s="76" t="s">
        <v>264</v>
      </c>
      <c r="E6" s="79" t="s">
        <v>265</v>
      </c>
      <c r="F6" s="79" t="s">
        <v>266</v>
      </c>
      <c r="G6" s="79" t="s">
        <v>267</v>
      </c>
      <c r="H6" s="110">
        <v>200</v>
      </c>
      <c r="I6" s="131"/>
      <c r="J6" s="79" t="s">
        <v>225</v>
      </c>
      <c r="K6" s="131">
        <v>10218</v>
      </c>
      <c r="L6" s="79" t="s">
        <v>434</v>
      </c>
      <c r="M6" s="131"/>
      <c r="N6" s="131">
        <v>1042346954</v>
      </c>
      <c r="O6" s="79" t="s">
        <v>60</v>
      </c>
      <c r="P6" s="79" t="s">
        <v>51</v>
      </c>
      <c r="Q6" s="77"/>
      <c r="R6" s="77"/>
    </row>
    <row r="7" spans="1:20" ht="57.6" x14ac:dyDescent="0.3">
      <c r="A7" s="127">
        <v>6</v>
      </c>
      <c r="B7" s="79" t="str">
        <f t="shared" si="0"/>
        <v>N</v>
      </c>
      <c r="C7" s="79" t="s">
        <v>113</v>
      </c>
      <c r="D7" s="76" t="s">
        <v>269</v>
      </c>
      <c r="E7" s="79" t="s">
        <v>270</v>
      </c>
      <c r="F7" s="79" t="s">
        <v>271</v>
      </c>
      <c r="G7" s="79" t="s">
        <v>272</v>
      </c>
      <c r="H7" s="110" t="s">
        <v>942</v>
      </c>
      <c r="I7" s="131"/>
      <c r="J7" s="79" t="s">
        <v>225</v>
      </c>
      <c r="K7" s="131">
        <v>10218</v>
      </c>
      <c r="L7" s="79" t="s">
        <v>434</v>
      </c>
      <c r="M7" s="131"/>
      <c r="N7" s="131">
        <v>1042346954</v>
      </c>
      <c r="O7" s="79" t="s">
        <v>60</v>
      </c>
      <c r="P7" s="79" t="s">
        <v>51</v>
      </c>
      <c r="Q7" s="77"/>
      <c r="R7" s="77"/>
    </row>
    <row r="8" spans="1:20" ht="57.6" x14ac:dyDescent="0.3">
      <c r="A8" s="127">
        <v>7</v>
      </c>
      <c r="B8" s="79" t="str">
        <f t="shared" si="0"/>
        <v>N</v>
      </c>
      <c r="C8" s="79" t="s">
        <v>113</v>
      </c>
      <c r="D8" s="76" t="s">
        <v>274</v>
      </c>
      <c r="E8" s="79" t="s">
        <v>275</v>
      </c>
      <c r="F8" s="79" t="s">
        <v>276</v>
      </c>
      <c r="G8" s="79" t="s">
        <v>272</v>
      </c>
      <c r="H8" s="110" t="s">
        <v>942</v>
      </c>
      <c r="I8" s="131"/>
      <c r="J8" s="79" t="s">
        <v>225</v>
      </c>
      <c r="K8" s="131">
        <v>10218</v>
      </c>
      <c r="L8" s="79" t="s">
        <v>434</v>
      </c>
      <c r="M8" s="131"/>
      <c r="N8" s="131">
        <v>1042346954</v>
      </c>
      <c r="O8" s="79" t="s">
        <v>60</v>
      </c>
      <c r="P8" s="79" t="s">
        <v>51</v>
      </c>
      <c r="Q8" s="77"/>
      <c r="R8" s="77"/>
    </row>
    <row r="9" spans="1:20" ht="57.6" x14ac:dyDescent="0.3">
      <c r="A9" s="127">
        <v>8</v>
      </c>
      <c r="B9" s="79" t="str">
        <f t="shared" si="0"/>
        <v>N</v>
      </c>
      <c r="C9" s="79" t="s">
        <v>113</v>
      </c>
      <c r="D9" s="76" t="s">
        <v>435</v>
      </c>
      <c r="E9" s="79" t="s">
        <v>436</v>
      </c>
      <c r="F9" s="79" t="s">
        <v>437</v>
      </c>
      <c r="G9" s="79" t="s">
        <v>438</v>
      </c>
      <c r="H9" s="110">
        <v>400</v>
      </c>
      <c r="I9" s="131"/>
      <c r="J9" s="79" t="s">
        <v>225</v>
      </c>
      <c r="K9" s="131">
        <v>10218</v>
      </c>
      <c r="L9" s="79" t="s">
        <v>434</v>
      </c>
      <c r="M9" s="131"/>
      <c r="N9" s="131">
        <v>1042346954</v>
      </c>
      <c r="O9" s="79" t="s">
        <v>60</v>
      </c>
      <c r="P9" s="79" t="s">
        <v>51</v>
      </c>
      <c r="Q9" s="77"/>
      <c r="R9" s="77"/>
    </row>
    <row r="10" spans="1:20" ht="72" x14ac:dyDescent="0.3">
      <c r="A10" s="127">
        <v>9</v>
      </c>
      <c r="B10" s="79" t="str">
        <f t="shared" si="0"/>
        <v>N</v>
      </c>
      <c r="C10" s="79" t="s">
        <v>113</v>
      </c>
      <c r="D10" s="76" t="s">
        <v>277</v>
      </c>
      <c r="E10" s="79" t="s">
        <v>278</v>
      </c>
      <c r="F10" s="79" t="s">
        <v>279</v>
      </c>
      <c r="G10" s="79" t="s">
        <v>280</v>
      </c>
      <c r="H10" s="110">
        <v>200</v>
      </c>
      <c r="I10" s="131"/>
      <c r="J10" s="79" t="s">
        <v>225</v>
      </c>
      <c r="K10" s="131">
        <v>10218</v>
      </c>
      <c r="L10" s="79" t="s">
        <v>434</v>
      </c>
      <c r="M10" s="131"/>
      <c r="N10" s="131">
        <v>1042346954</v>
      </c>
      <c r="O10" s="79" t="s">
        <v>60</v>
      </c>
      <c r="P10" s="79" t="s">
        <v>51</v>
      </c>
      <c r="Q10" s="77"/>
      <c r="R10" s="77"/>
    </row>
    <row r="11" spans="1:20" ht="57.6" x14ac:dyDescent="0.3">
      <c r="A11" s="127">
        <v>10</v>
      </c>
      <c r="B11" s="79" t="str">
        <f t="shared" si="0"/>
        <v>N</v>
      </c>
      <c r="C11" s="79" t="s">
        <v>113</v>
      </c>
      <c r="D11" s="76" t="s">
        <v>281</v>
      </c>
      <c r="E11" s="79" t="s">
        <v>282</v>
      </c>
      <c r="F11" s="79" t="s">
        <v>283</v>
      </c>
      <c r="G11" s="79" t="s">
        <v>284</v>
      </c>
      <c r="H11" s="110">
        <v>400</v>
      </c>
      <c r="I11" s="131"/>
      <c r="J11" s="79" t="s">
        <v>225</v>
      </c>
      <c r="K11" s="131">
        <v>10218</v>
      </c>
      <c r="L11" s="79" t="s">
        <v>434</v>
      </c>
      <c r="M11" s="131"/>
      <c r="N11" s="131">
        <v>1042346954</v>
      </c>
      <c r="O11" s="79" t="s">
        <v>60</v>
      </c>
      <c r="P11" s="79" t="s">
        <v>51</v>
      </c>
      <c r="Q11" s="77"/>
      <c r="R11" s="77"/>
    </row>
    <row r="12" spans="1:20" ht="57.6" x14ac:dyDescent="0.3">
      <c r="A12" s="127">
        <v>11</v>
      </c>
      <c r="B12" s="79" t="str">
        <f t="shared" si="0"/>
        <v>N</v>
      </c>
      <c r="C12" s="79" t="s">
        <v>113</v>
      </c>
      <c r="D12" s="76" t="s">
        <v>285</v>
      </c>
      <c r="E12" s="79" t="s">
        <v>286</v>
      </c>
      <c r="F12" s="79" t="s">
        <v>287</v>
      </c>
      <c r="G12" s="79" t="s">
        <v>288</v>
      </c>
      <c r="H12" s="110">
        <v>400</v>
      </c>
      <c r="I12" s="131"/>
      <c r="J12" s="79" t="s">
        <v>225</v>
      </c>
      <c r="K12" s="131">
        <v>10218</v>
      </c>
      <c r="L12" s="79" t="s">
        <v>434</v>
      </c>
      <c r="M12" s="131"/>
      <c r="N12" s="131">
        <v>1042346954</v>
      </c>
      <c r="O12" s="79" t="s">
        <v>60</v>
      </c>
      <c r="P12" s="79" t="s">
        <v>51</v>
      </c>
      <c r="Q12" s="77"/>
      <c r="R12" s="77"/>
    </row>
    <row r="13" spans="1:20" ht="72" x14ac:dyDescent="0.3">
      <c r="A13" s="127">
        <v>12</v>
      </c>
      <c r="B13" s="79" t="str">
        <f t="shared" si="0"/>
        <v>N</v>
      </c>
      <c r="C13" s="79" t="s">
        <v>113</v>
      </c>
      <c r="D13" s="76" t="s">
        <v>289</v>
      </c>
      <c r="E13" s="79" t="s">
        <v>290</v>
      </c>
      <c r="F13" s="79" t="s">
        <v>291</v>
      </c>
      <c r="G13" s="79" t="s">
        <v>280</v>
      </c>
      <c r="H13" s="110">
        <v>200</v>
      </c>
      <c r="I13" s="131"/>
      <c r="J13" s="79" t="s">
        <v>225</v>
      </c>
      <c r="K13" s="131">
        <v>10218</v>
      </c>
      <c r="L13" s="79" t="s">
        <v>434</v>
      </c>
      <c r="M13" s="131"/>
      <c r="N13" s="131">
        <v>1042346954</v>
      </c>
      <c r="O13" s="79" t="s">
        <v>60</v>
      </c>
      <c r="P13" s="79" t="s">
        <v>51</v>
      </c>
      <c r="Q13" s="77"/>
      <c r="R13" s="77"/>
    </row>
    <row r="14" spans="1:20" ht="57.6" x14ac:dyDescent="0.3">
      <c r="A14" s="127">
        <v>13</v>
      </c>
      <c r="B14" s="79" t="str">
        <f t="shared" si="0"/>
        <v>N</v>
      </c>
      <c r="C14" s="79" t="s">
        <v>113</v>
      </c>
      <c r="D14" s="76" t="s">
        <v>292</v>
      </c>
      <c r="E14" s="79" t="s">
        <v>293</v>
      </c>
      <c r="F14" s="79" t="s">
        <v>294</v>
      </c>
      <c r="G14" s="79" t="s">
        <v>295</v>
      </c>
      <c r="H14" s="110">
        <v>400</v>
      </c>
      <c r="I14" s="127"/>
      <c r="J14" s="79" t="s">
        <v>225</v>
      </c>
      <c r="K14" s="131">
        <v>10218</v>
      </c>
      <c r="L14" s="79" t="s">
        <v>434</v>
      </c>
      <c r="M14" s="131"/>
      <c r="N14" s="131">
        <v>1042346954</v>
      </c>
      <c r="O14" s="79" t="s">
        <v>60</v>
      </c>
      <c r="P14" s="79" t="s">
        <v>51</v>
      </c>
      <c r="Q14" s="77"/>
      <c r="R14" s="77"/>
    </row>
    <row r="15" spans="1:20" ht="57.6" x14ac:dyDescent="0.3">
      <c r="A15" s="127">
        <v>14</v>
      </c>
      <c r="B15" s="79" t="str">
        <f t="shared" si="0"/>
        <v>N</v>
      </c>
      <c r="C15" s="79" t="s">
        <v>113</v>
      </c>
      <c r="D15" s="76" t="s">
        <v>221</v>
      </c>
      <c r="E15" s="79" t="s">
        <v>222</v>
      </c>
      <c r="F15" s="79" t="s">
        <v>223</v>
      </c>
      <c r="G15" s="79" t="s">
        <v>224</v>
      </c>
      <c r="H15" s="110">
        <v>400</v>
      </c>
      <c r="I15" s="127"/>
      <c r="J15" s="79" t="s">
        <v>225</v>
      </c>
      <c r="K15" s="131">
        <v>10218</v>
      </c>
      <c r="L15" s="79" t="s">
        <v>434</v>
      </c>
      <c r="M15" s="131"/>
      <c r="N15" s="131">
        <v>1042346954</v>
      </c>
      <c r="O15" s="79" t="s">
        <v>60</v>
      </c>
      <c r="P15" s="79" t="s">
        <v>51</v>
      </c>
      <c r="Q15" s="77"/>
      <c r="R15" s="77"/>
    </row>
    <row r="16" spans="1:20" ht="57.6" x14ac:dyDescent="0.3">
      <c r="A16" s="127">
        <v>15</v>
      </c>
      <c r="B16" s="79" t="str">
        <f t="shared" si="0"/>
        <v>N</v>
      </c>
      <c r="C16" s="79" t="s">
        <v>113</v>
      </c>
      <c r="D16" s="76" t="s">
        <v>227</v>
      </c>
      <c r="E16" s="79" t="s">
        <v>228</v>
      </c>
      <c r="F16" s="79" t="s">
        <v>229</v>
      </c>
      <c r="G16" s="79" t="s">
        <v>224</v>
      </c>
      <c r="H16" s="110">
        <v>400</v>
      </c>
      <c r="I16" s="127"/>
      <c r="J16" s="79" t="s">
        <v>225</v>
      </c>
      <c r="K16" s="131">
        <v>10218</v>
      </c>
      <c r="L16" s="79" t="s">
        <v>434</v>
      </c>
      <c r="M16" s="131"/>
      <c r="N16" s="131">
        <v>1042346954</v>
      </c>
      <c r="O16" s="79" t="s">
        <v>60</v>
      </c>
      <c r="P16" s="79" t="s">
        <v>51</v>
      </c>
      <c r="Q16" s="77"/>
      <c r="R16" s="77"/>
    </row>
    <row r="17" spans="1:18" ht="57.6" x14ac:dyDescent="0.3">
      <c r="A17" s="127">
        <v>16</v>
      </c>
      <c r="B17" s="79" t="str">
        <f t="shared" si="0"/>
        <v>N</v>
      </c>
      <c r="C17" s="79" t="s">
        <v>113</v>
      </c>
      <c r="D17" s="76" t="s">
        <v>297</v>
      </c>
      <c r="E17" s="79" t="s">
        <v>298</v>
      </c>
      <c r="F17" s="79" t="s">
        <v>299</v>
      </c>
      <c r="G17" s="79" t="s">
        <v>300</v>
      </c>
      <c r="H17" s="110">
        <v>400</v>
      </c>
      <c r="I17" s="127"/>
      <c r="J17" s="79" t="s">
        <v>225</v>
      </c>
      <c r="K17" s="131">
        <v>10218</v>
      </c>
      <c r="L17" s="79" t="s">
        <v>434</v>
      </c>
      <c r="M17" s="131"/>
      <c r="N17" s="131">
        <v>1042346954</v>
      </c>
      <c r="O17" s="79" t="s">
        <v>60</v>
      </c>
      <c r="P17" s="79" t="s">
        <v>51</v>
      </c>
      <c r="Q17" s="77"/>
      <c r="R17" s="77"/>
    </row>
    <row r="18" spans="1:18" ht="72" x14ac:dyDescent="0.3">
      <c r="A18" s="127">
        <v>17</v>
      </c>
      <c r="B18" s="79" t="str">
        <f t="shared" si="0"/>
        <v>N</v>
      </c>
      <c r="C18" s="79" t="s">
        <v>113</v>
      </c>
      <c r="D18" s="76" t="s">
        <v>440</v>
      </c>
      <c r="E18" s="79" t="s">
        <v>441</v>
      </c>
      <c r="F18" s="79" t="s">
        <v>442</v>
      </c>
      <c r="G18" s="79" t="s">
        <v>443</v>
      </c>
      <c r="H18" s="110">
        <v>403</v>
      </c>
      <c r="I18" s="127"/>
      <c r="J18" s="79" t="s">
        <v>225</v>
      </c>
      <c r="K18" s="131">
        <v>10218</v>
      </c>
      <c r="L18" s="79" t="s">
        <v>434</v>
      </c>
      <c r="M18" s="131"/>
      <c r="N18" s="131">
        <v>1042346954</v>
      </c>
      <c r="O18" s="79" t="s">
        <v>60</v>
      </c>
      <c r="P18" s="79" t="s">
        <v>51</v>
      </c>
      <c r="Q18" s="77"/>
      <c r="R18" s="77"/>
    </row>
    <row r="19" spans="1:18" ht="172.8" x14ac:dyDescent="0.3">
      <c r="A19" s="127">
        <v>18</v>
      </c>
      <c r="B19" s="79" t="str">
        <f t="shared" si="0"/>
        <v>N</v>
      </c>
      <c r="C19" s="79" t="s">
        <v>113</v>
      </c>
      <c r="D19" s="76" t="s">
        <v>301</v>
      </c>
      <c r="E19" s="79" t="s">
        <v>945</v>
      </c>
      <c r="F19" s="79" t="s">
        <v>303</v>
      </c>
      <c r="G19" s="79" t="s">
        <v>946</v>
      </c>
      <c r="H19" s="110">
        <v>200</v>
      </c>
      <c r="I19" s="127"/>
      <c r="J19" s="79" t="s">
        <v>225</v>
      </c>
      <c r="K19" s="131">
        <v>10218</v>
      </c>
      <c r="L19" s="79" t="s">
        <v>434</v>
      </c>
      <c r="M19" s="131"/>
      <c r="N19" s="131">
        <v>1042346954</v>
      </c>
      <c r="O19" s="79" t="s">
        <v>60</v>
      </c>
      <c r="P19" s="79" t="s">
        <v>51</v>
      </c>
      <c r="Q19" s="77"/>
      <c r="R19" s="77"/>
    </row>
    <row r="20" spans="1:18" ht="172.8" x14ac:dyDescent="0.3">
      <c r="A20" s="127">
        <v>19</v>
      </c>
      <c r="B20" s="79" t="str">
        <f t="shared" si="0"/>
        <v>N</v>
      </c>
      <c r="C20" s="79" t="s">
        <v>113</v>
      </c>
      <c r="D20" s="76" t="s">
        <v>306</v>
      </c>
      <c r="E20" s="79" t="s">
        <v>307</v>
      </c>
      <c r="F20" s="79" t="s">
        <v>308</v>
      </c>
      <c r="G20" s="79" t="s">
        <v>309</v>
      </c>
      <c r="H20" s="110">
        <v>200</v>
      </c>
      <c r="I20" s="127"/>
      <c r="J20" s="79" t="s">
        <v>225</v>
      </c>
      <c r="K20" s="131">
        <v>10218</v>
      </c>
      <c r="L20" s="79" t="s">
        <v>434</v>
      </c>
      <c r="M20" s="131"/>
      <c r="N20" s="131">
        <v>1042346954</v>
      </c>
      <c r="O20" s="79" t="s">
        <v>60</v>
      </c>
      <c r="P20" s="79" t="s">
        <v>51</v>
      </c>
      <c r="Q20" s="77"/>
      <c r="R20" s="77"/>
    </row>
    <row r="21" spans="1:18" ht="57.6" x14ac:dyDescent="0.3">
      <c r="A21" s="127">
        <v>20</v>
      </c>
      <c r="B21" s="79" t="str">
        <f t="shared" si="0"/>
        <v>N</v>
      </c>
      <c r="C21" s="79" t="s">
        <v>113</v>
      </c>
      <c r="D21" s="76" t="s">
        <v>311</v>
      </c>
      <c r="E21" s="79" t="s">
        <v>312</v>
      </c>
      <c r="F21" s="79" t="s">
        <v>313</v>
      </c>
      <c r="G21" s="79" t="s">
        <v>314</v>
      </c>
      <c r="H21" s="110" t="s">
        <v>947</v>
      </c>
      <c r="I21" s="127"/>
      <c r="J21" s="79" t="s">
        <v>225</v>
      </c>
      <c r="K21" s="131">
        <v>10218</v>
      </c>
      <c r="L21" s="79" t="s">
        <v>434</v>
      </c>
      <c r="M21" s="131"/>
      <c r="N21" s="131">
        <v>1042346954</v>
      </c>
      <c r="O21" s="79" t="s">
        <v>60</v>
      </c>
      <c r="P21" s="79" t="s">
        <v>51</v>
      </c>
      <c r="Q21" s="77"/>
      <c r="R21" s="77"/>
    </row>
    <row r="22" spans="1:18" ht="57.6" x14ac:dyDescent="0.3">
      <c r="A22" s="127">
        <v>21</v>
      </c>
      <c r="B22" s="79" t="str">
        <f t="shared" si="0"/>
        <v>N</v>
      </c>
      <c r="C22" s="79" t="s">
        <v>113</v>
      </c>
      <c r="D22" s="76" t="s">
        <v>315</v>
      </c>
      <c r="E22" s="79" t="s">
        <v>316</v>
      </c>
      <c r="F22" s="79" t="s">
        <v>317</v>
      </c>
      <c r="G22" s="79" t="s">
        <v>318</v>
      </c>
      <c r="H22" s="110">
        <v>401</v>
      </c>
      <c r="I22" s="127"/>
      <c r="J22" s="79" t="s">
        <v>225</v>
      </c>
      <c r="K22" s="131">
        <v>10218</v>
      </c>
      <c r="L22" s="79" t="s">
        <v>434</v>
      </c>
      <c r="M22" s="131"/>
      <c r="N22" s="131">
        <v>1042346954</v>
      </c>
      <c r="O22" s="79" t="s">
        <v>60</v>
      </c>
      <c r="P22" s="79" t="s">
        <v>51</v>
      </c>
      <c r="Q22" s="77"/>
      <c r="R22" s="77"/>
    </row>
    <row r="23" spans="1:18" ht="57.6" x14ac:dyDescent="0.3">
      <c r="A23" s="127">
        <v>22</v>
      </c>
      <c r="B23" s="79" t="str">
        <f t="shared" si="0"/>
        <v>N</v>
      </c>
      <c r="C23" s="79" t="s">
        <v>113</v>
      </c>
      <c r="D23" s="76" t="s">
        <v>444</v>
      </c>
      <c r="E23" s="79" t="s">
        <v>130</v>
      </c>
      <c r="F23" s="79" t="s">
        <v>446</v>
      </c>
      <c r="G23" s="79" t="s">
        <v>447</v>
      </c>
      <c r="H23" s="110">
        <v>403</v>
      </c>
      <c r="I23" s="127"/>
      <c r="J23" s="79" t="s">
        <v>225</v>
      </c>
      <c r="K23" s="131">
        <v>10218</v>
      </c>
      <c r="L23" s="79" t="s">
        <v>434</v>
      </c>
      <c r="M23" s="131"/>
      <c r="N23" s="131">
        <v>1042346954</v>
      </c>
      <c r="O23" s="79" t="s">
        <v>60</v>
      </c>
      <c r="P23" s="79" t="s">
        <v>51</v>
      </c>
      <c r="Q23" s="77"/>
      <c r="R23" s="77"/>
    </row>
    <row r="24" spans="1:18" ht="57.6" x14ac:dyDescent="0.3">
      <c r="A24" s="127">
        <v>23</v>
      </c>
      <c r="B24" s="79" t="str">
        <f t="shared" si="0"/>
        <v>N</v>
      </c>
      <c r="C24" s="79" t="s">
        <v>113</v>
      </c>
      <c r="D24" s="76" t="s">
        <v>448</v>
      </c>
      <c r="E24" s="79" t="s">
        <v>449</v>
      </c>
      <c r="F24" s="79" t="s">
        <v>450</v>
      </c>
      <c r="G24" s="79" t="s">
        <v>447</v>
      </c>
      <c r="H24" s="110">
        <v>403</v>
      </c>
      <c r="I24" s="127"/>
      <c r="J24" s="79" t="s">
        <v>225</v>
      </c>
      <c r="K24" s="131">
        <v>10218</v>
      </c>
      <c r="L24" s="79" t="s">
        <v>434</v>
      </c>
      <c r="M24" s="131"/>
      <c r="N24" s="131">
        <v>1042346954</v>
      </c>
      <c r="O24" s="79" t="s">
        <v>60</v>
      </c>
      <c r="P24" s="79" t="s">
        <v>51</v>
      </c>
      <c r="Q24" s="77"/>
      <c r="R24" s="77"/>
    </row>
    <row r="25" spans="1:18" ht="187.2" x14ac:dyDescent="0.3">
      <c r="A25" s="127">
        <v>24</v>
      </c>
      <c r="B25" s="79" t="str">
        <f t="shared" si="0"/>
        <v>N</v>
      </c>
      <c r="C25" s="79" t="s">
        <v>113</v>
      </c>
      <c r="D25" s="76" t="s">
        <v>319</v>
      </c>
      <c r="E25" s="79" t="s">
        <v>320</v>
      </c>
      <c r="F25" s="79" t="s">
        <v>321</v>
      </c>
      <c r="G25" s="79" t="s">
        <v>322</v>
      </c>
      <c r="H25" s="110">
        <v>200</v>
      </c>
      <c r="I25" s="127"/>
      <c r="J25" s="79" t="s">
        <v>225</v>
      </c>
      <c r="K25" s="131">
        <v>10218</v>
      </c>
      <c r="L25" s="79" t="s">
        <v>434</v>
      </c>
      <c r="M25" s="131"/>
      <c r="N25" s="131">
        <v>1042346954</v>
      </c>
      <c r="O25" s="79" t="s">
        <v>60</v>
      </c>
      <c r="P25" s="79" t="s">
        <v>51</v>
      </c>
      <c r="Q25" s="77"/>
      <c r="R25" s="77"/>
    </row>
    <row r="26" spans="1:18" ht="187.2" x14ac:dyDescent="0.3">
      <c r="A26" s="127">
        <v>25</v>
      </c>
      <c r="B26" s="79" t="str">
        <f t="shared" si="0"/>
        <v>N</v>
      </c>
      <c r="C26" s="79" t="s">
        <v>113</v>
      </c>
      <c r="D26" s="76" t="s">
        <v>324</v>
      </c>
      <c r="E26" s="79" t="s">
        <v>325</v>
      </c>
      <c r="F26" s="79" t="s">
        <v>326</v>
      </c>
      <c r="G26" s="79" t="s">
        <v>327</v>
      </c>
      <c r="H26" s="110">
        <v>200</v>
      </c>
      <c r="I26" s="127"/>
      <c r="J26" s="79" t="s">
        <v>225</v>
      </c>
      <c r="K26" s="131">
        <v>10218</v>
      </c>
      <c r="L26" s="79" t="s">
        <v>434</v>
      </c>
      <c r="M26" s="131"/>
      <c r="N26" s="131">
        <v>1042346954</v>
      </c>
      <c r="O26" s="79" t="s">
        <v>60</v>
      </c>
      <c r="P26" s="79" t="s">
        <v>51</v>
      </c>
      <c r="Q26" s="77"/>
      <c r="R26" s="77"/>
    </row>
    <row r="27" spans="1:18" ht="72" x14ac:dyDescent="0.3">
      <c r="A27" s="127">
        <v>26</v>
      </c>
      <c r="B27" s="79" t="str">
        <f t="shared" si="0"/>
        <v>N</v>
      </c>
      <c r="C27" s="79" t="s">
        <v>113</v>
      </c>
      <c r="D27" s="76" t="s">
        <v>329</v>
      </c>
      <c r="E27" s="79" t="s">
        <v>330</v>
      </c>
      <c r="F27" s="79" t="s">
        <v>331</v>
      </c>
      <c r="G27" s="79" t="s">
        <v>332</v>
      </c>
      <c r="H27" s="110" t="s">
        <v>942</v>
      </c>
      <c r="I27" s="127"/>
      <c r="J27" s="79" t="s">
        <v>225</v>
      </c>
      <c r="K27" s="131">
        <v>10218</v>
      </c>
      <c r="L27" s="79" t="s">
        <v>434</v>
      </c>
      <c r="M27" s="131"/>
      <c r="N27" s="131">
        <v>1042346954</v>
      </c>
      <c r="O27" s="79" t="s">
        <v>60</v>
      </c>
      <c r="P27" s="79" t="s">
        <v>51</v>
      </c>
      <c r="Q27" s="77"/>
      <c r="R27" s="77"/>
    </row>
    <row r="28" spans="1:18" ht="72" x14ac:dyDescent="0.3">
      <c r="A28" s="12">
        <v>27</v>
      </c>
      <c r="B28" s="79" t="str">
        <f t="shared" si="0"/>
        <v>N</v>
      </c>
      <c r="C28" s="79" t="s">
        <v>113</v>
      </c>
      <c r="D28" s="76" t="s">
        <v>333</v>
      </c>
      <c r="E28" s="82" t="s">
        <v>334</v>
      </c>
      <c r="F28" s="13" t="s">
        <v>335</v>
      </c>
      <c r="G28" s="79" t="s">
        <v>332</v>
      </c>
      <c r="H28" s="22" t="s">
        <v>942</v>
      </c>
      <c r="I28" s="15"/>
      <c r="J28" s="79" t="s">
        <v>225</v>
      </c>
      <c r="K28" s="21">
        <v>10218</v>
      </c>
      <c r="L28" s="13" t="s">
        <v>434</v>
      </c>
      <c r="M28" s="21"/>
      <c r="N28" s="21">
        <v>1042346954</v>
      </c>
      <c r="O28" s="13" t="s">
        <v>60</v>
      </c>
      <c r="P28" s="13" t="s">
        <v>51</v>
      </c>
    </row>
    <row r="29" spans="1:18" ht="72" x14ac:dyDescent="0.3">
      <c r="A29" s="12">
        <v>28</v>
      </c>
      <c r="B29" s="79" t="str">
        <f t="shared" si="0"/>
        <v>N</v>
      </c>
      <c r="C29" s="79" t="s">
        <v>113</v>
      </c>
      <c r="D29" s="76" t="s">
        <v>336</v>
      </c>
      <c r="E29" s="82" t="s">
        <v>337</v>
      </c>
      <c r="F29" s="13" t="s">
        <v>338</v>
      </c>
      <c r="G29" s="79" t="s">
        <v>332</v>
      </c>
      <c r="H29" s="22" t="s">
        <v>942</v>
      </c>
      <c r="I29" s="15"/>
      <c r="J29" s="79" t="s">
        <v>225</v>
      </c>
      <c r="K29" s="21">
        <v>10218</v>
      </c>
      <c r="L29" s="13" t="s">
        <v>434</v>
      </c>
      <c r="M29" s="21"/>
      <c r="N29" s="21">
        <v>1042346954</v>
      </c>
      <c r="O29" s="13" t="s">
        <v>60</v>
      </c>
      <c r="P29" s="13" t="s">
        <v>51</v>
      </c>
    </row>
    <row r="30" spans="1:18" ht="72" x14ac:dyDescent="0.3">
      <c r="A30" s="12">
        <v>29</v>
      </c>
      <c r="B30" s="79" t="str">
        <f t="shared" si="0"/>
        <v>N</v>
      </c>
      <c r="C30" s="79" t="s">
        <v>113</v>
      </c>
      <c r="D30" s="76" t="s">
        <v>340</v>
      </c>
      <c r="E30" s="82" t="s">
        <v>341</v>
      </c>
      <c r="F30" s="13" t="s">
        <v>342</v>
      </c>
      <c r="G30" s="79" t="s">
        <v>332</v>
      </c>
      <c r="H30" s="22" t="s">
        <v>942</v>
      </c>
      <c r="I30" s="15"/>
      <c r="J30" s="79" t="s">
        <v>225</v>
      </c>
      <c r="K30" s="21">
        <v>10218</v>
      </c>
      <c r="L30" s="13" t="s">
        <v>434</v>
      </c>
      <c r="M30" s="21"/>
      <c r="N30" s="21">
        <v>1042346954</v>
      </c>
      <c r="O30" s="13" t="s">
        <v>60</v>
      </c>
      <c r="P30" s="13" t="s">
        <v>51</v>
      </c>
    </row>
    <row r="31" spans="1:18" ht="57.6" x14ac:dyDescent="0.3">
      <c r="A31" s="12">
        <v>30</v>
      </c>
      <c r="B31" s="79" t="str">
        <f t="shared" si="0"/>
        <v>N</v>
      </c>
      <c r="C31" s="79" t="s">
        <v>113</v>
      </c>
      <c r="D31" s="76" t="s">
        <v>343</v>
      </c>
      <c r="E31" s="82" t="s">
        <v>344</v>
      </c>
      <c r="F31" s="13" t="s">
        <v>345</v>
      </c>
      <c r="G31" s="79" t="s">
        <v>346</v>
      </c>
      <c r="H31" s="22">
        <v>400</v>
      </c>
      <c r="I31" s="15"/>
      <c r="J31" s="79" t="s">
        <v>225</v>
      </c>
      <c r="K31" s="21">
        <v>10218</v>
      </c>
      <c r="L31" s="13" t="s">
        <v>434</v>
      </c>
      <c r="M31" s="21"/>
      <c r="N31" s="21">
        <v>1042346954</v>
      </c>
      <c r="O31" s="13" t="s">
        <v>60</v>
      </c>
      <c r="P31" s="13" t="s">
        <v>51</v>
      </c>
    </row>
    <row r="32" spans="1:18" ht="57.6" x14ac:dyDescent="0.3">
      <c r="A32" s="12">
        <v>31</v>
      </c>
      <c r="B32" s="79" t="str">
        <f t="shared" si="0"/>
        <v>N</v>
      </c>
      <c r="C32" s="79" t="s">
        <v>113</v>
      </c>
      <c r="D32" s="76" t="s">
        <v>347</v>
      </c>
      <c r="E32" s="82" t="s">
        <v>348</v>
      </c>
      <c r="F32" s="13" t="s">
        <v>349</v>
      </c>
      <c r="G32" s="79" t="s">
        <v>346</v>
      </c>
      <c r="H32" s="22">
        <v>400</v>
      </c>
      <c r="I32" s="15"/>
      <c r="J32" s="79" t="s">
        <v>225</v>
      </c>
      <c r="K32" s="21">
        <v>10218</v>
      </c>
      <c r="L32" s="13" t="s">
        <v>434</v>
      </c>
      <c r="M32" s="21"/>
      <c r="N32" s="21">
        <v>1042346954</v>
      </c>
      <c r="O32" s="13" t="s">
        <v>60</v>
      </c>
      <c r="P32" s="13" t="s">
        <v>51</v>
      </c>
    </row>
    <row r="33" spans="1:16" ht="57.6" x14ac:dyDescent="0.3">
      <c r="A33" s="12">
        <v>32</v>
      </c>
      <c r="B33" s="79" t="str">
        <f t="shared" si="0"/>
        <v>N</v>
      </c>
      <c r="C33" s="79" t="s">
        <v>113</v>
      </c>
      <c r="D33" s="76" t="s">
        <v>350</v>
      </c>
      <c r="E33" s="82" t="s">
        <v>351</v>
      </c>
      <c r="F33" s="13" t="s">
        <v>352</v>
      </c>
      <c r="G33" s="79" t="s">
        <v>346</v>
      </c>
      <c r="H33" s="22">
        <v>400</v>
      </c>
      <c r="I33" s="15"/>
      <c r="J33" s="79" t="s">
        <v>225</v>
      </c>
      <c r="K33" s="21">
        <v>10218</v>
      </c>
      <c r="L33" s="13" t="s">
        <v>434</v>
      </c>
      <c r="M33" s="21"/>
      <c r="N33" s="21">
        <v>1042346954</v>
      </c>
      <c r="O33" s="13" t="s">
        <v>60</v>
      </c>
      <c r="P33" s="13" t="s">
        <v>51</v>
      </c>
    </row>
    <row r="34" spans="1:16" ht="57.6" x14ac:dyDescent="0.3">
      <c r="A34" s="12">
        <v>33</v>
      </c>
      <c r="B34" s="79" t="str">
        <f t="shared" si="0"/>
        <v>N</v>
      </c>
      <c r="C34" s="79" t="s">
        <v>113</v>
      </c>
      <c r="D34" s="76" t="s">
        <v>353</v>
      </c>
      <c r="E34" s="82" t="s">
        <v>354</v>
      </c>
      <c r="F34" s="13" t="s">
        <v>355</v>
      </c>
      <c r="G34" s="79" t="s">
        <v>346</v>
      </c>
      <c r="H34" s="22">
        <v>400</v>
      </c>
      <c r="I34" s="21"/>
      <c r="J34" s="79" t="s">
        <v>225</v>
      </c>
      <c r="K34" s="21">
        <v>10218</v>
      </c>
      <c r="L34" s="13" t="s">
        <v>434</v>
      </c>
      <c r="M34" s="21"/>
      <c r="N34" s="21">
        <v>1042346954</v>
      </c>
      <c r="O34" s="13" t="s">
        <v>60</v>
      </c>
      <c r="P34" s="13" t="s">
        <v>51</v>
      </c>
    </row>
    <row r="35" spans="1:16" ht="72" x14ac:dyDescent="0.3">
      <c r="A35" s="12">
        <v>34</v>
      </c>
      <c r="B35" s="79" t="str">
        <f t="shared" si="0"/>
        <v>N</v>
      </c>
      <c r="C35" s="79" t="s">
        <v>113</v>
      </c>
      <c r="D35" s="76" t="s">
        <v>356</v>
      </c>
      <c r="E35" s="82" t="s">
        <v>357</v>
      </c>
      <c r="F35" s="13" t="s">
        <v>358</v>
      </c>
      <c r="G35" s="79" t="s">
        <v>359</v>
      </c>
      <c r="H35" s="22">
        <v>400</v>
      </c>
      <c r="I35" s="21"/>
      <c r="J35" s="79" t="s">
        <v>225</v>
      </c>
      <c r="K35" s="21">
        <v>10218</v>
      </c>
      <c r="L35" s="13" t="s">
        <v>434</v>
      </c>
      <c r="M35" s="21"/>
      <c r="N35" s="21">
        <v>1042346954</v>
      </c>
      <c r="O35" s="13" t="s">
        <v>60</v>
      </c>
      <c r="P35" s="13" t="s">
        <v>51</v>
      </c>
    </row>
    <row r="36" spans="1:16" ht="72" x14ac:dyDescent="0.3">
      <c r="A36" s="12">
        <v>35</v>
      </c>
      <c r="B36" s="79" t="str">
        <f t="shared" si="0"/>
        <v>N</v>
      </c>
      <c r="C36" s="79" t="s">
        <v>113</v>
      </c>
      <c r="D36" s="76" t="s">
        <v>360</v>
      </c>
      <c r="E36" s="82" t="s">
        <v>361</v>
      </c>
      <c r="F36" s="13" t="s">
        <v>362</v>
      </c>
      <c r="G36" s="79" t="s">
        <v>359</v>
      </c>
      <c r="H36" s="22">
        <v>400</v>
      </c>
      <c r="I36" s="21"/>
      <c r="J36" s="79" t="s">
        <v>225</v>
      </c>
      <c r="K36" s="21">
        <v>10218</v>
      </c>
      <c r="L36" s="13" t="s">
        <v>434</v>
      </c>
      <c r="M36" s="21"/>
      <c r="N36" s="21">
        <v>1042346954</v>
      </c>
      <c r="O36" s="13" t="s">
        <v>60</v>
      </c>
      <c r="P36" s="13" t="s">
        <v>51</v>
      </c>
    </row>
    <row r="37" spans="1:16" ht="86.4" x14ac:dyDescent="0.3">
      <c r="A37" s="12">
        <v>36</v>
      </c>
      <c r="B37" s="79" t="str">
        <f t="shared" si="0"/>
        <v>N</v>
      </c>
      <c r="C37" s="79" t="s">
        <v>113</v>
      </c>
      <c r="D37" s="76" t="s">
        <v>231</v>
      </c>
      <c r="E37" s="82" t="s">
        <v>232</v>
      </c>
      <c r="F37" s="13" t="s">
        <v>233</v>
      </c>
      <c r="G37" s="79" t="s">
        <v>234</v>
      </c>
      <c r="H37" s="22">
        <v>400</v>
      </c>
      <c r="I37" s="21"/>
      <c r="J37" s="79" t="s">
        <v>225</v>
      </c>
      <c r="K37" s="21">
        <v>10218</v>
      </c>
      <c r="L37" s="13" t="s">
        <v>434</v>
      </c>
      <c r="M37" s="21"/>
      <c r="N37" s="21">
        <v>1042346954</v>
      </c>
      <c r="O37" s="13" t="s">
        <v>60</v>
      </c>
      <c r="P37" s="13" t="s">
        <v>51</v>
      </c>
    </row>
    <row r="38" spans="1:16" ht="86.4" x14ac:dyDescent="0.3">
      <c r="A38" s="12">
        <v>37</v>
      </c>
      <c r="B38" s="79" t="str">
        <f t="shared" si="0"/>
        <v>N</v>
      </c>
      <c r="C38" s="79" t="s">
        <v>113</v>
      </c>
      <c r="D38" s="76" t="s">
        <v>236</v>
      </c>
      <c r="E38" s="82" t="s">
        <v>237</v>
      </c>
      <c r="F38" s="13" t="s">
        <v>238</v>
      </c>
      <c r="G38" s="79" t="s">
        <v>234</v>
      </c>
      <c r="H38" s="22">
        <v>400</v>
      </c>
      <c r="I38" s="21"/>
      <c r="J38" s="79" t="s">
        <v>225</v>
      </c>
      <c r="K38" s="21">
        <v>10218</v>
      </c>
      <c r="L38" s="13" t="s">
        <v>434</v>
      </c>
      <c r="M38" s="21"/>
      <c r="N38" s="21">
        <v>1042346954</v>
      </c>
      <c r="O38" s="13" t="s">
        <v>60</v>
      </c>
      <c r="P38" s="13" t="s">
        <v>51</v>
      </c>
    </row>
    <row r="39" spans="1:16" ht="86.4" x14ac:dyDescent="0.3">
      <c r="A39" s="12">
        <v>38</v>
      </c>
      <c r="B39" s="79" t="str">
        <f t="shared" si="0"/>
        <v>N</v>
      </c>
      <c r="C39" s="79" t="s">
        <v>113</v>
      </c>
      <c r="D39" s="76" t="s">
        <v>240</v>
      </c>
      <c r="E39" s="82" t="s">
        <v>241</v>
      </c>
      <c r="F39" s="13" t="s">
        <v>242</v>
      </c>
      <c r="G39" s="79" t="s">
        <v>234</v>
      </c>
      <c r="H39" s="22">
        <v>400</v>
      </c>
      <c r="I39" s="21"/>
      <c r="J39" s="79" t="s">
        <v>225</v>
      </c>
      <c r="K39" s="21">
        <v>10218</v>
      </c>
      <c r="L39" s="13" t="s">
        <v>434</v>
      </c>
      <c r="M39" s="21"/>
      <c r="N39" s="21">
        <v>1042346954</v>
      </c>
      <c r="O39" s="13" t="s">
        <v>60</v>
      </c>
      <c r="P39" s="13" t="s">
        <v>51</v>
      </c>
    </row>
    <row r="40" spans="1:16" ht="86.4" x14ac:dyDescent="0.3">
      <c r="A40" s="12">
        <v>39</v>
      </c>
      <c r="B40" s="79" t="str">
        <f t="shared" si="0"/>
        <v>N</v>
      </c>
      <c r="C40" s="79" t="s">
        <v>113</v>
      </c>
      <c r="D40" s="76" t="s">
        <v>244</v>
      </c>
      <c r="E40" s="82" t="s">
        <v>245</v>
      </c>
      <c r="F40" s="13" t="s">
        <v>246</v>
      </c>
      <c r="G40" s="79" t="s">
        <v>234</v>
      </c>
      <c r="H40" s="22">
        <v>400</v>
      </c>
      <c r="I40" s="21"/>
      <c r="J40" s="79" t="s">
        <v>225</v>
      </c>
      <c r="K40" s="21">
        <v>10218</v>
      </c>
      <c r="L40" s="13" t="s">
        <v>434</v>
      </c>
      <c r="M40" s="21"/>
      <c r="N40" s="21">
        <v>1042346954</v>
      </c>
      <c r="O40" s="13" t="s">
        <v>60</v>
      </c>
      <c r="P40" s="13" t="s">
        <v>51</v>
      </c>
    </row>
    <row r="41" spans="1:16" ht="72" x14ac:dyDescent="0.3">
      <c r="A41" s="12">
        <v>40</v>
      </c>
      <c r="B41" s="79" t="str">
        <f t="shared" si="0"/>
        <v>N</v>
      </c>
      <c r="C41" s="79" t="s">
        <v>113</v>
      </c>
      <c r="D41" s="76" t="s">
        <v>363</v>
      </c>
      <c r="E41" s="82" t="s">
        <v>364</v>
      </c>
      <c r="F41" s="13" t="s">
        <v>365</v>
      </c>
      <c r="G41" s="79" t="s">
        <v>366</v>
      </c>
      <c r="H41" s="22">
        <v>400</v>
      </c>
      <c r="I41" s="21"/>
      <c r="J41" s="79" t="s">
        <v>225</v>
      </c>
      <c r="K41" s="21">
        <v>10218</v>
      </c>
      <c r="L41" s="13" t="s">
        <v>434</v>
      </c>
      <c r="M41" s="21"/>
      <c r="N41" s="21">
        <v>1042346954</v>
      </c>
      <c r="O41" s="13" t="s">
        <v>60</v>
      </c>
      <c r="P41" s="13" t="s">
        <v>51</v>
      </c>
    </row>
    <row r="42" spans="1:16" ht="72" x14ac:dyDescent="0.3">
      <c r="A42" s="12">
        <v>41</v>
      </c>
      <c r="B42" s="79" t="str">
        <f t="shared" si="0"/>
        <v>N</v>
      </c>
      <c r="C42" s="79" t="s">
        <v>113</v>
      </c>
      <c r="D42" s="76" t="s">
        <v>367</v>
      </c>
      <c r="E42" s="82" t="s">
        <v>368</v>
      </c>
      <c r="F42" s="13" t="s">
        <v>369</v>
      </c>
      <c r="G42" s="79" t="s">
        <v>366</v>
      </c>
      <c r="H42" s="22">
        <v>400</v>
      </c>
      <c r="I42" s="21"/>
      <c r="J42" s="79" t="s">
        <v>225</v>
      </c>
      <c r="K42" s="21">
        <v>10218</v>
      </c>
      <c r="L42" s="13" t="s">
        <v>434</v>
      </c>
      <c r="M42" s="21"/>
      <c r="N42" s="21">
        <v>1042346954</v>
      </c>
      <c r="O42" s="13" t="s">
        <v>60</v>
      </c>
      <c r="P42" s="13" t="s">
        <v>51</v>
      </c>
    </row>
    <row r="43" spans="1:16" ht="72" x14ac:dyDescent="0.3">
      <c r="A43" s="12">
        <v>42</v>
      </c>
      <c r="B43" s="79" t="str">
        <f t="shared" si="0"/>
        <v>N</v>
      </c>
      <c r="C43" s="79" t="s">
        <v>113</v>
      </c>
      <c r="D43" s="76" t="s">
        <v>451</v>
      </c>
      <c r="E43" s="82" t="s">
        <v>452</v>
      </c>
      <c r="F43" s="13" t="s">
        <v>453</v>
      </c>
      <c r="G43" s="79" t="s">
        <v>443</v>
      </c>
      <c r="H43" s="22">
        <v>403</v>
      </c>
      <c r="I43" s="21"/>
      <c r="J43" s="79" t="s">
        <v>225</v>
      </c>
      <c r="K43" s="21">
        <v>10218</v>
      </c>
      <c r="L43" s="13" t="s">
        <v>434</v>
      </c>
      <c r="M43" s="21"/>
      <c r="N43" s="21">
        <v>1042346954</v>
      </c>
      <c r="O43" s="13" t="s">
        <v>60</v>
      </c>
      <c r="P43" s="13" t="s">
        <v>51</v>
      </c>
    </row>
    <row r="44" spans="1:16" ht="72" x14ac:dyDescent="0.3">
      <c r="A44" s="12">
        <v>43</v>
      </c>
      <c r="B44" s="79" t="str">
        <f t="shared" si="0"/>
        <v>N</v>
      </c>
      <c r="C44" s="79" t="s">
        <v>113</v>
      </c>
      <c r="D44" s="76" t="s">
        <v>454</v>
      </c>
      <c r="E44" s="82" t="s">
        <v>455</v>
      </c>
      <c r="F44" s="13" t="s">
        <v>456</v>
      </c>
      <c r="G44" s="79" t="s">
        <v>443</v>
      </c>
      <c r="H44" s="22">
        <v>403</v>
      </c>
      <c r="I44" s="21"/>
      <c r="J44" s="79" t="s">
        <v>225</v>
      </c>
      <c r="K44" s="21">
        <v>10218</v>
      </c>
      <c r="L44" s="13" t="s">
        <v>434</v>
      </c>
      <c r="M44" s="21"/>
      <c r="N44" s="21">
        <v>1042346954</v>
      </c>
      <c r="O44" s="13" t="s">
        <v>60</v>
      </c>
      <c r="P44" s="13" t="s">
        <v>51</v>
      </c>
    </row>
    <row r="45" spans="1:16" ht="244.8" x14ac:dyDescent="0.3">
      <c r="A45" s="12">
        <v>44</v>
      </c>
      <c r="B45" s="79" t="str">
        <f t="shared" si="0"/>
        <v>N</v>
      </c>
      <c r="C45" s="79" t="s">
        <v>113</v>
      </c>
      <c r="D45" s="76" t="s">
        <v>457</v>
      </c>
      <c r="E45" s="82" t="s">
        <v>458</v>
      </c>
      <c r="F45" s="13" t="s">
        <v>459</v>
      </c>
      <c r="G45" s="79" t="s">
        <v>460</v>
      </c>
      <c r="H45" s="22">
        <v>404</v>
      </c>
      <c r="I45" s="21"/>
      <c r="J45" s="79" t="s">
        <v>225</v>
      </c>
      <c r="K45" s="21">
        <v>10218</v>
      </c>
      <c r="L45" s="13" t="s">
        <v>434</v>
      </c>
      <c r="M45" s="21"/>
      <c r="N45" s="21">
        <v>1042346954</v>
      </c>
      <c r="O45" s="13" t="s">
        <v>60</v>
      </c>
      <c r="P45" s="13" t="s">
        <v>51</v>
      </c>
    </row>
    <row r="46" spans="1:16" ht="100.8" x14ac:dyDescent="0.3">
      <c r="A46" s="12">
        <v>45</v>
      </c>
      <c r="B46" s="79" t="str">
        <f t="shared" si="0"/>
        <v>N</v>
      </c>
      <c r="C46" s="79" t="s">
        <v>113</v>
      </c>
      <c r="D46" s="76" t="s">
        <v>370</v>
      </c>
      <c r="E46" s="82" t="s">
        <v>371</v>
      </c>
      <c r="F46" s="13" t="s">
        <v>372</v>
      </c>
      <c r="G46" s="79" t="s">
        <v>373</v>
      </c>
      <c r="H46" s="22">
        <v>200</v>
      </c>
      <c r="I46" s="21"/>
      <c r="J46" s="79" t="s">
        <v>225</v>
      </c>
      <c r="K46" s="21">
        <v>10218</v>
      </c>
      <c r="L46" s="13" t="s">
        <v>434</v>
      </c>
      <c r="M46" s="21"/>
      <c r="N46" s="21">
        <v>1042346954</v>
      </c>
      <c r="O46" s="13" t="s">
        <v>60</v>
      </c>
      <c r="P46" s="13" t="s">
        <v>51</v>
      </c>
    </row>
    <row r="47" spans="1:16" ht="100.8" x14ac:dyDescent="0.3">
      <c r="A47" s="12">
        <v>46</v>
      </c>
      <c r="B47" s="79" t="str">
        <f t="shared" si="0"/>
        <v>N</v>
      </c>
      <c r="C47" s="79" t="s">
        <v>113</v>
      </c>
      <c r="D47" s="76" t="s">
        <v>375</v>
      </c>
      <c r="E47" s="82" t="s">
        <v>376</v>
      </c>
      <c r="F47" s="13" t="s">
        <v>377</v>
      </c>
      <c r="G47" s="79" t="s">
        <v>378</v>
      </c>
      <c r="H47" s="22">
        <v>200</v>
      </c>
      <c r="I47" s="21"/>
      <c r="J47" s="79" t="s">
        <v>225</v>
      </c>
      <c r="K47" s="21">
        <v>10218</v>
      </c>
      <c r="L47" s="13" t="s">
        <v>434</v>
      </c>
      <c r="M47" s="21"/>
      <c r="N47" s="21">
        <v>1042346954</v>
      </c>
      <c r="O47" s="13" t="s">
        <v>60</v>
      </c>
      <c r="P47" s="13" t="s">
        <v>51</v>
      </c>
    </row>
    <row r="48" spans="1:16" ht="100.8" x14ac:dyDescent="0.3">
      <c r="A48" s="12">
        <v>47</v>
      </c>
      <c r="B48" s="79" t="str">
        <f t="shared" si="0"/>
        <v>N</v>
      </c>
      <c r="C48" s="79" t="s">
        <v>113</v>
      </c>
      <c r="D48" s="76" t="s">
        <v>380</v>
      </c>
      <c r="E48" s="82" t="s">
        <v>381</v>
      </c>
      <c r="F48" s="13" t="s">
        <v>382</v>
      </c>
      <c r="G48" s="79" t="s">
        <v>373</v>
      </c>
      <c r="H48" s="22">
        <v>200</v>
      </c>
      <c r="I48" s="21"/>
      <c r="J48" s="79" t="s">
        <v>225</v>
      </c>
      <c r="K48" s="21">
        <v>10218</v>
      </c>
      <c r="L48" s="13" t="s">
        <v>434</v>
      </c>
      <c r="M48" s="21"/>
      <c r="N48" s="21">
        <v>1042346954</v>
      </c>
      <c r="O48" s="13" t="s">
        <v>60</v>
      </c>
      <c r="P48" s="13" t="s">
        <v>51</v>
      </c>
    </row>
    <row r="49" spans="1:16" ht="57.6" x14ac:dyDescent="0.3">
      <c r="A49" s="12">
        <v>48</v>
      </c>
      <c r="B49" s="79" t="str">
        <f t="shared" si="0"/>
        <v>N</v>
      </c>
      <c r="C49" s="79" t="s">
        <v>113</v>
      </c>
      <c r="D49" s="76" t="s">
        <v>384</v>
      </c>
      <c r="E49" s="82" t="s">
        <v>385</v>
      </c>
      <c r="F49" s="13" t="s">
        <v>386</v>
      </c>
      <c r="G49" s="79" t="s">
        <v>387</v>
      </c>
      <c r="H49" s="22" t="s">
        <v>948</v>
      </c>
      <c r="I49" s="21"/>
      <c r="J49" s="79" t="s">
        <v>225</v>
      </c>
      <c r="K49" s="21">
        <v>10218</v>
      </c>
      <c r="L49" s="13" t="s">
        <v>434</v>
      </c>
      <c r="M49" s="21"/>
      <c r="N49" s="21">
        <v>1042346954</v>
      </c>
      <c r="O49" s="13" t="s">
        <v>60</v>
      </c>
      <c r="P49" s="13" t="s">
        <v>51</v>
      </c>
    </row>
    <row r="50" spans="1:16" ht="158.4" x14ac:dyDescent="0.3">
      <c r="A50" s="12">
        <v>49</v>
      </c>
      <c r="B50" s="79" t="str">
        <f t="shared" si="0"/>
        <v>N</v>
      </c>
      <c r="C50" s="79" t="s">
        <v>113</v>
      </c>
      <c r="D50" s="76" t="s">
        <v>388</v>
      </c>
      <c r="E50" s="82" t="s">
        <v>389</v>
      </c>
      <c r="F50" s="13" t="s">
        <v>390</v>
      </c>
      <c r="G50" s="79" t="s">
        <v>391</v>
      </c>
      <c r="H50" s="22">
        <v>200</v>
      </c>
      <c r="I50" s="21"/>
      <c r="J50" s="79" t="s">
        <v>225</v>
      </c>
      <c r="K50" s="21">
        <v>10218</v>
      </c>
      <c r="L50" s="13" t="s">
        <v>434</v>
      </c>
      <c r="M50" s="21"/>
      <c r="N50" s="21">
        <v>1042346954</v>
      </c>
      <c r="O50" s="13" t="s">
        <v>60</v>
      </c>
      <c r="P50" s="13" t="s">
        <v>51</v>
      </c>
    </row>
    <row r="51" spans="1:16" ht="158.4" x14ac:dyDescent="0.3">
      <c r="A51" s="12">
        <v>50</v>
      </c>
      <c r="B51" s="79" t="str">
        <f t="shared" si="0"/>
        <v>N</v>
      </c>
      <c r="C51" s="79" t="s">
        <v>113</v>
      </c>
      <c r="D51" s="76" t="s">
        <v>392</v>
      </c>
      <c r="E51" s="82" t="s">
        <v>393</v>
      </c>
      <c r="F51" s="13" t="s">
        <v>394</v>
      </c>
      <c r="G51" s="79" t="s">
        <v>395</v>
      </c>
      <c r="H51" s="22">
        <v>200</v>
      </c>
      <c r="I51" s="21"/>
      <c r="J51" s="79" t="s">
        <v>225</v>
      </c>
      <c r="K51" s="21">
        <v>10218</v>
      </c>
      <c r="L51" s="13" t="s">
        <v>434</v>
      </c>
      <c r="M51" s="21"/>
      <c r="N51" s="21">
        <v>1042346954</v>
      </c>
      <c r="O51" s="13" t="s">
        <v>60</v>
      </c>
      <c r="P51" s="13" t="s">
        <v>51</v>
      </c>
    </row>
    <row r="52" spans="1:16" ht="57.6" x14ac:dyDescent="0.3">
      <c r="A52" s="12">
        <v>51</v>
      </c>
      <c r="B52" s="79" t="str">
        <f t="shared" si="0"/>
        <v>N</v>
      </c>
      <c r="C52" s="79" t="s">
        <v>113</v>
      </c>
      <c r="D52" s="76" t="s">
        <v>396</v>
      </c>
      <c r="E52" s="82" t="s">
        <v>397</v>
      </c>
      <c r="F52" s="13" t="s">
        <v>398</v>
      </c>
      <c r="G52" s="79" t="s">
        <v>318</v>
      </c>
      <c r="H52" s="22">
        <v>401</v>
      </c>
      <c r="I52" s="21"/>
      <c r="J52" s="79" t="s">
        <v>225</v>
      </c>
      <c r="K52" s="21">
        <v>10218</v>
      </c>
      <c r="L52" s="13" t="s">
        <v>434</v>
      </c>
      <c r="M52" s="21"/>
      <c r="N52" s="21">
        <v>1042346954</v>
      </c>
      <c r="O52" s="13" t="s">
        <v>60</v>
      </c>
      <c r="P52" s="13" t="s">
        <v>51</v>
      </c>
    </row>
    <row r="53" spans="1:16" ht="57.6" x14ac:dyDescent="0.3">
      <c r="A53" s="12">
        <v>52</v>
      </c>
      <c r="B53" s="79" t="str">
        <f t="shared" si="0"/>
        <v>N</v>
      </c>
      <c r="C53" s="79" t="s">
        <v>113</v>
      </c>
      <c r="D53" s="76" t="s">
        <v>399</v>
      </c>
      <c r="E53" s="82" t="s">
        <v>400</v>
      </c>
      <c r="F53" s="13" t="s">
        <v>401</v>
      </c>
      <c r="G53" s="79" t="s">
        <v>318</v>
      </c>
      <c r="H53" s="22">
        <v>401</v>
      </c>
      <c r="I53" s="21"/>
      <c r="J53" s="79" t="s">
        <v>225</v>
      </c>
      <c r="K53" s="21">
        <v>10218</v>
      </c>
      <c r="L53" s="13" t="s">
        <v>434</v>
      </c>
      <c r="M53" s="21"/>
      <c r="N53" s="21">
        <v>1042346954</v>
      </c>
      <c r="O53" s="13" t="s">
        <v>60</v>
      </c>
      <c r="P53" s="13" t="s">
        <v>51</v>
      </c>
    </row>
    <row r="54" spans="1:16" ht="172.8" x14ac:dyDescent="0.3">
      <c r="A54" s="12">
        <v>53</v>
      </c>
      <c r="B54" s="79" t="str">
        <f t="shared" si="0"/>
        <v>N</v>
      </c>
      <c r="C54" s="79" t="s">
        <v>113</v>
      </c>
      <c r="D54" s="76" t="s">
        <v>402</v>
      </c>
      <c r="E54" s="82" t="s">
        <v>403</v>
      </c>
      <c r="F54" s="13" t="s">
        <v>404</v>
      </c>
      <c r="G54" s="79" t="s">
        <v>405</v>
      </c>
      <c r="H54" s="22">
        <v>200</v>
      </c>
      <c r="I54" s="21"/>
      <c r="J54" s="79" t="s">
        <v>225</v>
      </c>
      <c r="K54" s="21">
        <v>10218</v>
      </c>
      <c r="L54" s="13" t="s">
        <v>434</v>
      </c>
      <c r="M54" s="21"/>
      <c r="N54" s="21">
        <v>1042346954</v>
      </c>
      <c r="O54" s="13" t="s">
        <v>60</v>
      </c>
      <c r="P54" s="13" t="s">
        <v>51</v>
      </c>
    </row>
    <row r="55" spans="1:16" ht="172.8" x14ac:dyDescent="0.3">
      <c r="A55" s="12">
        <v>54</v>
      </c>
      <c r="B55" s="79" t="str">
        <f t="shared" si="0"/>
        <v>N</v>
      </c>
      <c r="C55" s="79" t="s">
        <v>113</v>
      </c>
      <c r="D55" s="76" t="s">
        <v>406</v>
      </c>
      <c r="E55" s="82" t="s">
        <v>407</v>
      </c>
      <c r="F55" s="13" t="s">
        <v>408</v>
      </c>
      <c r="G55" s="79" t="s">
        <v>409</v>
      </c>
      <c r="H55" s="22">
        <v>200</v>
      </c>
      <c r="I55" s="21"/>
      <c r="J55" s="79" t="s">
        <v>225</v>
      </c>
      <c r="K55" s="21">
        <v>10218</v>
      </c>
      <c r="L55" s="13" t="s">
        <v>434</v>
      </c>
      <c r="M55" s="21"/>
      <c r="N55" s="21">
        <v>1042346954</v>
      </c>
      <c r="O55" s="13" t="s">
        <v>60</v>
      </c>
      <c r="P55" s="13" t="s">
        <v>51</v>
      </c>
    </row>
    <row r="56" spans="1:16" ht="172.8" x14ac:dyDescent="0.3">
      <c r="A56" s="12">
        <v>55</v>
      </c>
      <c r="B56" s="79" t="str">
        <f t="shared" si="0"/>
        <v>N</v>
      </c>
      <c r="C56" s="79" t="s">
        <v>113</v>
      </c>
      <c r="D56" s="76" t="s">
        <v>410</v>
      </c>
      <c r="E56" s="82" t="s">
        <v>411</v>
      </c>
      <c r="F56" s="13" t="s">
        <v>412</v>
      </c>
      <c r="G56" s="79" t="s">
        <v>413</v>
      </c>
      <c r="H56" s="22">
        <v>200</v>
      </c>
      <c r="I56" s="21"/>
      <c r="J56" s="79" t="s">
        <v>225</v>
      </c>
      <c r="K56" s="21">
        <v>10218</v>
      </c>
      <c r="L56" s="13" t="s">
        <v>434</v>
      </c>
      <c r="M56" s="21"/>
      <c r="N56" s="21">
        <v>1042346954</v>
      </c>
      <c r="O56" s="13" t="s">
        <v>60</v>
      </c>
      <c r="P56" s="13" t="s">
        <v>51</v>
      </c>
    </row>
    <row r="57" spans="1:16" ht="172.8" x14ac:dyDescent="0.3">
      <c r="A57" s="12">
        <v>56</v>
      </c>
      <c r="B57" s="79" t="str">
        <f t="shared" si="0"/>
        <v>N</v>
      </c>
      <c r="C57" s="79" t="s">
        <v>113</v>
      </c>
      <c r="D57" s="76" t="s">
        <v>414</v>
      </c>
      <c r="E57" s="82" t="s">
        <v>415</v>
      </c>
      <c r="F57" s="13" t="s">
        <v>416</v>
      </c>
      <c r="G57" s="79" t="s">
        <v>417</v>
      </c>
      <c r="H57" s="22">
        <v>200</v>
      </c>
      <c r="I57" s="21"/>
      <c r="J57" s="79" t="s">
        <v>225</v>
      </c>
      <c r="K57" s="21">
        <v>10218</v>
      </c>
      <c r="L57" s="13" t="s">
        <v>434</v>
      </c>
      <c r="M57" s="21"/>
      <c r="N57" s="21">
        <v>1042346954</v>
      </c>
      <c r="O57" s="13" t="s">
        <v>60</v>
      </c>
      <c r="P57" s="13" t="s">
        <v>51</v>
      </c>
    </row>
    <row r="58" spans="1:16" ht="216" x14ac:dyDescent="0.3">
      <c r="A58" s="12">
        <v>57</v>
      </c>
      <c r="B58" s="79" t="str">
        <f t="shared" si="0"/>
        <v>N</v>
      </c>
      <c r="C58" s="79" t="s">
        <v>113</v>
      </c>
      <c r="D58" s="76" t="s">
        <v>418</v>
      </c>
      <c r="E58" s="82" t="s">
        <v>419</v>
      </c>
      <c r="F58" s="13" t="s">
        <v>420</v>
      </c>
      <c r="G58" s="79" t="s">
        <v>421</v>
      </c>
      <c r="H58" s="22">
        <v>200</v>
      </c>
      <c r="I58" s="21"/>
      <c r="J58" s="79" t="s">
        <v>225</v>
      </c>
      <c r="K58" s="21">
        <v>10218</v>
      </c>
      <c r="L58" s="13" t="s">
        <v>434</v>
      </c>
      <c r="M58" s="21"/>
      <c r="N58" s="21">
        <v>1042346954</v>
      </c>
      <c r="O58" s="13" t="s">
        <v>60</v>
      </c>
      <c r="P58" s="13" t="s">
        <v>51</v>
      </c>
    </row>
    <row r="59" spans="1:16" ht="216" x14ac:dyDescent="0.3">
      <c r="A59" s="12">
        <v>58</v>
      </c>
      <c r="B59" s="79" t="str">
        <f t="shared" si="0"/>
        <v>N</v>
      </c>
      <c r="C59" s="79" t="s">
        <v>113</v>
      </c>
      <c r="D59" s="76" t="s">
        <v>422</v>
      </c>
      <c r="E59" s="82" t="s">
        <v>423</v>
      </c>
      <c r="F59" s="13" t="s">
        <v>424</v>
      </c>
      <c r="G59" s="79" t="s">
        <v>425</v>
      </c>
      <c r="H59" s="22">
        <v>200</v>
      </c>
      <c r="I59" s="21"/>
      <c r="J59" s="79" t="s">
        <v>225</v>
      </c>
      <c r="K59" s="21">
        <v>10218</v>
      </c>
      <c r="L59" s="13" t="s">
        <v>434</v>
      </c>
      <c r="M59" s="21"/>
      <c r="N59" s="21">
        <v>1042346954</v>
      </c>
      <c r="O59" s="13" t="s">
        <v>60</v>
      </c>
      <c r="P59" s="13" t="s">
        <v>51</v>
      </c>
    </row>
    <row r="60" spans="1:16" ht="288" x14ac:dyDescent="0.3">
      <c r="A60" s="12">
        <v>59</v>
      </c>
      <c r="B60" s="79" t="str">
        <f t="shared" si="0"/>
        <v>N</v>
      </c>
      <c r="C60" s="79" t="s">
        <v>113</v>
      </c>
      <c r="D60" s="76" t="s">
        <v>426</v>
      </c>
      <c r="E60" s="82" t="s">
        <v>427</v>
      </c>
      <c r="F60" s="13" t="s">
        <v>428</v>
      </c>
      <c r="G60" s="79" t="s">
        <v>429</v>
      </c>
      <c r="H60" s="22">
        <v>400</v>
      </c>
      <c r="I60" s="21"/>
      <c r="J60" s="79" t="s">
        <v>225</v>
      </c>
      <c r="K60" s="21">
        <v>10218</v>
      </c>
      <c r="L60" s="13" t="s">
        <v>434</v>
      </c>
      <c r="M60" s="21"/>
      <c r="N60" s="21">
        <v>1042346954</v>
      </c>
      <c r="O60" s="13" t="s">
        <v>60</v>
      </c>
      <c r="P60" s="13" t="s">
        <v>51</v>
      </c>
    </row>
    <row r="61" spans="1:16" x14ac:dyDescent="0.3">
      <c r="A61" s="15"/>
      <c r="B61" s="16"/>
      <c r="C61" s="16"/>
      <c r="D61" s="76"/>
      <c r="E61" s="82"/>
      <c r="F61" s="16"/>
      <c r="G61" s="82"/>
      <c r="H61" s="17"/>
      <c r="I61" s="21"/>
      <c r="J61" s="79"/>
      <c r="K61" s="18"/>
      <c r="L61" s="16"/>
      <c r="M61" s="51"/>
      <c r="N61" s="18"/>
      <c r="O61" s="16"/>
      <c r="P61" s="16"/>
    </row>
    <row r="62" spans="1:16" x14ac:dyDescent="0.3">
      <c r="A62" s="15"/>
      <c r="B62" s="16"/>
      <c r="C62" s="16"/>
      <c r="D62" s="76"/>
      <c r="E62" s="82"/>
      <c r="F62" s="16"/>
      <c r="G62" s="82"/>
      <c r="H62" s="17"/>
      <c r="I62" s="21"/>
      <c r="J62" s="79"/>
      <c r="K62" s="18"/>
      <c r="L62" s="16"/>
      <c r="M62" s="51"/>
      <c r="N62" s="18"/>
      <c r="O62" s="16"/>
      <c r="P62" s="16"/>
    </row>
    <row r="63" spans="1:16" x14ac:dyDescent="0.3">
      <c r="A63" s="15"/>
      <c r="B63" s="16"/>
      <c r="C63" s="16"/>
      <c r="D63" s="76"/>
      <c r="E63" s="82"/>
      <c r="F63" s="16"/>
      <c r="G63" s="82"/>
      <c r="H63" s="17"/>
      <c r="I63" s="21"/>
      <c r="J63" s="79"/>
      <c r="K63" s="18"/>
      <c r="L63" s="16"/>
      <c r="M63" s="51"/>
      <c r="N63" s="18"/>
      <c r="O63" s="16"/>
      <c r="P63" s="16"/>
    </row>
    <row r="64" spans="1:16" x14ac:dyDescent="0.3">
      <c r="A64" s="15"/>
      <c r="B64" s="16"/>
      <c r="C64" s="16"/>
      <c r="D64" s="76"/>
      <c r="E64" s="82"/>
      <c r="F64" s="16"/>
      <c r="G64" s="82"/>
      <c r="H64" s="17"/>
      <c r="I64" s="21"/>
      <c r="J64" s="79"/>
      <c r="K64" s="18"/>
      <c r="L64" s="16"/>
      <c r="M64" s="51"/>
      <c r="N64" s="18"/>
      <c r="O64" s="16"/>
      <c r="P64" s="16"/>
    </row>
    <row r="65" spans="1:16" x14ac:dyDescent="0.3">
      <c r="A65" s="15"/>
      <c r="B65" s="16"/>
      <c r="C65" s="16"/>
      <c r="D65" s="76"/>
      <c r="E65" s="82"/>
      <c r="F65" s="16"/>
      <c r="G65" s="82"/>
      <c r="H65" s="17"/>
      <c r="I65" s="21"/>
      <c r="J65" s="79"/>
      <c r="K65" s="18"/>
      <c r="L65" s="16"/>
      <c r="M65" s="51"/>
      <c r="N65" s="18"/>
      <c r="O65" s="16"/>
      <c r="P65" s="16"/>
    </row>
    <row r="66" spans="1:16" x14ac:dyDescent="0.3">
      <c r="A66" s="15"/>
      <c r="B66" s="16"/>
      <c r="C66" s="16"/>
      <c r="D66" s="76"/>
      <c r="E66" s="82"/>
      <c r="F66" s="16"/>
      <c r="G66" s="82"/>
      <c r="H66" s="17"/>
      <c r="I66" s="21"/>
      <c r="J66" s="79"/>
      <c r="K66" s="18"/>
      <c r="L66" s="16"/>
      <c r="M66" s="51"/>
      <c r="N66" s="18"/>
      <c r="O66" s="16"/>
      <c r="P66" s="16"/>
    </row>
    <row r="67" spans="1:16" x14ac:dyDescent="0.3">
      <c r="I67" s="21"/>
    </row>
    <row r="68" spans="1:16" x14ac:dyDescent="0.3">
      <c r="I68" s="21"/>
    </row>
    <row r="69" spans="1:16" x14ac:dyDescent="0.3">
      <c r="I69" s="21"/>
    </row>
    <row r="70" spans="1:16" x14ac:dyDescent="0.3">
      <c r="I70" s="21"/>
    </row>
    <row r="71" spans="1:16" x14ac:dyDescent="0.3">
      <c r="I71" s="21"/>
    </row>
    <row r="72" spans="1:16" x14ac:dyDescent="0.3">
      <c r="I72" s="21"/>
    </row>
    <row r="73" spans="1:16" x14ac:dyDescent="0.3">
      <c r="I73" s="21"/>
    </row>
    <row r="74" spans="1:16" x14ac:dyDescent="0.3">
      <c r="I74" s="15"/>
    </row>
    <row r="75" spans="1:16" x14ac:dyDescent="0.3">
      <c r="I75" s="21"/>
    </row>
    <row r="76" spans="1:16" x14ac:dyDescent="0.3">
      <c r="I76" s="21"/>
    </row>
    <row r="77" spans="1:16" x14ac:dyDescent="0.3">
      <c r="I77" s="21"/>
    </row>
    <row r="78" spans="1:16" x14ac:dyDescent="0.3">
      <c r="I78" s="21"/>
    </row>
    <row r="79" spans="1:16" x14ac:dyDescent="0.3">
      <c r="I79" s="21"/>
    </row>
    <row r="80" spans="1:16"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21"/>
    </row>
    <row r="95" spans="9:9" x14ac:dyDescent="0.3">
      <c r="I95" s="15"/>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21"/>
    </row>
    <row r="114" spans="9:9" x14ac:dyDescent="0.3">
      <c r="I114" s="15"/>
    </row>
    <row r="115" spans="9:9" x14ac:dyDescent="0.3">
      <c r="I115" s="15"/>
    </row>
  </sheetData>
  <autoFilter ref="A1:T1" xr:uid="{00000000-0001-0000-08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outlinePr summaryBelow="0"/>
  </sheetPr>
  <dimension ref="A1:AO234"/>
  <sheetViews>
    <sheetView zoomScale="70" zoomScaleNormal="70" workbookViewId="0">
      <pane ySplit="1" topLeftCell="A85" activePane="bottomLeft" state="frozen"/>
      <selection activeCell="Q5" sqref="Q5"/>
      <selection pane="bottomLeft" activeCell="E87" sqref="E87"/>
    </sheetView>
  </sheetViews>
  <sheetFormatPr defaultRowHeight="14.4" x14ac:dyDescent="0.3"/>
  <cols>
    <col min="1" max="1" width="7.5546875" style="47" bestFit="1" customWidth="1"/>
    <col min="2" max="2" width="18.33203125" style="25" bestFit="1" customWidth="1"/>
    <col min="3" max="3" width="11.44140625" style="28" bestFit="1" customWidth="1"/>
    <col min="4" max="4" width="31.77734375" style="77" customWidth="1"/>
    <col min="5" max="5" width="104.109375" style="84" customWidth="1"/>
    <col min="6" max="6" width="34.44140625" style="26" bestFit="1" customWidth="1"/>
    <col min="7" max="7" width="48.88671875" style="80" bestFit="1" customWidth="1"/>
    <col min="8" max="8" width="19.88671875" style="27" bestFit="1" customWidth="1"/>
    <col min="9" max="9" width="36" style="27" customWidth="1"/>
    <col min="10" max="10" width="24" style="80" bestFit="1" customWidth="1"/>
    <col min="11" max="11" width="28" style="28" bestFit="1" customWidth="1"/>
    <col min="12" max="12" width="11.44140625" style="28" bestFit="1" customWidth="1"/>
    <col min="13" max="13" width="16" style="28" bestFit="1" customWidth="1"/>
    <col min="14" max="14" width="12.44140625" style="28" bestFit="1" customWidth="1"/>
    <col min="15" max="15" width="22" bestFit="1" customWidth="1"/>
    <col min="16" max="16" width="26.6640625" style="28" bestFit="1" customWidth="1"/>
    <col min="17" max="17" width="31.88671875" style="28" bestFit="1" customWidth="1"/>
    <col min="18" max="19" width="22.44140625" style="28" bestFit="1" customWidth="1"/>
    <col min="20" max="20" width="16.109375" bestFit="1" customWidth="1"/>
    <col min="21" max="21" width="18" style="28" bestFit="1" customWidth="1"/>
    <col min="22" max="22" width="34.33203125" style="28" customWidth="1"/>
    <col min="23" max="23" width="28.33203125" style="28" bestFit="1" customWidth="1"/>
    <col min="24" max="24" width="17.88671875" style="28" bestFit="1" customWidth="1"/>
    <col min="25" max="25" width="29" style="29" bestFit="1" customWidth="1"/>
    <col min="26" max="26" width="32.109375" style="28" bestFit="1" customWidth="1"/>
    <col min="27" max="27" width="15.6640625" style="30" bestFit="1" customWidth="1"/>
    <col min="28" max="28" width="17.88671875" style="26" bestFit="1" customWidth="1"/>
    <col min="29" max="29" width="19.33203125" style="48" bestFit="1" customWidth="1"/>
    <col min="30" max="30" width="21.33203125" style="48" bestFit="1" customWidth="1"/>
    <col min="31" max="31" width="16.44140625" style="26" bestFit="1" customWidth="1"/>
    <col min="32" max="32" width="19" style="26" bestFit="1" customWidth="1"/>
    <col min="33" max="33" width="15.6640625" style="26" bestFit="1" customWidth="1"/>
    <col min="34" max="34" width="23.109375" style="26" bestFit="1" customWidth="1"/>
    <col min="35" max="35" width="14.33203125" style="26" bestFit="1" customWidth="1"/>
    <col min="36" max="41" width="13.5546875" bestFit="1" customWidth="1"/>
  </cols>
  <sheetData>
    <row r="1" spans="1:41" s="20" customFormat="1" ht="28.8" x14ac:dyDescent="0.3">
      <c r="A1" s="3" t="s">
        <v>24</v>
      </c>
      <c r="B1" s="2" t="s">
        <v>25</v>
      </c>
      <c r="C1" s="2" t="s">
        <v>26</v>
      </c>
      <c r="D1" s="75" t="s">
        <v>27</v>
      </c>
      <c r="E1" s="78" t="s">
        <v>28</v>
      </c>
      <c r="F1" s="2" t="s">
        <v>29</v>
      </c>
      <c r="G1" s="81" t="s">
        <v>30</v>
      </c>
      <c r="H1" s="3" t="s">
        <v>31</v>
      </c>
      <c r="I1" s="3" t="s">
        <v>1947</v>
      </c>
      <c r="J1" s="88" t="s">
        <v>461</v>
      </c>
      <c r="K1" s="4" t="s">
        <v>32</v>
      </c>
      <c r="L1" s="5" t="s">
        <v>33</v>
      </c>
      <c r="M1" s="5" t="s">
        <v>35</v>
      </c>
      <c r="N1" s="5" t="s">
        <v>34</v>
      </c>
      <c r="O1" s="5" t="s">
        <v>36</v>
      </c>
      <c r="P1" s="5" t="s">
        <v>37</v>
      </c>
      <c r="Q1" s="5" t="s">
        <v>151</v>
      </c>
      <c r="R1" s="5" t="s">
        <v>38</v>
      </c>
      <c r="S1" s="5" t="s">
        <v>2169</v>
      </c>
      <c r="T1" s="6" t="s">
        <v>462</v>
      </c>
      <c r="U1" s="6" t="s">
        <v>40</v>
      </c>
      <c r="V1" s="7" t="s">
        <v>463</v>
      </c>
      <c r="W1" s="6" t="s">
        <v>464</v>
      </c>
      <c r="X1" s="6" t="s">
        <v>465</v>
      </c>
      <c r="Y1" s="8" t="s">
        <v>466</v>
      </c>
      <c r="Z1" s="6" t="s">
        <v>467</v>
      </c>
      <c r="AA1" s="9" t="s">
        <v>468</v>
      </c>
      <c r="AB1" s="6" t="s">
        <v>469</v>
      </c>
      <c r="AC1" s="10" t="s">
        <v>1992</v>
      </c>
      <c r="AD1" s="10" t="s">
        <v>470</v>
      </c>
      <c r="AE1" s="6" t="s">
        <v>471</v>
      </c>
      <c r="AF1" s="6" t="s">
        <v>472</v>
      </c>
      <c r="AG1" s="6" t="s">
        <v>473</v>
      </c>
      <c r="AH1" s="6" t="s">
        <v>474</v>
      </c>
      <c r="AI1" s="6" t="s">
        <v>475</v>
      </c>
      <c r="AJ1" s="11" t="s">
        <v>476</v>
      </c>
      <c r="AK1" s="11" t="s">
        <v>477</v>
      </c>
      <c r="AL1" s="11" t="s">
        <v>41</v>
      </c>
      <c r="AM1" s="11" t="s">
        <v>42</v>
      </c>
      <c r="AN1" s="11" t="s">
        <v>43</v>
      </c>
      <c r="AO1" s="11" t="s">
        <v>44</v>
      </c>
    </row>
    <row r="2" spans="1:41" ht="187.2" x14ac:dyDescent="0.3">
      <c r="A2" s="131">
        <v>1</v>
      </c>
      <c r="B2" s="79" t="str">
        <f>C2</f>
        <v>Y</v>
      </c>
      <c r="C2" s="79" t="s">
        <v>45</v>
      </c>
      <c r="D2" s="166" t="s">
        <v>949</v>
      </c>
      <c r="E2" s="79" t="s">
        <v>950</v>
      </c>
      <c r="F2" s="79" t="s">
        <v>480</v>
      </c>
      <c r="G2" s="79" t="s">
        <v>951</v>
      </c>
      <c r="H2" s="131">
        <v>200</v>
      </c>
      <c r="I2" s="131"/>
      <c r="J2" s="102" t="s">
        <v>50</v>
      </c>
      <c r="K2" s="102" t="s">
        <v>482</v>
      </c>
      <c r="L2" s="102" t="s">
        <v>51</v>
      </c>
      <c r="M2" s="102" t="s">
        <v>22</v>
      </c>
      <c r="N2" s="102" t="s">
        <v>21</v>
      </c>
      <c r="O2" s="125" t="s">
        <v>816</v>
      </c>
      <c r="P2" s="102" t="s">
        <v>23</v>
      </c>
      <c r="Q2" s="102" t="s">
        <v>952</v>
      </c>
      <c r="R2" s="102" t="s">
        <v>51</v>
      </c>
      <c r="S2" s="34"/>
      <c r="T2" s="44" t="s">
        <v>484</v>
      </c>
      <c r="U2" s="34" t="s">
        <v>55</v>
      </c>
      <c r="V2" s="34" t="s">
        <v>953</v>
      </c>
      <c r="W2" s="34" t="s">
        <v>954</v>
      </c>
      <c r="X2" s="102" t="s">
        <v>486</v>
      </c>
      <c r="Y2" s="128">
        <v>200061812481</v>
      </c>
      <c r="Z2" s="34" t="s">
        <v>955</v>
      </c>
      <c r="AA2" s="212" t="s">
        <v>2007</v>
      </c>
      <c r="AB2" s="34" t="s">
        <v>488</v>
      </c>
      <c r="AC2" s="46" t="s">
        <v>489</v>
      </c>
      <c r="AD2" s="46" t="s">
        <v>490</v>
      </c>
      <c r="AE2" s="34" t="s">
        <v>491</v>
      </c>
      <c r="AF2" s="34" t="s">
        <v>492</v>
      </c>
      <c r="AG2" s="34" t="s">
        <v>493</v>
      </c>
      <c r="AH2" s="34" t="s">
        <v>494</v>
      </c>
      <c r="AI2" s="34" t="s">
        <v>495</v>
      </c>
    </row>
    <row r="3" spans="1:41" ht="187.2" x14ac:dyDescent="0.3">
      <c r="A3" s="131">
        <v>2</v>
      </c>
      <c r="B3" s="79" t="str">
        <f t="shared" ref="B3:B87" si="0">C3</f>
        <v>Y</v>
      </c>
      <c r="C3" s="79" t="s">
        <v>45</v>
      </c>
      <c r="D3" s="166" t="s">
        <v>956</v>
      </c>
      <c r="E3" s="79" t="s">
        <v>957</v>
      </c>
      <c r="F3" s="79" t="s">
        <v>498</v>
      </c>
      <c r="G3" s="79" t="s">
        <v>951</v>
      </c>
      <c r="H3" s="131">
        <v>200</v>
      </c>
      <c r="I3" s="131"/>
      <c r="J3" s="102" t="s">
        <v>50</v>
      </c>
      <c r="K3" s="102" t="s">
        <v>482</v>
      </c>
      <c r="L3" s="102" t="s">
        <v>51</v>
      </c>
      <c r="M3" s="102" t="s">
        <v>22</v>
      </c>
      <c r="N3" s="102" t="s">
        <v>21</v>
      </c>
      <c r="O3" s="125" t="s">
        <v>816</v>
      </c>
      <c r="P3" s="102" t="s">
        <v>23</v>
      </c>
      <c r="Q3" s="102" t="s">
        <v>952</v>
      </c>
      <c r="R3" s="102" t="s">
        <v>51</v>
      </c>
      <c r="S3" s="34"/>
      <c r="T3" s="44" t="s">
        <v>484</v>
      </c>
      <c r="U3" s="34" t="s">
        <v>55</v>
      </c>
      <c r="V3" s="34" t="s">
        <v>953</v>
      </c>
      <c r="W3" s="34" t="s">
        <v>954</v>
      </c>
      <c r="X3" s="102" t="s">
        <v>517</v>
      </c>
      <c r="Y3" s="211" t="s">
        <v>1998</v>
      </c>
      <c r="Z3" s="34" t="s">
        <v>955</v>
      </c>
      <c r="AA3" s="212" t="s">
        <v>2008</v>
      </c>
      <c r="AB3" s="34" t="s">
        <v>488</v>
      </c>
      <c r="AC3" s="46" t="s">
        <v>489</v>
      </c>
      <c r="AD3" s="46" t="s">
        <v>490</v>
      </c>
      <c r="AE3" s="34" t="s">
        <v>491</v>
      </c>
      <c r="AF3" s="34" t="s">
        <v>492</v>
      </c>
      <c r="AG3" s="34" t="s">
        <v>493</v>
      </c>
      <c r="AH3" s="34" t="s">
        <v>494</v>
      </c>
      <c r="AI3" s="34" t="s">
        <v>495</v>
      </c>
    </row>
    <row r="4" spans="1:41" ht="187.2" x14ac:dyDescent="0.3">
      <c r="A4" s="131">
        <v>3</v>
      </c>
      <c r="B4" s="79" t="str">
        <f t="shared" si="0"/>
        <v>Y</v>
      </c>
      <c r="C4" s="79" t="s">
        <v>45</v>
      </c>
      <c r="D4" s="166" t="s">
        <v>959</v>
      </c>
      <c r="E4" s="79" t="s">
        <v>960</v>
      </c>
      <c r="F4" s="79" t="s">
        <v>502</v>
      </c>
      <c r="G4" s="79" t="s">
        <v>961</v>
      </c>
      <c r="H4" s="131">
        <v>200</v>
      </c>
      <c r="I4" s="131"/>
      <c r="J4" s="102" t="s">
        <v>50</v>
      </c>
      <c r="K4" s="102" t="s">
        <v>482</v>
      </c>
      <c r="L4" s="102" t="s">
        <v>51</v>
      </c>
      <c r="M4" s="102" t="s">
        <v>22</v>
      </c>
      <c r="N4" s="102" t="s">
        <v>21</v>
      </c>
      <c r="O4" s="125" t="s">
        <v>816</v>
      </c>
      <c r="P4" s="102" t="s">
        <v>23</v>
      </c>
      <c r="Q4" s="102" t="s">
        <v>952</v>
      </c>
      <c r="R4" s="102" t="s">
        <v>51</v>
      </c>
      <c r="S4" s="34"/>
      <c r="T4" s="44" t="s">
        <v>520</v>
      </c>
      <c r="U4" s="34" t="s">
        <v>55</v>
      </c>
      <c r="V4" s="34" t="s">
        <v>953</v>
      </c>
      <c r="W4" s="34" t="s">
        <v>954</v>
      </c>
      <c r="X4" s="102" t="s">
        <v>1154</v>
      </c>
      <c r="Y4" s="211" t="s">
        <v>1155</v>
      </c>
      <c r="Z4" s="34" t="s">
        <v>955</v>
      </c>
      <c r="AA4" s="212" t="s">
        <v>2009</v>
      </c>
      <c r="AB4" s="34" t="s">
        <v>488</v>
      </c>
      <c r="AC4" s="46" t="s">
        <v>489</v>
      </c>
      <c r="AD4" s="46" t="s">
        <v>490</v>
      </c>
      <c r="AE4" s="34" t="s">
        <v>491</v>
      </c>
      <c r="AF4" s="34" t="s">
        <v>492</v>
      </c>
      <c r="AG4" s="34" t="s">
        <v>493</v>
      </c>
      <c r="AH4" s="34" t="s">
        <v>494</v>
      </c>
      <c r="AI4" s="34" t="s">
        <v>495</v>
      </c>
    </row>
    <row r="5" spans="1:41" ht="187.2" x14ac:dyDescent="0.3">
      <c r="A5" s="131">
        <v>4</v>
      </c>
      <c r="B5" s="79" t="str">
        <f t="shared" si="0"/>
        <v>Y</v>
      </c>
      <c r="C5" s="79" t="s">
        <v>45</v>
      </c>
      <c r="D5" s="166" t="s">
        <v>962</v>
      </c>
      <c r="E5" s="79" t="s">
        <v>963</v>
      </c>
      <c r="F5" s="79" t="s">
        <v>506</v>
      </c>
      <c r="G5" s="79" t="s">
        <v>961</v>
      </c>
      <c r="H5" s="131">
        <v>200</v>
      </c>
      <c r="I5" s="131"/>
      <c r="J5" s="102" t="s">
        <v>50</v>
      </c>
      <c r="K5" s="102" t="s">
        <v>482</v>
      </c>
      <c r="L5" s="102" t="s">
        <v>51</v>
      </c>
      <c r="M5" s="102" t="s">
        <v>22</v>
      </c>
      <c r="N5" s="102" t="s">
        <v>21</v>
      </c>
      <c r="O5" s="125" t="s">
        <v>816</v>
      </c>
      <c r="P5" s="102" t="s">
        <v>23</v>
      </c>
      <c r="Q5" s="102" t="s">
        <v>952</v>
      </c>
      <c r="R5" s="102" t="s">
        <v>51</v>
      </c>
      <c r="S5" s="34"/>
      <c r="T5" s="44" t="s">
        <v>171</v>
      </c>
      <c r="U5" s="34" t="s">
        <v>55</v>
      </c>
      <c r="V5" s="34" t="s">
        <v>953</v>
      </c>
      <c r="W5" s="34" t="s">
        <v>954</v>
      </c>
      <c r="X5" s="102" t="s">
        <v>964</v>
      </c>
      <c r="Y5" s="211" t="s">
        <v>1159</v>
      </c>
      <c r="Z5" s="34" t="s">
        <v>955</v>
      </c>
      <c r="AA5" s="212" t="s">
        <v>2010</v>
      </c>
      <c r="AB5" s="34" t="s">
        <v>488</v>
      </c>
      <c r="AC5" s="46" t="s">
        <v>489</v>
      </c>
      <c r="AD5" s="46" t="s">
        <v>490</v>
      </c>
      <c r="AE5" s="34" t="s">
        <v>491</v>
      </c>
      <c r="AF5" s="34" t="s">
        <v>492</v>
      </c>
      <c r="AG5" s="34" t="s">
        <v>493</v>
      </c>
      <c r="AH5" s="34" t="s">
        <v>494</v>
      </c>
      <c r="AI5" s="34" t="s">
        <v>495</v>
      </c>
    </row>
    <row r="6" spans="1:41" ht="57.6" x14ac:dyDescent="0.3">
      <c r="A6" s="131">
        <v>5</v>
      </c>
      <c r="B6" s="79" t="str">
        <f t="shared" si="0"/>
        <v>Y</v>
      </c>
      <c r="C6" s="79" t="s">
        <v>45</v>
      </c>
      <c r="D6" s="166" t="s">
        <v>1999</v>
      </c>
      <c r="E6" s="106" t="s">
        <v>2003</v>
      </c>
      <c r="F6" s="79" t="s">
        <v>965</v>
      </c>
      <c r="G6" s="79" t="s">
        <v>966</v>
      </c>
      <c r="H6" s="131">
        <v>200</v>
      </c>
      <c r="I6" s="131"/>
      <c r="J6" s="102" t="s">
        <v>50</v>
      </c>
      <c r="K6" s="102" t="s">
        <v>482</v>
      </c>
      <c r="L6" s="102" t="s">
        <v>51</v>
      </c>
      <c r="M6" s="102" t="s">
        <v>22</v>
      </c>
      <c r="N6" s="102" t="s">
        <v>21</v>
      </c>
      <c r="O6" s="125" t="s">
        <v>816</v>
      </c>
      <c r="P6" s="102" t="s">
        <v>23</v>
      </c>
      <c r="Q6" s="102" t="s">
        <v>952</v>
      </c>
      <c r="R6" s="102" t="s">
        <v>51</v>
      </c>
      <c r="S6" s="34"/>
      <c r="T6" s="44" t="s">
        <v>484</v>
      </c>
      <c r="U6" s="34" t="s">
        <v>55</v>
      </c>
      <c r="V6" s="34" t="s">
        <v>953</v>
      </c>
      <c r="W6" s="34" t="s">
        <v>954</v>
      </c>
      <c r="X6" s="102" t="s">
        <v>486</v>
      </c>
      <c r="Y6" s="128">
        <v>200061812481</v>
      </c>
      <c r="Z6" s="34" t="s">
        <v>955</v>
      </c>
      <c r="AA6" s="45">
        <v>1</v>
      </c>
      <c r="AB6" s="34" t="s">
        <v>488</v>
      </c>
      <c r="AC6" s="46" t="s">
        <v>489</v>
      </c>
      <c r="AD6" s="46" t="s">
        <v>490</v>
      </c>
      <c r="AE6" s="34" t="s">
        <v>491</v>
      </c>
      <c r="AF6" s="34" t="s">
        <v>492</v>
      </c>
      <c r="AG6" s="34" t="s">
        <v>493</v>
      </c>
      <c r="AH6" s="34" t="s">
        <v>494</v>
      </c>
      <c r="AI6" s="34" t="s">
        <v>495</v>
      </c>
    </row>
    <row r="7" spans="1:41" ht="57.6" x14ac:dyDescent="0.3">
      <c r="A7" s="131">
        <v>6</v>
      </c>
      <c r="B7" s="79" t="str">
        <f t="shared" si="0"/>
        <v>Y</v>
      </c>
      <c r="C7" s="79" t="s">
        <v>45</v>
      </c>
      <c r="D7" s="166" t="s">
        <v>2000</v>
      </c>
      <c r="E7" s="106" t="s">
        <v>2004</v>
      </c>
      <c r="F7" s="79" t="s">
        <v>965</v>
      </c>
      <c r="G7" s="79" t="s">
        <v>966</v>
      </c>
      <c r="H7" s="131">
        <v>200</v>
      </c>
      <c r="I7" s="131"/>
      <c r="J7" s="102" t="s">
        <v>50</v>
      </c>
      <c r="K7" s="102" t="s">
        <v>482</v>
      </c>
      <c r="L7" s="102" t="s">
        <v>51</v>
      </c>
      <c r="M7" s="102" t="s">
        <v>22</v>
      </c>
      <c r="N7" s="102" t="s">
        <v>21</v>
      </c>
      <c r="O7" s="125" t="s">
        <v>816</v>
      </c>
      <c r="P7" s="102" t="s">
        <v>23</v>
      </c>
      <c r="Q7" s="102" t="s">
        <v>952</v>
      </c>
      <c r="R7" s="102" t="s">
        <v>51</v>
      </c>
      <c r="S7" s="34"/>
      <c r="T7" s="44" t="s">
        <v>484</v>
      </c>
      <c r="U7" s="34" t="s">
        <v>55</v>
      </c>
      <c r="V7" s="34" t="s">
        <v>953</v>
      </c>
      <c r="W7" s="34" t="s">
        <v>954</v>
      </c>
      <c r="X7" s="102" t="s">
        <v>517</v>
      </c>
      <c r="Y7" s="211" t="s">
        <v>1998</v>
      </c>
      <c r="Z7" s="34" t="s">
        <v>955</v>
      </c>
      <c r="AA7" s="45">
        <v>1</v>
      </c>
      <c r="AB7" s="34" t="s">
        <v>488</v>
      </c>
      <c r="AC7" s="46" t="s">
        <v>489</v>
      </c>
      <c r="AD7" s="46" t="s">
        <v>490</v>
      </c>
      <c r="AE7" s="34" t="s">
        <v>491</v>
      </c>
      <c r="AF7" s="34" t="s">
        <v>492</v>
      </c>
      <c r="AG7" s="34" t="s">
        <v>493</v>
      </c>
      <c r="AH7" s="34" t="s">
        <v>494</v>
      </c>
      <c r="AI7" s="34" t="s">
        <v>495</v>
      </c>
    </row>
    <row r="8" spans="1:41" ht="57.6" x14ac:dyDescent="0.3">
      <c r="A8" s="131">
        <v>7</v>
      </c>
      <c r="B8" s="79" t="str">
        <f t="shared" si="0"/>
        <v>Y</v>
      </c>
      <c r="C8" s="79" t="s">
        <v>45</v>
      </c>
      <c r="D8" s="166" t="s">
        <v>2001</v>
      </c>
      <c r="E8" s="106" t="s">
        <v>2005</v>
      </c>
      <c r="F8" s="79" t="s">
        <v>965</v>
      </c>
      <c r="G8" s="79" t="s">
        <v>966</v>
      </c>
      <c r="H8" s="131">
        <v>200</v>
      </c>
      <c r="I8" s="131"/>
      <c r="J8" s="102" t="s">
        <v>50</v>
      </c>
      <c r="K8" s="102" t="s">
        <v>482</v>
      </c>
      <c r="L8" s="102" t="s">
        <v>51</v>
      </c>
      <c r="M8" s="102" t="s">
        <v>22</v>
      </c>
      <c r="N8" s="102" t="s">
        <v>21</v>
      </c>
      <c r="O8" s="125" t="s">
        <v>816</v>
      </c>
      <c r="P8" s="102" t="s">
        <v>23</v>
      </c>
      <c r="Q8" s="102" t="s">
        <v>952</v>
      </c>
      <c r="R8" s="102" t="s">
        <v>51</v>
      </c>
      <c r="S8" s="34"/>
      <c r="T8" s="44" t="s">
        <v>520</v>
      </c>
      <c r="U8" s="34" t="s">
        <v>55</v>
      </c>
      <c r="V8" s="34" t="s">
        <v>953</v>
      </c>
      <c r="W8" s="34" t="s">
        <v>954</v>
      </c>
      <c r="X8" s="102" t="s">
        <v>1154</v>
      </c>
      <c r="Y8" s="211" t="s">
        <v>1155</v>
      </c>
      <c r="Z8" s="34" t="s">
        <v>955</v>
      </c>
      <c r="AA8" s="45">
        <v>1</v>
      </c>
      <c r="AB8" s="34" t="s">
        <v>488</v>
      </c>
      <c r="AC8" s="46" t="s">
        <v>489</v>
      </c>
      <c r="AD8" s="46" t="s">
        <v>490</v>
      </c>
      <c r="AE8" s="34" t="s">
        <v>491</v>
      </c>
      <c r="AF8" s="34" t="s">
        <v>492</v>
      </c>
      <c r="AG8" s="34" t="s">
        <v>493</v>
      </c>
      <c r="AH8" s="34" t="s">
        <v>494</v>
      </c>
      <c r="AI8" s="34" t="s">
        <v>495</v>
      </c>
    </row>
    <row r="9" spans="1:41" ht="57.6" x14ac:dyDescent="0.3">
      <c r="A9" s="131">
        <v>8</v>
      </c>
      <c r="B9" s="79" t="str">
        <f t="shared" si="0"/>
        <v>Y</v>
      </c>
      <c r="C9" s="79" t="s">
        <v>45</v>
      </c>
      <c r="D9" s="166" t="s">
        <v>2002</v>
      </c>
      <c r="E9" s="106" t="s">
        <v>2006</v>
      </c>
      <c r="F9" s="79" t="s">
        <v>965</v>
      </c>
      <c r="G9" s="79" t="s">
        <v>966</v>
      </c>
      <c r="H9" s="131">
        <v>200</v>
      </c>
      <c r="I9" s="131"/>
      <c r="J9" s="102" t="s">
        <v>50</v>
      </c>
      <c r="K9" s="102" t="s">
        <v>482</v>
      </c>
      <c r="L9" s="102" t="s">
        <v>51</v>
      </c>
      <c r="M9" s="102" t="s">
        <v>22</v>
      </c>
      <c r="N9" s="102" t="s">
        <v>21</v>
      </c>
      <c r="O9" s="125" t="s">
        <v>816</v>
      </c>
      <c r="P9" s="102" t="s">
        <v>23</v>
      </c>
      <c r="Q9" s="102" t="s">
        <v>952</v>
      </c>
      <c r="R9" s="102" t="s">
        <v>51</v>
      </c>
      <c r="S9" s="34"/>
      <c r="T9" s="44" t="s">
        <v>171</v>
      </c>
      <c r="U9" s="34" t="s">
        <v>55</v>
      </c>
      <c r="V9" s="34" t="s">
        <v>953</v>
      </c>
      <c r="W9" s="34" t="s">
        <v>954</v>
      </c>
      <c r="X9" s="102" t="s">
        <v>964</v>
      </c>
      <c r="Y9" s="211" t="s">
        <v>1159</v>
      </c>
      <c r="Z9" s="34" t="s">
        <v>955</v>
      </c>
      <c r="AA9" s="45">
        <v>1</v>
      </c>
      <c r="AB9" s="34" t="s">
        <v>488</v>
      </c>
      <c r="AC9" s="46" t="s">
        <v>489</v>
      </c>
      <c r="AD9" s="46" t="s">
        <v>490</v>
      </c>
      <c r="AE9" s="34" t="s">
        <v>491</v>
      </c>
      <c r="AF9" s="34" t="s">
        <v>492</v>
      </c>
      <c r="AG9" s="34" t="s">
        <v>493</v>
      </c>
      <c r="AH9" s="34" t="s">
        <v>494</v>
      </c>
      <c r="AI9" s="34" t="s">
        <v>495</v>
      </c>
    </row>
    <row r="10" spans="1:41" ht="57.6" x14ac:dyDescent="0.3">
      <c r="A10" s="131">
        <v>9</v>
      </c>
      <c r="B10" s="79" t="str">
        <f t="shared" si="0"/>
        <v>Y</v>
      </c>
      <c r="C10" s="79" t="s">
        <v>45</v>
      </c>
      <c r="D10" s="166" t="s">
        <v>2014</v>
      </c>
      <c r="E10" s="79" t="s">
        <v>2011</v>
      </c>
      <c r="F10" s="79" t="s">
        <v>967</v>
      </c>
      <c r="G10" s="79" t="s">
        <v>966</v>
      </c>
      <c r="H10" s="127">
        <v>200</v>
      </c>
      <c r="I10" s="131"/>
      <c r="J10" s="102" t="s">
        <v>50</v>
      </c>
      <c r="K10" s="102" t="s">
        <v>482</v>
      </c>
      <c r="L10" s="102" t="s">
        <v>51</v>
      </c>
      <c r="M10" s="102" t="s">
        <v>22</v>
      </c>
      <c r="N10" s="102" t="s">
        <v>21</v>
      </c>
      <c r="O10" s="125" t="s">
        <v>816</v>
      </c>
      <c r="P10" s="102" t="s">
        <v>23</v>
      </c>
      <c r="Q10" s="102" t="s">
        <v>952</v>
      </c>
      <c r="R10" s="102" t="s">
        <v>51</v>
      </c>
      <c r="S10" s="34"/>
      <c r="T10" s="44" t="s">
        <v>484</v>
      </c>
      <c r="U10" s="34" t="s">
        <v>55</v>
      </c>
      <c r="V10" s="34" t="s">
        <v>953</v>
      </c>
      <c r="W10" s="34" t="s">
        <v>954</v>
      </c>
      <c r="X10" s="102" t="s">
        <v>486</v>
      </c>
      <c r="Y10" s="128">
        <v>200061812481</v>
      </c>
      <c r="Z10" s="34" t="s">
        <v>955</v>
      </c>
      <c r="AA10" s="212" t="s">
        <v>2019</v>
      </c>
      <c r="AB10" s="34" t="s">
        <v>488</v>
      </c>
      <c r="AC10" s="46" t="s">
        <v>489</v>
      </c>
      <c r="AD10" s="46" t="s">
        <v>490</v>
      </c>
      <c r="AE10" s="34" t="s">
        <v>491</v>
      </c>
      <c r="AF10" s="34" t="s">
        <v>492</v>
      </c>
      <c r="AG10" s="34" t="s">
        <v>493</v>
      </c>
      <c r="AH10" s="34" t="s">
        <v>494</v>
      </c>
      <c r="AI10" s="34" t="s">
        <v>495</v>
      </c>
    </row>
    <row r="11" spans="1:41" ht="57.6" x14ac:dyDescent="0.3">
      <c r="A11" s="131">
        <v>10</v>
      </c>
      <c r="B11" s="79" t="str">
        <f t="shared" si="0"/>
        <v>Y</v>
      </c>
      <c r="C11" s="79" t="s">
        <v>45</v>
      </c>
      <c r="D11" s="166" t="s">
        <v>2015</v>
      </c>
      <c r="E11" s="79" t="s">
        <v>2012</v>
      </c>
      <c r="F11" s="79" t="s">
        <v>967</v>
      </c>
      <c r="G11" s="79" t="s">
        <v>966</v>
      </c>
      <c r="H11" s="127">
        <v>200</v>
      </c>
      <c r="I11" s="131"/>
      <c r="J11" s="102" t="s">
        <v>50</v>
      </c>
      <c r="K11" s="102" t="s">
        <v>482</v>
      </c>
      <c r="L11" s="102" t="s">
        <v>51</v>
      </c>
      <c r="M11" s="102" t="s">
        <v>22</v>
      </c>
      <c r="N11" s="102" t="s">
        <v>21</v>
      </c>
      <c r="O11" s="125" t="s">
        <v>816</v>
      </c>
      <c r="P11" s="102" t="s">
        <v>23</v>
      </c>
      <c r="Q11" s="102" t="s">
        <v>952</v>
      </c>
      <c r="R11" s="102" t="s">
        <v>51</v>
      </c>
      <c r="S11" s="34"/>
      <c r="T11" s="44" t="s">
        <v>484</v>
      </c>
      <c r="U11" s="34" t="s">
        <v>55</v>
      </c>
      <c r="V11" s="34" t="s">
        <v>953</v>
      </c>
      <c r="W11" s="34" t="s">
        <v>954</v>
      </c>
      <c r="X11" s="102" t="s">
        <v>517</v>
      </c>
      <c r="Y11" s="211" t="s">
        <v>1998</v>
      </c>
      <c r="Z11" s="34" t="s">
        <v>955</v>
      </c>
      <c r="AA11" s="212" t="s">
        <v>2019</v>
      </c>
      <c r="AB11" s="34" t="s">
        <v>488</v>
      </c>
      <c r="AC11" s="46" t="s">
        <v>489</v>
      </c>
      <c r="AD11" s="46" t="s">
        <v>490</v>
      </c>
      <c r="AE11" s="34" t="s">
        <v>491</v>
      </c>
      <c r="AF11" s="34" t="s">
        <v>492</v>
      </c>
      <c r="AG11" s="34" t="s">
        <v>493</v>
      </c>
      <c r="AH11" s="34" t="s">
        <v>494</v>
      </c>
      <c r="AI11" s="34" t="s">
        <v>495</v>
      </c>
    </row>
    <row r="12" spans="1:41" ht="57.6" x14ac:dyDescent="0.3">
      <c r="A12" s="131">
        <v>11</v>
      </c>
      <c r="B12" s="79" t="str">
        <f t="shared" si="0"/>
        <v>Y</v>
      </c>
      <c r="C12" s="79" t="s">
        <v>45</v>
      </c>
      <c r="D12" s="166" t="s">
        <v>2016</v>
      </c>
      <c r="E12" s="79" t="s">
        <v>2013</v>
      </c>
      <c r="F12" s="79" t="s">
        <v>967</v>
      </c>
      <c r="G12" s="79" t="s">
        <v>966</v>
      </c>
      <c r="H12" s="127">
        <v>200</v>
      </c>
      <c r="I12" s="131"/>
      <c r="J12" s="102" t="s">
        <v>50</v>
      </c>
      <c r="K12" s="102" t="s">
        <v>482</v>
      </c>
      <c r="L12" s="102" t="s">
        <v>51</v>
      </c>
      <c r="M12" s="102" t="s">
        <v>22</v>
      </c>
      <c r="N12" s="102" t="s">
        <v>21</v>
      </c>
      <c r="O12" s="125" t="s">
        <v>816</v>
      </c>
      <c r="P12" s="102" t="s">
        <v>23</v>
      </c>
      <c r="Q12" s="102" t="s">
        <v>952</v>
      </c>
      <c r="R12" s="102" t="s">
        <v>51</v>
      </c>
      <c r="S12" s="34"/>
      <c r="T12" s="44" t="s">
        <v>520</v>
      </c>
      <c r="U12" s="34" t="s">
        <v>55</v>
      </c>
      <c r="V12" s="34" t="s">
        <v>953</v>
      </c>
      <c r="W12" s="34" t="s">
        <v>954</v>
      </c>
      <c r="X12" s="102" t="s">
        <v>1154</v>
      </c>
      <c r="Y12" s="211" t="s">
        <v>1155</v>
      </c>
      <c r="Z12" s="34" t="s">
        <v>955</v>
      </c>
      <c r="AA12" s="212" t="s">
        <v>2019</v>
      </c>
      <c r="AB12" s="34" t="s">
        <v>488</v>
      </c>
      <c r="AC12" s="46" t="s">
        <v>489</v>
      </c>
      <c r="AD12" s="46" t="s">
        <v>490</v>
      </c>
      <c r="AE12" s="34" t="s">
        <v>491</v>
      </c>
      <c r="AF12" s="34" t="s">
        <v>492</v>
      </c>
      <c r="AG12" s="34" t="s">
        <v>493</v>
      </c>
      <c r="AH12" s="34" t="s">
        <v>494</v>
      </c>
      <c r="AI12" s="34" t="s">
        <v>495</v>
      </c>
    </row>
    <row r="13" spans="1:41" ht="57.6" x14ac:dyDescent="0.3">
      <c r="A13" s="131">
        <v>12</v>
      </c>
      <c r="B13" s="79" t="str">
        <f t="shared" si="0"/>
        <v>Y</v>
      </c>
      <c r="C13" s="79" t="s">
        <v>45</v>
      </c>
      <c r="D13" s="166" t="s">
        <v>2017</v>
      </c>
      <c r="E13" s="79" t="s">
        <v>2018</v>
      </c>
      <c r="F13" s="79" t="s">
        <v>967</v>
      </c>
      <c r="G13" s="79" t="s">
        <v>966</v>
      </c>
      <c r="H13" s="127">
        <v>200</v>
      </c>
      <c r="I13" s="131"/>
      <c r="J13" s="102" t="s">
        <v>50</v>
      </c>
      <c r="K13" s="102" t="s">
        <v>482</v>
      </c>
      <c r="L13" s="102" t="s">
        <v>51</v>
      </c>
      <c r="M13" s="102" t="s">
        <v>22</v>
      </c>
      <c r="N13" s="102" t="s">
        <v>21</v>
      </c>
      <c r="O13" s="125" t="s">
        <v>816</v>
      </c>
      <c r="P13" s="102" t="s">
        <v>23</v>
      </c>
      <c r="Q13" s="102" t="s">
        <v>952</v>
      </c>
      <c r="R13" s="102" t="s">
        <v>51</v>
      </c>
      <c r="S13" s="34"/>
      <c r="T13" s="44" t="s">
        <v>171</v>
      </c>
      <c r="U13" s="34" t="s">
        <v>55</v>
      </c>
      <c r="V13" s="34" t="s">
        <v>953</v>
      </c>
      <c r="W13" s="34" t="s">
        <v>954</v>
      </c>
      <c r="X13" s="102" t="s">
        <v>964</v>
      </c>
      <c r="Y13" s="211" t="s">
        <v>1159</v>
      </c>
      <c r="Z13" s="34" t="s">
        <v>955</v>
      </c>
      <c r="AA13" s="212" t="s">
        <v>2019</v>
      </c>
      <c r="AB13" s="34" t="s">
        <v>488</v>
      </c>
      <c r="AC13" s="46" t="s">
        <v>489</v>
      </c>
      <c r="AD13" s="46" t="s">
        <v>490</v>
      </c>
      <c r="AE13" s="34" t="s">
        <v>491</v>
      </c>
      <c r="AF13" s="34" t="s">
        <v>492</v>
      </c>
      <c r="AG13" s="34" t="s">
        <v>493</v>
      </c>
      <c r="AH13" s="34" t="s">
        <v>494</v>
      </c>
      <c r="AI13" s="34" t="s">
        <v>495</v>
      </c>
    </row>
    <row r="14" spans="1:41" ht="72" x14ac:dyDescent="0.3">
      <c r="A14" s="131">
        <v>13</v>
      </c>
      <c r="B14" s="161" t="str">
        <f t="shared" si="0"/>
        <v>N</v>
      </c>
      <c r="C14" s="161" t="s">
        <v>113</v>
      </c>
      <c r="D14" s="162" t="s">
        <v>968</v>
      </c>
      <c r="E14" s="161" t="s">
        <v>969</v>
      </c>
      <c r="F14" s="161" t="s">
        <v>970</v>
      </c>
      <c r="G14" s="161" t="s">
        <v>971</v>
      </c>
      <c r="H14" s="172">
        <v>200</v>
      </c>
      <c r="I14" s="172"/>
      <c r="J14" s="161" t="s">
        <v>50</v>
      </c>
      <c r="K14" s="161" t="s">
        <v>482</v>
      </c>
      <c r="L14" s="161" t="s">
        <v>51</v>
      </c>
      <c r="M14" s="161" t="s">
        <v>22</v>
      </c>
      <c r="N14" s="161" t="s">
        <v>21</v>
      </c>
      <c r="O14" s="162" t="s">
        <v>816</v>
      </c>
      <c r="P14" s="161" t="s">
        <v>23</v>
      </c>
      <c r="Q14" s="161" t="s">
        <v>952</v>
      </c>
      <c r="R14" s="161" t="s">
        <v>51</v>
      </c>
      <c r="S14" s="178"/>
      <c r="T14" s="213" t="s">
        <v>484</v>
      </c>
      <c r="U14" s="178" t="s">
        <v>55</v>
      </c>
      <c r="V14" s="178" t="s">
        <v>953</v>
      </c>
      <c r="W14" s="178" t="s">
        <v>954</v>
      </c>
      <c r="X14" s="178" t="s">
        <v>486</v>
      </c>
      <c r="Y14" s="214">
        <v>200061812481</v>
      </c>
      <c r="Z14" s="178" t="s">
        <v>955</v>
      </c>
      <c r="AA14" s="183">
        <v>1</v>
      </c>
      <c r="AB14" s="178" t="s">
        <v>488</v>
      </c>
      <c r="AC14" s="215" t="s">
        <v>489</v>
      </c>
      <c r="AD14" s="215" t="s">
        <v>490</v>
      </c>
      <c r="AE14" s="178" t="s">
        <v>491</v>
      </c>
      <c r="AF14" s="178" t="s">
        <v>492</v>
      </c>
      <c r="AG14" s="178" t="s">
        <v>493</v>
      </c>
      <c r="AH14" s="178" t="s">
        <v>494</v>
      </c>
      <c r="AI14" s="178" t="s">
        <v>495</v>
      </c>
    </row>
    <row r="15" spans="1:41" ht="86.4" x14ac:dyDescent="0.3">
      <c r="A15" s="131">
        <v>14</v>
      </c>
      <c r="B15" s="161" t="str">
        <f t="shared" si="0"/>
        <v>N</v>
      </c>
      <c r="C15" s="161" t="s">
        <v>113</v>
      </c>
      <c r="D15" s="162" t="s">
        <v>972</v>
      </c>
      <c r="E15" s="161" t="s">
        <v>973</v>
      </c>
      <c r="F15" s="161" t="s">
        <v>974</v>
      </c>
      <c r="G15" s="161" t="s">
        <v>975</v>
      </c>
      <c r="H15" s="172">
        <v>400</v>
      </c>
      <c r="I15" s="172"/>
      <c r="J15" s="161" t="s">
        <v>50</v>
      </c>
      <c r="K15" s="161" t="s">
        <v>482</v>
      </c>
      <c r="L15" s="161" t="s">
        <v>51</v>
      </c>
      <c r="M15" s="161" t="s">
        <v>22</v>
      </c>
      <c r="N15" s="161" t="s">
        <v>21</v>
      </c>
      <c r="O15" s="162" t="s">
        <v>816</v>
      </c>
      <c r="P15" s="161" t="s">
        <v>23</v>
      </c>
      <c r="Q15" s="161" t="s">
        <v>952</v>
      </c>
      <c r="R15" s="161" t="s">
        <v>51</v>
      </c>
      <c r="S15" s="178"/>
      <c r="T15" s="213" t="s">
        <v>484</v>
      </c>
      <c r="U15" s="178" t="s">
        <v>55</v>
      </c>
      <c r="V15" s="178" t="s">
        <v>953</v>
      </c>
      <c r="W15" s="178" t="s">
        <v>954</v>
      </c>
      <c r="X15" s="178" t="s">
        <v>486</v>
      </c>
      <c r="Y15" s="214">
        <v>200061812481</v>
      </c>
      <c r="Z15" s="178" t="s">
        <v>955</v>
      </c>
      <c r="AA15" s="183">
        <v>1</v>
      </c>
      <c r="AB15" s="178" t="s">
        <v>488</v>
      </c>
      <c r="AC15" s="215" t="s">
        <v>489</v>
      </c>
      <c r="AD15" s="215" t="s">
        <v>490</v>
      </c>
      <c r="AE15" s="178" t="s">
        <v>491</v>
      </c>
      <c r="AF15" s="178" t="s">
        <v>492</v>
      </c>
      <c r="AG15" s="178" t="s">
        <v>493</v>
      </c>
      <c r="AH15" s="178" t="s">
        <v>494</v>
      </c>
      <c r="AI15" s="178" t="s">
        <v>495</v>
      </c>
    </row>
    <row r="16" spans="1:41" ht="86.4" x14ac:dyDescent="0.3">
      <c r="A16" s="131">
        <v>15</v>
      </c>
      <c r="B16" s="79" t="str">
        <f t="shared" si="0"/>
        <v>Y</v>
      </c>
      <c r="C16" s="79" t="s">
        <v>45</v>
      </c>
      <c r="D16" s="166" t="s">
        <v>976</v>
      </c>
      <c r="E16" s="79" t="s">
        <v>977</v>
      </c>
      <c r="F16" s="79" t="s">
        <v>978</v>
      </c>
      <c r="G16" s="79" t="s">
        <v>975</v>
      </c>
      <c r="H16" s="131">
        <v>200</v>
      </c>
      <c r="I16" s="131"/>
      <c r="J16" s="102" t="s">
        <v>50</v>
      </c>
      <c r="K16" s="102" t="s">
        <v>482</v>
      </c>
      <c r="L16" s="102" t="s">
        <v>51</v>
      </c>
      <c r="M16" s="102" t="s">
        <v>22</v>
      </c>
      <c r="N16" s="102" t="s">
        <v>21</v>
      </c>
      <c r="O16" s="125" t="s">
        <v>816</v>
      </c>
      <c r="P16" s="102" t="s">
        <v>23</v>
      </c>
      <c r="Q16" s="102" t="s">
        <v>952</v>
      </c>
      <c r="R16" s="102" t="s">
        <v>51</v>
      </c>
      <c r="S16" s="34"/>
      <c r="T16" s="44" t="s">
        <v>484</v>
      </c>
      <c r="U16" s="34" t="s">
        <v>55</v>
      </c>
      <c r="V16" s="34" t="s">
        <v>953</v>
      </c>
      <c r="W16" s="34" t="s">
        <v>954</v>
      </c>
      <c r="X16" s="102" t="s">
        <v>486</v>
      </c>
      <c r="Y16" s="128">
        <v>200061812490</v>
      </c>
      <c r="Z16" s="34" t="s">
        <v>955</v>
      </c>
      <c r="AA16" s="212" t="s">
        <v>2019</v>
      </c>
      <c r="AB16" s="34" t="s">
        <v>488</v>
      </c>
      <c r="AC16" s="46" t="s">
        <v>489</v>
      </c>
      <c r="AD16" s="46" t="s">
        <v>490</v>
      </c>
      <c r="AE16" s="34" t="s">
        <v>491</v>
      </c>
      <c r="AF16" s="34" t="s">
        <v>492</v>
      </c>
      <c r="AG16" s="34" t="s">
        <v>493</v>
      </c>
      <c r="AH16" s="34" t="s">
        <v>494</v>
      </c>
      <c r="AI16" s="34" t="s">
        <v>495</v>
      </c>
    </row>
    <row r="17" spans="1:35" ht="86.4" x14ac:dyDescent="0.3">
      <c r="A17" s="131">
        <v>16</v>
      </c>
      <c r="B17" s="79" t="str">
        <f t="shared" si="0"/>
        <v>Y</v>
      </c>
      <c r="C17" s="79" t="s">
        <v>45</v>
      </c>
      <c r="D17" s="166" t="s">
        <v>979</v>
      </c>
      <c r="E17" s="79" t="s">
        <v>980</v>
      </c>
      <c r="F17" s="79" t="s">
        <v>981</v>
      </c>
      <c r="G17" s="79" t="s">
        <v>975</v>
      </c>
      <c r="H17" s="131">
        <v>200</v>
      </c>
      <c r="I17" s="131"/>
      <c r="J17" s="102" t="s">
        <v>50</v>
      </c>
      <c r="K17" s="102" t="s">
        <v>482</v>
      </c>
      <c r="L17" s="102" t="s">
        <v>51</v>
      </c>
      <c r="M17" s="102" t="s">
        <v>22</v>
      </c>
      <c r="N17" s="102" t="s">
        <v>21</v>
      </c>
      <c r="O17" s="125" t="s">
        <v>816</v>
      </c>
      <c r="P17" s="102" t="s">
        <v>23</v>
      </c>
      <c r="Q17" s="102" t="s">
        <v>952</v>
      </c>
      <c r="R17" s="102" t="s">
        <v>51</v>
      </c>
      <c r="S17" s="34"/>
      <c r="T17" s="44" t="s">
        <v>520</v>
      </c>
      <c r="U17" s="34" t="s">
        <v>55</v>
      </c>
      <c r="V17" s="34" t="s">
        <v>953</v>
      </c>
      <c r="W17" s="34" t="s">
        <v>954</v>
      </c>
      <c r="X17" s="102" t="s">
        <v>1154</v>
      </c>
      <c r="Y17" s="211" t="s">
        <v>1155</v>
      </c>
      <c r="Z17" s="34" t="s">
        <v>955</v>
      </c>
      <c r="AA17" s="212" t="s">
        <v>2020</v>
      </c>
      <c r="AB17" s="34" t="s">
        <v>488</v>
      </c>
      <c r="AC17" s="46" t="s">
        <v>489</v>
      </c>
      <c r="AD17" s="46" t="s">
        <v>490</v>
      </c>
      <c r="AE17" s="34" t="s">
        <v>491</v>
      </c>
      <c r="AF17" s="34" t="s">
        <v>492</v>
      </c>
      <c r="AG17" s="34" t="s">
        <v>493</v>
      </c>
      <c r="AH17" s="34" t="s">
        <v>494</v>
      </c>
      <c r="AI17" s="34" t="s">
        <v>495</v>
      </c>
    </row>
    <row r="18" spans="1:35" ht="86.4" x14ac:dyDescent="0.3">
      <c r="A18" s="131">
        <v>17</v>
      </c>
      <c r="B18" s="79" t="str">
        <f t="shared" si="0"/>
        <v>Y</v>
      </c>
      <c r="C18" s="79" t="s">
        <v>45</v>
      </c>
      <c r="D18" s="166" t="s">
        <v>982</v>
      </c>
      <c r="E18" s="79" t="s">
        <v>983</v>
      </c>
      <c r="F18" s="79" t="s">
        <v>984</v>
      </c>
      <c r="G18" s="79" t="s">
        <v>975</v>
      </c>
      <c r="H18" s="131">
        <v>200</v>
      </c>
      <c r="I18" s="131"/>
      <c r="J18" s="102" t="s">
        <v>50</v>
      </c>
      <c r="K18" s="102" t="s">
        <v>482</v>
      </c>
      <c r="L18" s="102" t="s">
        <v>51</v>
      </c>
      <c r="M18" s="102" t="s">
        <v>22</v>
      </c>
      <c r="N18" s="102" t="s">
        <v>21</v>
      </c>
      <c r="O18" s="125" t="s">
        <v>816</v>
      </c>
      <c r="P18" s="102" t="s">
        <v>23</v>
      </c>
      <c r="Q18" s="102" t="s">
        <v>952</v>
      </c>
      <c r="R18" s="102" t="s">
        <v>51</v>
      </c>
      <c r="S18" s="34"/>
      <c r="T18" s="44" t="s">
        <v>171</v>
      </c>
      <c r="U18" s="34" t="s">
        <v>55</v>
      </c>
      <c r="V18" s="34" t="s">
        <v>953</v>
      </c>
      <c r="W18" s="34" t="s">
        <v>954</v>
      </c>
      <c r="X18" s="102" t="s">
        <v>964</v>
      </c>
      <c r="Y18" s="211" t="s">
        <v>1159</v>
      </c>
      <c r="Z18" s="34" t="s">
        <v>955</v>
      </c>
      <c r="AA18" s="212" t="s">
        <v>2021</v>
      </c>
      <c r="AB18" s="34" t="s">
        <v>488</v>
      </c>
      <c r="AC18" s="46" t="s">
        <v>489</v>
      </c>
      <c r="AD18" s="46" t="s">
        <v>490</v>
      </c>
      <c r="AE18" s="34" t="s">
        <v>491</v>
      </c>
      <c r="AF18" s="34" t="s">
        <v>492</v>
      </c>
      <c r="AG18" s="34" t="s">
        <v>493</v>
      </c>
      <c r="AH18" s="34" t="s">
        <v>494</v>
      </c>
      <c r="AI18" s="34" t="s">
        <v>495</v>
      </c>
    </row>
    <row r="19" spans="1:35" ht="86.4" x14ac:dyDescent="0.3">
      <c r="A19" s="131">
        <v>18</v>
      </c>
      <c r="B19" s="161" t="str">
        <f t="shared" si="0"/>
        <v>N</v>
      </c>
      <c r="C19" s="161" t="s">
        <v>113</v>
      </c>
      <c r="D19" s="162" t="s">
        <v>985</v>
      </c>
      <c r="E19" s="161" t="s">
        <v>986</v>
      </c>
      <c r="F19" s="161" t="s">
        <v>987</v>
      </c>
      <c r="G19" s="161" t="s">
        <v>988</v>
      </c>
      <c r="H19" s="160"/>
      <c r="I19" s="172"/>
      <c r="J19" s="161"/>
      <c r="K19" s="161"/>
      <c r="L19" s="161"/>
      <c r="M19" s="161"/>
      <c r="N19" s="161"/>
      <c r="O19" s="216"/>
      <c r="P19" s="161"/>
      <c r="Q19" s="161"/>
      <c r="R19" s="161"/>
      <c r="S19" s="179"/>
      <c r="T19" s="217"/>
      <c r="U19" s="179"/>
      <c r="V19" s="179"/>
      <c r="W19" s="179"/>
      <c r="X19" s="179"/>
      <c r="Y19" s="218"/>
      <c r="Z19" s="179"/>
      <c r="AA19" s="219"/>
      <c r="AB19" s="178" t="s">
        <v>488</v>
      </c>
      <c r="AC19" s="215" t="s">
        <v>489</v>
      </c>
      <c r="AD19" s="215" t="s">
        <v>490</v>
      </c>
      <c r="AE19" s="178" t="s">
        <v>491</v>
      </c>
      <c r="AF19" s="178" t="s">
        <v>492</v>
      </c>
      <c r="AG19" s="178" t="s">
        <v>493</v>
      </c>
      <c r="AH19" s="178" t="s">
        <v>494</v>
      </c>
      <c r="AI19" s="178" t="s">
        <v>495</v>
      </c>
    </row>
    <row r="20" spans="1:35" ht="43.2" x14ac:dyDescent="0.3">
      <c r="A20" s="131">
        <v>19</v>
      </c>
      <c r="B20" s="79" t="str">
        <f t="shared" si="0"/>
        <v>Y</v>
      </c>
      <c r="C20" s="79" t="s">
        <v>45</v>
      </c>
      <c r="D20" s="166" t="s">
        <v>2024</v>
      </c>
      <c r="E20" s="79" t="s">
        <v>2022</v>
      </c>
      <c r="F20" s="79" t="s">
        <v>989</v>
      </c>
      <c r="G20" s="79" t="s">
        <v>514</v>
      </c>
      <c r="H20" s="131">
        <v>400</v>
      </c>
      <c r="I20" s="131" t="s">
        <v>2031</v>
      </c>
      <c r="J20" s="102" t="s">
        <v>50</v>
      </c>
      <c r="K20" s="102" t="s">
        <v>482</v>
      </c>
      <c r="L20" s="102" t="s">
        <v>51</v>
      </c>
      <c r="M20" s="102" t="s">
        <v>22</v>
      </c>
      <c r="N20" s="102" t="s">
        <v>21</v>
      </c>
      <c r="O20" s="125" t="s">
        <v>816</v>
      </c>
      <c r="P20" s="102" t="s">
        <v>23</v>
      </c>
      <c r="Q20" s="102" t="s">
        <v>952</v>
      </c>
      <c r="R20" s="102" t="s">
        <v>51</v>
      </c>
      <c r="S20" s="34"/>
      <c r="T20" s="44" t="s">
        <v>484</v>
      </c>
      <c r="U20" s="34" t="s">
        <v>55</v>
      </c>
      <c r="V20" s="34" t="s">
        <v>953</v>
      </c>
      <c r="W20" s="34" t="s">
        <v>954</v>
      </c>
      <c r="X20" s="102" t="s">
        <v>486</v>
      </c>
      <c r="Y20" s="128">
        <v>200061812481</v>
      </c>
      <c r="Z20" s="34" t="s">
        <v>955</v>
      </c>
      <c r="AA20" s="212" t="s">
        <v>2028</v>
      </c>
      <c r="AB20" s="34" t="s">
        <v>488</v>
      </c>
      <c r="AC20" s="46" t="s">
        <v>489</v>
      </c>
      <c r="AD20" s="46" t="s">
        <v>490</v>
      </c>
      <c r="AE20" s="34" t="s">
        <v>491</v>
      </c>
      <c r="AF20" s="34" t="s">
        <v>492</v>
      </c>
      <c r="AG20" s="34" t="s">
        <v>493</v>
      </c>
      <c r="AH20" s="34" t="s">
        <v>494</v>
      </c>
      <c r="AI20" s="34" t="s">
        <v>495</v>
      </c>
    </row>
    <row r="21" spans="1:35" ht="43.2" x14ac:dyDescent="0.3">
      <c r="A21" s="131">
        <v>20</v>
      </c>
      <c r="B21" s="79" t="str">
        <f t="shared" si="0"/>
        <v>Y</v>
      </c>
      <c r="C21" s="79" t="s">
        <v>45</v>
      </c>
      <c r="D21" s="166" t="s">
        <v>2025</v>
      </c>
      <c r="E21" s="79" t="s">
        <v>2023</v>
      </c>
      <c r="F21" s="79" t="s">
        <v>989</v>
      </c>
      <c r="G21" s="79" t="s">
        <v>514</v>
      </c>
      <c r="H21" s="131">
        <v>400</v>
      </c>
      <c r="I21" s="131" t="s">
        <v>2031</v>
      </c>
      <c r="J21" s="102" t="s">
        <v>50</v>
      </c>
      <c r="K21" s="102" t="s">
        <v>482</v>
      </c>
      <c r="L21" s="102" t="s">
        <v>51</v>
      </c>
      <c r="M21" s="102" t="s">
        <v>22</v>
      </c>
      <c r="N21" s="102" t="s">
        <v>21</v>
      </c>
      <c r="O21" s="125" t="s">
        <v>816</v>
      </c>
      <c r="P21" s="102" t="s">
        <v>23</v>
      </c>
      <c r="Q21" s="102" t="s">
        <v>952</v>
      </c>
      <c r="R21" s="102" t="s">
        <v>51</v>
      </c>
      <c r="S21" s="34"/>
      <c r="T21" s="44" t="s">
        <v>484</v>
      </c>
      <c r="U21" s="34" t="s">
        <v>55</v>
      </c>
      <c r="V21" s="34" t="s">
        <v>953</v>
      </c>
      <c r="W21" s="34" t="s">
        <v>954</v>
      </c>
      <c r="X21" s="102" t="s">
        <v>517</v>
      </c>
      <c r="Y21" s="211" t="s">
        <v>1998</v>
      </c>
      <c r="Z21" s="34" t="s">
        <v>955</v>
      </c>
      <c r="AA21" s="212" t="s">
        <v>2028</v>
      </c>
      <c r="AB21" s="34" t="s">
        <v>488</v>
      </c>
      <c r="AC21" s="46" t="s">
        <v>489</v>
      </c>
      <c r="AD21" s="46" t="s">
        <v>490</v>
      </c>
      <c r="AE21" s="34" t="s">
        <v>491</v>
      </c>
      <c r="AF21" s="34" t="s">
        <v>492</v>
      </c>
      <c r="AG21" s="34" t="s">
        <v>493</v>
      </c>
      <c r="AH21" s="34" t="s">
        <v>494</v>
      </c>
      <c r="AI21" s="34" t="s">
        <v>495</v>
      </c>
    </row>
    <row r="22" spans="1:35" ht="43.2" x14ac:dyDescent="0.3">
      <c r="A22" s="131">
        <v>21</v>
      </c>
      <c r="B22" s="79" t="str">
        <f t="shared" si="0"/>
        <v>Y</v>
      </c>
      <c r="C22" s="79" t="s">
        <v>45</v>
      </c>
      <c r="D22" s="166" t="s">
        <v>2026</v>
      </c>
      <c r="E22" s="79" t="s">
        <v>2029</v>
      </c>
      <c r="F22" s="79" t="s">
        <v>989</v>
      </c>
      <c r="G22" s="79" t="s">
        <v>514</v>
      </c>
      <c r="H22" s="131">
        <v>400</v>
      </c>
      <c r="I22" s="131" t="s">
        <v>2031</v>
      </c>
      <c r="J22" s="102" t="s">
        <v>50</v>
      </c>
      <c r="K22" s="102" t="s">
        <v>482</v>
      </c>
      <c r="L22" s="102" t="s">
        <v>51</v>
      </c>
      <c r="M22" s="102" t="s">
        <v>22</v>
      </c>
      <c r="N22" s="102" t="s">
        <v>21</v>
      </c>
      <c r="O22" s="125" t="s">
        <v>816</v>
      </c>
      <c r="P22" s="102" t="s">
        <v>23</v>
      </c>
      <c r="Q22" s="102" t="s">
        <v>952</v>
      </c>
      <c r="R22" s="102" t="s">
        <v>51</v>
      </c>
      <c r="S22" s="34"/>
      <c r="T22" s="44" t="s">
        <v>520</v>
      </c>
      <c r="U22" s="34" t="s">
        <v>55</v>
      </c>
      <c r="V22" s="34" t="s">
        <v>953</v>
      </c>
      <c r="W22" s="34" t="s">
        <v>954</v>
      </c>
      <c r="X22" s="102" t="s">
        <v>1154</v>
      </c>
      <c r="Y22" s="211" t="s">
        <v>1155</v>
      </c>
      <c r="Z22" s="34" t="s">
        <v>955</v>
      </c>
      <c r="AA22" s="212" t="s">
        <v>2028</v>
      </c>
      <c r="AB22" s="34" t="s">
        <v>488</v>
      </c>
      <c r="AC22" s="46" t="s">
        <v>489</v>
      </c>
      <c r="AD22" s="46" t="s">
        <v>490</v>
      </c>
      <c r="AE22" s="34" t="s">
        <v>491</v>
      </c>
      <c r="AF22" s="34" t="s">
        <v>492</v>
      </c>
      <c r="AG22" s="34" t="s">
        <v>493</v>
      </c>
      <c r="AH22" s="34" t="s">
        <v>494</v>
      </c>
      <c r="AI22" s="34" t="s">
        <v>495</v>
      </c>
    </row>
    <row r="23" spans="1:35" ht="43.2" x14ac:dyDescent="0.3">
      <c r="A23" s="131">
        <v>22</v>
      </c>
      <c r="B23" s="79" t="str">
        <f t="shared" si="0"/>
        <v>Y</v>
      </c>
      <c r="C23" s="79" t="s">
        <v>45</v>
      </c>
      <c r="D23" s="166" t="s">
        <v>2027</v>
      </c>
      <c r="E23" s="79" t="s">
        <v>2030</v>
      </c>
      <c r="F23" s="79" t="s">
        <v>989</v>
      </c>
      <c r="G23" s="79" t="s">
        <v>514</v>
      </c>
      <c r="H23" s="131">
        <v>400</v>
      </c>
      <c r="I23" s="131" t="s">
        <v>2031</v>
      </c>
      <c r="J23" s="102" t="s">
        <v>50</v>
      </c>
      <c r="K23" s="102" t="s">
        <v>482</v>
      </c>
      <c r="L23" s="102" t="s">
        <v>51</v>
      </c>
      <c r="M23" s="102" t="s">
        <v>22</v>
      </c>
      <c r="N23" s="102" t="s">
        <v>21</v>
      </c>
      <c r="O23" s="125" t="s">
        <v>816</v>
      </c>
      <c r="P23" s="102" t="s">
        <v>23</v>
      </c>
      <c r="Q23" s="102" t="s">
        <v>952</v>
      </c>
      <c r="R23" s="102" t="s">
        <v>51</v>
      </c>
      <c r="S23" s="34"/>
      <c r="T23" s="44" t="s">
        <v>171</v>
      </c>
      <c r="U23" s="34" t="s">
        <v>55</v>
      </c>
      <c r="V23" s="34" t="s">
        <v>953</v>
      </c>
      <c r="W23" s="34" t="s">
        <v>954</v>
      </c>
      <c r="X23" s="102" t="s">
        <v>964</v>
      </c>
      <c r="Y23" s="211" t="s">
        <v>1159</v>
      </c>
      <c r="Z23" s="34" t="s">
        <v>955</v>
      </c>
      <c r="AA23" s="212" t="s">
        <v>2028</v>
      </c>
      <c r="AB23" s="34" t="s">
        <v>488</v>
      </c>
      <c r="AC23" s="46" t="s">
        <v>489</v>
      </c>
      <c r="AD23" s="46" t="s">
        <v>490</v>
      </c>
      <c r="AE23" s="34" t="s">
        <v>491</v>
      </c>
      <c r="AF23" s="34" t="s">
        <v>492</v>
      </c>
      <c r="AG23" s="34" t="s">
        <v>493</v>
      </c>
      <c r="AH23" s="34" t="s">
        <v>494</v>
      </c>
      <c r="AI23" s="34" t="s">
        <v>495</v>
      </c>
    </row>
    <row r="24" spans="1:35" ht="43.2" x14ac:dyDescent="0.3">
      <c r="A24" s="131">
        <v>23</v>
      </c>
      <c r="B24" s="79" t="str">
        <f t="shared" si="0"/>
        <v>Y</v>
      </c>
      <c r="C24" s="79" t="s">
        <v>45</v>
      </c>
      <c r="D24" s="166" t="s">
        <v>2036</v>
      </c>
      <c r="E24" s="79" t="s">
        <v>2032</v>
      </c>
      <c r="F24" s="79" t="s">
        <v>990</v>
      </c>
      <c r="G24" s="79" t="s">
        <v>514</v>
      </c>
      <c r="H24" s="131">
        <v>400</v>
      </c>
      <c r="I24" s="131" t="s">
        <v>2031</v>
      </c>
      <c r="J24" s="102" t="s">
        <v>50</v>
      </c>
      <c r="K24" s="102" t="s">
        <v>482</v>
      </c>
      <c r="L24" s="102" t="s">
        <v>51</v>
      </c>
      <c r="M24" s="102" t="s">
        <v>22</v>
      </c>
      <c r="N24" s="102" t="s">
        <v>21</v>
      </c>
      <c r="O24" s="125" t="s">
        <v>816</v>
      </c>
      <c r="P24" s="102" t="s">
        <v>23</v>
      </c>
      <c r="Q24" s="102" t="s">
        <v>952</v>
      </c>
      <c r="R24" s="102" t="s">
        <v>51</v>
      </c>
      <c r="S24" s="34"/>
      <c r="T24" s="44" t="s">
        <v>484</v>
      </c>
      <c r="U24" s="34" t="s">
        <v>55</v>
      </c>
      <c r="V24" s="34" t="s">
        <v>953</v>
      </c>
      <c r="W24" s="34" t="s">
        <v>954</v>
      </c>
      <c r="X24" s="102" t="s">
        <v>486</v>
      </c>
      <c r="Y24" s="128">
        <v>200061812481</v>
      </c>
      <c r="Z24" s="34" t="s">
        <v>955</v>
      </c>
      <c r="AA24" s="212" t="s">
        <v>2040</v>
      </c>
      <c r="AB24" s="34" t="s">
        <v>488</v>
      </c>
      <c r="AC24" s="46" t="s">
        <v>489</v>
      </c>
      <c r="AD24" s="46" t="s">
        <v>490</v>
      </c>
      <c r="AE24" s="34" t="s">
        <v>491</v>
      </c>
      <c r="AF24" s="34" t="s">
        <v>492</v>
      </c>
      <c r="AG24" s="34" t="s">
        <v>493</v>
      </c>
      <c r="AH24" s="34" t="s">
        <v>494</v>
      </c>
      <c r="AI24" s="34" t="s">
        <v>495</v>
      </c>
    </row>
    <row r="25" spans="1:35" ht="43.2" x14ac:dyDescent="0.3">
      <c r="A25" s="131">
        <v>24</v>
      </c>
      <c r="B25" s="79" t="str">
        <f t="shared" si="0"/>
        <v>Y</v>
      </c>
      <c r="C25" s="79" t="s">
        <v>45</v>
      </c>
      <c r="D25" s="166" t="s">
        <v>2037</v>
      </c>
      <c r="E25" s="79" t="s">
        <v>2033</v>
      </c>
      <c r="F25" s="79" t="s">
        <v>990</v>
      </c>
      <c r="G25" s="79" t="s">
        <v>514</v>
      </c>
      <c r="H25" s="131">
        <v>400</v>
      </c>
      <c r="I25" s="131" t="s">
        <v>2031</v>
      </c>
      <c r="J25" s="102" t="s">
        <v>50</v>
      </c>
      <c r="K25" s="102" t="s">
        <v>482</v>
      </c>
      <c r="L25" s="102" t="s">
        <v>51</v>
      </c>
      <c r="M25" s="102" t="s">
        <v>22</v>
      </c>
      <c r="N25" s="102" t="s">
        <v>21</v>
      </c>
      <c r="O25" s="125" t="s">
        <v>816</v>
      </c>
      <c r="P25" s="102" t="s">
        <v>23</v>
      </c>
      <c r="Q25" s="102" t="s">
        <v>952</v>
      </c>
      <c r="R25" s="102" t="s">
        <v>51</v>
      </c>
      <c r="S25" s="34"/>
      <c r="T25" s="44" t="s">
        <v>484</v>
      </c>
      <c r="U25" s="34" t="s">
        <v>55</v>
      </c>
      <c r="V25" s="34" t="s">
        <v>953</v>
      </c>
      <c r="W25" s="34" t="s">
        <v>954</v>
      </c>
      <c r="X25" s="102" t="s">
        <v>517</v>
      </c>
      <c r="Y25" s="211" t="s">
        <v>1998</v>
      </c>
      <c r="Z25" s="34" t="s">
        <v>955</v>
      </c>
      <c r="AA25" s="212" t="s">
        <v>2040</v>
      </c>
      <c r="AB25" s="34" t="s">
        <v>488</v>
      </c>
      <c r="AC25" s="46" t="s">
        <v>489</v>
      </c>
      <c r="AD25" s="46" t="s">
        <v>490</v>
      </c>
      <c r="AE25" s="34" t="s">
        <v>491</v>
      </c>
      <c r="AF25" s="34" t="s">
        <v>492</v>
      </c>
      <c r="AG25" s="34" t="s">
        <v>493</v>
      </c>
      <c r="AH25" s="34" t="s">
        <v>494</v>
      </c>
      <c r="AI25" s="34" t="s">
        <v>495</v>
      </c>
    </row>
    <row r="26" spans="1:35" ht="43.2" x14ac:dyDescent="0.3">
      <c r="A26" s="131">
        <v>25</v>
      </c>
      <c r="B26" s="79" t="str">
        <f t="shared" si="0"/>
        <v>Y</v>
      </c>
      <c r="C26" s="79" t="s">
        <v>45</v>
      </c>
      <c r="D26" s="166" t="s">
        <v>2038</v>
      </c>
      <c r="E26" s="79" t="s">
        <v>2034</v>
      </c>
      <c r="F26" s="79" t="s">
        <v>990</v>
      </c>
      <c r="G26" s="79" t="s">
        <v>514</v>
      </c>
      <c r="H26" s="131">
        <v>400</v>
      </c>
      <c r="I26" s="131" t="s">
        <v>2031</v>
      </c>
      <c r="J26" s="102" t="s">
        <v>50</v>
      </c>
      <c r="K26" s="102" t="s">
        <v>482</v>
      </c>
      <c r="L26" s="102" t="s">
        <v>51</v>
      </c>
      <c r="M26" s="102" t="s">
        <v>22</v>
      </c>
      <c r="N26" s="102" t="s">
        <v>21</v>
      </c>
      <c r="O26" s="125" t="s">
        <v>816</v>
      </c>
      <c r="P26" s="102" t="s">
        <v>23</v>
      </c>
      <c r="Q26" s="102" t="s">
        <v>952</v>
      </c>
      <c r="R26" s="102" t="s">
        <v>51</v>
      </c>
      <c r="S26" s="34"/>
      <c r="T26" s="44" t="s">
        <v>520</v>
      </c>
      <c r="U26" s="34" t="s">
        <v>55</v>
      </c>
      <c r="V26" s="34" t="s">
        <v>953</v>
      </c>
      <c r="W26" s="34" t="s">
        <v>954</v>
      </c>
      <c r="X26" s="102" t="s">
        <v>1154</v>
      </c>
      <c r="Y26" s="211" t="s">
        <v>1155</v>
      </c>
      <c r="Z26" s="34" t="s">
        <v>955</v>
      </c>
      <c r="AA26" s="212" t="s">
        <v>2040</v>
      </c>
      <c r="AB26" s="34" t="s">
        <v>488</v>
      </c>
      <c r="AC26" s="46" t="s">
        <v>489</v>
      </c>
      <c r="AD26" s="46" t="s">
        <v>490</v>
      </c>
      <c r="AE26" s="34" t="s">
        <v>491</v>
      </c>
      <c r="AF26" s="34" t="s">
        <v>492</v>
      </c>
      <c r="AG26" s="34" t="s">
        <v>493</v>
      </c>
      <c r="AH26" s="34" t="s">
        <v>494</v>
      </c>
      <c r="AI26" s="34" t="s">
        <v>495</v>
      </c>
    </row>
    <row r="27" spans="1:35" ht="43.2" x14ac:dyDescent="0.3">
      <c r="A27" s="131">
        <v>26</v>
      </c>
      <c r="B27" s="79" t="str">
        <f t="shared" si="0"/>
        <v>Y</v>
      </c>
      <c r="C27" s="79" t="s">
        <v>45</v>
      </c>
      <c r="D27" s="166" t="s">
        <v>2039</v>
      </c>
      <c r="E27" s="79" t="s">
        <v>2035</v>
      </c>
      <c r="F27" s="79" t="s">
        <v>990</v>
      </c>
      <c r="G27" s="79" t="s">
        <v>514</v>
      </c>
      <c r="H27" s="131">
        <v>400</v>
      </c>
      <c r="I27" s="131" t="s">
        <v>2031</v>
      </c>
      <c r="J27" s="102" t="s">
        <v>50</v>
      </c>
      <c r="K27" s="102" t="s">
        <v>482</v>
      </c>
      <c r="L27" s="102" t="s">
        <v>51</v>
      </c>
      <c r="M27" s="102" t="s">
        <v>22</v>
      </c>
      <c r="N27" s="102" t="s">
        <v>21</v>
      </c>
      <c r="O27" s="125" t="s">
        <v>816</v>
      </c>
      <c r="P27" s="102" t="s">
        <v>23</v>
      </c>
      <c r="Q27" s="102" t="s">
        <v>952</v>
      </c>
      <c r="R27" s="102" t="s">
        <v>51</v>
      </c>
      <c r="S27" s="34"/>
      <c r="T27" s="44" t="s">
        <v>171</v>
      </c>
      <c r="U27" s="34" t="s">
        <v>55</v>
      </c>
      <c r="V27" s="34" t="s">
        <v>953</v>
      </c>
      <c r="W27" s="34" t="s">
        <v>954</v>
      </c>
      <c r="X27" s="102" t="s">
        <v>964</v>
      </c>
      <c r="Y27" s="211" t="s">
        <v>1159</v>
      </c>
      <c r="Z27" s="34" t="s">
        <v>955</v>
      </c>
      <c r="AA27" s="212" t="s">
        <v>2040</v>
      </c>
      <c r="AB27" s="34" t="s">
        <v>488</v>
      </c>
      <c r="AC27" s="46" t="s">
        <v>489</v>
      </c>
      <c r="AD27" s="46" t="s">
        <v>490</v>
      </c>
      <c r="AE27" s="34" t="s">
        <v>491</v>
      </c>
      <c r="AF27" s="34" t="s">
        <v>492</v>
      </c>
      <c r="AG27" s="34" t="s">
        <v>493</v>
      </c>
      <c r="AH27" s="34" t="s">
        <v>494</v>
      </c>
      <c r="AI27" s="34" t="s">
        <v>495</v>
      </c>
    </row>
    <row r="28" spans="1:35" ht="43.2" x14ac:dyDescent="0.3">
      <c r="A28" s="131">
        <v>27</v>
      </c>
      <c r="B28" s="79" t="str">
        <f t="shared" si="0"/>
        <v>Y</v>
      </c>
      <c r="C28" s="79" t="s">
        <v>45</v>
      </c>
      <c r="D28" s="166" t="s">
        <v>2045</v>
      </c>
      <c r="E28" s="79" t="s">
        <v>2041</v>
      </c>
      <c r="F28" s="79" t="s">
        <v>991</v>
      </c>
      <c r="G28" s="79" t="s">
        <v>992</v>
      </c>
      <c r="H28" s="131">
        <v>200</v>
      </c>
      <c r="I28" s="127"/>
      <c r="J28" s="102" t="s">
        <v>50</v>
      </c>
      <c r="K28" s="102" t="s">
        <v>482</v>
      </c>
      <c r="L28" s="102" t="s">
        <v>51</v>
      </c>
      <c r="M28" s="102" t="s">
        <v>22</v>
      </c>
      <c r="N28" s="102" t="s">
        <v>21</v>
      </c>
      <c r="O28" s="125" t="s">
        <v>816</v>
      </c>
      <c r="P28" s="102" t="s">
        <v>23</v>
      </c>
      <c r="Q28" s="102" t="s">
        <v>952</v>
      </c>
      <c r="R28" s="102" t="s">
        <v>51</v>
      </c>
      <c r="S28" s="34"/>
      <c r="T28" s="44" t="s">
        <v>484</v>
      </c>
      <c r="U28" s="34" t="s">
        <v>55</v>
      </c>
      <c r="V28" s="220" t="s">
        <v>2049</v>
      </c>
      <c r="W28" s="34" t="s">
        <v>954</v>
      </c>
      <c r="X28" s="102" t="s">
        <v>486</v>
      </c>
      <c r="Y28" s="128">
        <v>200061812481</v>
      </c>
      <c r="Z28" s="34" t="s">
        <v>955</v>
      </c>
      <c r="AA28" s="212" t="s">
        <v>2050</v>
      </c>
      <c r="AB28" s="34" t="s">
        <v>488</v>
      </c>
      <c r="AC28" s="46" t="s">
        <v>489</v>
      </c>
      <c r="AD28" s="46" t="s">
        <v>490</v>
      </c>
      <c r="AE28" s="34" t="s">
        <v>491</v>
      </c>
      <c r="AF28" s="34" t="s">
        <v>492</v>
      </c>
      <c r="AG28" s="34" t="s">
        <v>493</v>
      </c>
      <c r="AH28" s="34" t="s">
        <v>494</v>
      </c>
      <c r="AI28" s="34" t="s">
        <v>495</v>
      </c>
    </row>
    <row r="29" spans="1:35" ht="43.2" x14ac:dyDescent="0.3">
      <c r="A29" s="131">
        <v>28</v>
      </c>
      <c r="B29" s="79" t="str">
        <f t="shared" si="0"/>
        <v>Y</v>
      </c>
      <c r="C29" s="79" t="s">
        <v>45</v>
      </c>
      <c r="D29" s="166" t="s">
        <v>2046</v>
      </c>
      <c r="E29" s="79" t="s">
        <v>2042</v>
      </c>
      <c r="F29" s="79" t="s">
        <v>991</v>
      </c>
      <c r="G29" s="79" t="s">
        <v>992</v>
      </c>
      <c r="H29" s="131">
        <v>200</v>
      </c>
      <c r="I29" s="127"/>
      <c r="J29" s="102" t="s">
        <v>50</v>
      </c>
      <c r="K29" s="102" t="s">
        <v>482</v>
      </c>
      <c r="L29" s="102" t="s">
        <v>51</v>
      </c>
      <c r="M29" s="102" t="s">
        <v>22</v>
      </c>
      <c r="N29" s="102" t="s">
        <v>21</v>
      </c>
      <c r="O29" s="125" t="s">
        <v>816</v>
      </c>
      <c r="P29" s="102" t="s">
        <v>23</v>
      </c>
      <c r="Q29" s="102" t="s">
        <v>952</v>
      </c>
      <c r="R29" s="102" t="s">
        <v>51</v>
      </c>
      <c r="S29" s="34"/>
      <c r="T29" s="44" t="s">
        <v>484</v>
      </c>
      <c r="U29" s="34" t="s">
        <v>55</v>
      </c>
      <c r="V29" s="220" t="s">
        <v>2049</v>
      </c>
      <c r="W29" s="34" t="s">
        <v>954</v>
      </c>
      <c r="X29" s="102" t="s">
        <v>517</v>
      </c>
      <c r="Y29" s="211" t="s">
        <v>1998</v>
      </c>
      <c r="Z29" s="34" t="s">
        <v>955</v>
      </c>
      <c r="AA29" s="212" t="s">
        <v>2050</v>
      </c>
      <c r="AB29" s="34" t="s">
        <v>488</v>
      </c>
      <c r="AC29" s="46" t="s">
        <v>489</v>
      </c>
      <c r="AD29" s="46" t="s">
        <v>490</v>
      </c>
      <c r="AE29" s="34" t="s">
        <v>491</v>
      </c>
      <c r="AF29" s="34" t="s">
        <v>492</v>
      </c>
      <c r="AG29" s="34" t="s">
        <v>493</v>
      </c>
      <c r="AH29" s="34" t="s">
        <v>494</v>
      </c>
      <c r="AI29" s="34" t="s">
        <v>495</v>
      </c>
    </row>
    <row r="30" spans="1:35" ht="43.2" x14ac:dyDescent="0.3">
      <c r="A30" s="131">
        <v>29</v>
      </c>
      <c r="B30" s="79" t="str">
        <f t="shared" si="0"/>
        <v>Y</v>
      </c>
      <c r="C30" s="79" t="s">
        <v>45</v>
      </c>
      <c r="D30" s="166" t="s">
        <v>2047</v>
      </c>
      <c r="E30" s="79" t="s">
        <v>2043</v>
      </c>
      <c r="F30" s="79" t="s">
        <v>991</v>
      </c>
      <c r="G30" s="79" t="s">
        <v>992</v>
      </c>
      <c r="H30" s="131">
        <v>200</v>
      </c>
      <c r="I30" s="127"/>
      <c r="J30" s="102" t="s">
        <v>50</v>
      </c>
      <c r="K30" s="102" t="s">
        <v>482</v>
      </c>
      <c r="L30" s="102" t="s">
        <v>51</v>
      </c>
      <c r="M30" s="102" t="s">
        <v>22</v>
      </c>
      <c r="N30" s="102" t="s">
        <v>21</v>
      </c>
      <c r="O30" s="125" t="s">
        <v>816</v>
      </c>
      <c r="P30" s="102" t="s">
        <v>23</v>
      </c>
      <c r="Q30" s="102" t="s">
        <v>952</v>
      </c>
      <c r="R30" s="102" t="s">
        <v>51</v>
      </c>
      <c r="S30" s="34"/>
      <c r="T30" s="44" t="s">
        <v>520</v>
      </c>
      <c r="U30" s="34" t="s">
        <v>55</v>
      </c>
      <c r="V30" s="220" t="s">
        <v>2049</v>
      </c>
      <c r="W30" s="34" t="s">
        <v>954</v>
      </c>
      <c r="X30" s="102" t="s">
        <v>1154</v>
      </c>
      <c r="Y30" s="211" t="s">
        <v>1155</v>
      </c>
      <c r="Z30" s="34" t="s">
        <v>955</v>
      </c>
      <c r="AA30" s="212" t="s">
        <v>2050</v>
      </c>
      <c r="AB30" s="34" t="s">
        <v>488</v>
      </c>
      <c r="AC30" s="46" t="s">
        <v>489</v>
      </c>
      <c r="AD30" s="46" t="s">
        <v>490</v>
      </c>
      <c r="AE30" s="34" t="s">
        <v>491</v>
      </c>
      <c r="AF30" s="34" t="s">
        <v>492</v>
      </c>
      <c r="AG30" s="34" t="s">
        <v>493</v>
      </c>
      <c r="AH30" s="34" t="s">
        <v>494</v>
      </c>
      <c r="AI30" s="34" t="s">
        <v>495</v>
      </c>
    </row>
    <row r="31" spans="1:35" ht="43.2" x14ac:dyDescent="0.3">
      <c r="A31" s="131">
        <v>30</v>
      </c>
      <c r="B31" s="79" t="str">
        <f t="shared" si="0"/>
        <v>Y</v>
      </c>
      <c r="C31" s="79" t="s">
        <v>45</v>
      </c>
      <c r="D31" s="166" t="s">
        <v>2048</v>
      </c>
      <c r="E31" s="79" t="s">
        <v>2044</v>
      </c>
      <c r="F31" s="79" t="s">
        <v>991</v>
      </c>
      <c r="G31" s="79" t="s">
        <v>992</v>
      </c>
      <c r="H31" s="131">
        <v>200</v>
      </c>
      <c r="I31" s="127"/>
      <c r="J31" s="102" t="s">
        <v>50</v>
      </c>
      <c r="K31" s="102" t="s">
        <v>482</v>
      </c>
      <c r="L31" s="102" t="s">
        <v>51</v>
      </c>
      <c r="M31" s="102" t="s">
        <v>22</v>
      </c>
      <c r="N31" s="102" t="s">
        <v>21</v>
      </c>
      <c r="O31" s="125" t="s">
        <v>816</v>
      </c>
      <c r="P31" s="102" t="s">
        <v>23</v>
      </c>
      <c r="Q31" s="102" t="s">
        <v>952</v>
      </c>
      <c r="R31" s="102" t="s">
        <v>51</v>
      </c>
      <c r="S31" s="34"/>
      <c r="T31" s="44" t="s">
        <v>171</v>
      </c>
      <c r="U31" s="34" t="s">
        <v>55</v>
      </c>
      <c r="V31" s="220" t="s">
        <v>2049</v>
      </c>
      <c r="W31" s="34" t="s">
        <v>954</v>
      </c>
      <c r="X31" s="102" t="s">
        <v>964</v>
      </c>
      <c r="Y31" s="211" t="s">
        <v>1159</v>
      </c>
      <c r="Z31" s="34" t="s">
        <v>955</v>
      </c>
      <c r="AA31" s="212" t="s">
        <v>2050</v>
      </c>
      <c r="AB31" s="34" t="s">
        <v>488</v>
      </c>
      <c r="AC31" s="46" t="s">
        <v>489</v>
      </c>
      <c r="AD31" s="46" t="s">
        <v>490</v>
      </c>
      <c r="AE31" s="34" t="s">
        <v>491</v>
      </c>
      <c r="AF31" s="34" t="s">
        <v>492</v>
      </c>
      <c r="AG31" s="34" t="s">
        <v>493</v>
      </c>
      <c r="AH31" s="34" t="s">
        <v>494</v>
      </c>
      <c r="AI31" s="34" t="s">
        <v>495</v>
      </c>
    </row>
    <row r="32" spans="1:35" ht="43.2" x14ac:dyDescent="0.3">
      <c r="A32" s="131">
        <v>31</v>
      </c>
      <c r="B32" s="79" t="str">
        <f t="shared" si="0"/>
        <v>Y</v>
      </c>
      <c r="C32" s="79" t="s">
        <v>45</v>
      </c>
      <c r="D32" s="166" t="s">
        <v>2051</v>
      </c>
      <c r="E32" s="79" t="s">
        <v>2055</v>
      </c>
      <c r="F32" s="79" t="s">
        <v>513</v>
      </c>
      <c r="G32" s="79" t="s">
        <v>514</v>
      </c>
      <c r="H32" s="131">
        <v>400</v>
      </c>
      <c r="I32" s="131" t="s">
        <v>1995</v>
      </c>
      <c r="J32" s="102" t="s">
        <v>50</v>
      </c>
      <c r="K32" s="102" t="s">
        <v>482</v>
      </c>
      <c r="L32" s="102" t="s">
        <v>51</v>
      </c>
      <c r="M32" s="102" t="s">
        <v>22</v>
      </c>
      <c r="N32" s="102" t="s">
        <v>21</v>
      </c>
      <c r="O32" s="125" t="s">
        <v>816</v>
      </c>
      <c r="P32" s="102" t="s">
        <v>23</v>
      </c>
      <c r="Q32" s="102" t="s">
        <v>952</v>
      </c>
      <c r="R32" s="102" t="s">
        <v>51</v>
      </c>
      <c r="S32" s="34"/>
      <c r="T32" s="44" t="s">
        <v>484</v>
      </c>
      <c r="U32" s="34" t="s">
        <v>55</v>
      </c>
      <c r="V32" s="34" t="s">
        <v>953</v>
      </c>
      <c r="W32" s="34" t="s">
        <v>954</v>
      </c>
      <c r="X32" s="102" t="s">
        <v>486</v>
      </c>
      <c r="Y32" s="128">
        <v>200061812481</v>
      </c>
      <c r="Z32" s="34" t="s">
        <v>955</v>
      </c>
      <c r="AA32" s="221" t="s">
        <v>1977</v>
      </c>
      <c r="AB32" s="34" t="s">
        <v>488</v>
      </c>
      <c r="AC32" s="46" t="s">
        <v>489</v>
      </c>
      <c r="AD32" s="46" t="s">
        <v>490</v>
      </c>
      <c r="AE32" s="34" t="s">
        <v>491</v>
      </c>
      <c r="AF32" s="34" t="s">
        <v>492</v>
      </c>
      <c r="AG32" s="34" t="s">
        <v>493</v>
      </c>
      <c r="AH32" s="34" t="s">
        <v>494</v>
      </c>
      <c r="AI32" s="34" t="s">
        <v>495</v>
      </c>
    </row>
    <row r="33" spans="1:35" ht="43.2" x14ac:dyDescent="0.3">
      <c r="A33" s="131">
        <v>32</v>
      </c>
      <c r="B33" s="79" t="str">
        <f t="shared" si="0"/>
        <v>Y</v>
      </c>
      <c r="C33" s="79" t="s">
        <v>45</v>
      </c>
      <c r="D33" s="166" t="s">
        <v>2052</v>
      </c>
      <c r="E33" s="79" t="s">
        <v>2056</v>
      </c>
      <c r="F33" s="79" t="s">
        <v>513</v>
      </c>
      <c r="G33" s="79" t="s">
        <v>514</v>
      </c>
      <c r="H33" s="131">
        <v>400</v>
      </c>
      <c r="I33" s="131" t="s">
        <v>1995</v>
      </c>
      <c r="J33" s="102" t="s">
        <v>50</v>
      </c>
      <c r="K33" s="102" t="s">
        <v>482</v>
      </c>
      <c r="L33" s="102" t="s">
        <v>51</v>
      </c>
      <c r="M33" s="102" t="s">
        <v>22</v>
      </c>
      <c r="N33" s="102" t="s">
        <v>21</v>
      </c>
      <c r="O33" s="125" t="s">
        <v>816</v>
      </c>
      <c r="P33" s="102" t="s">
        <v>23</v>
      </c>
      <c r="Q33" s="102" t="s">
        <v>952</v>
      </c>
      <c r="R33" s="102" t="s">
        <v>51</v>
      </c>
      <c r="S33" s="34"/>
      <c r="T33" s="44" t="s">
        <v>484</v>
      </c>
      <c r="U33" s="34" t="s">
        <v>55</v>
      </c>
      <c r="V33" s="34" t="s">
        <v>953</v>
      </c>
      <c r="W33" s="34" t="s">
        <v>954</v>
      </c>
      <c r="X33" s="102" t="s">
        <v>517</v>
      </c>
      <c r="Y33" s="211" t="s">
        <v>1998</v>
      </c>
      <c r="Z33" s="34" t="s">
        <v>955</v>
      </c>
      <c r="AA33" s="221" t="s">
        <v>1977</v>
      </c>
      <c r="AB33" s="34" t="s">
        <v>488</v>
      </c>
      <c r="AC33" s="46" t="s">
        <v>489</v>
      </c>
      <c r="AD33" s="46" t="s">
        <v>490</v>
      </c>
      <c r="AE33" s="34" t="s">
        <v>491</v>
      </c>
      <c r="AF33" s="34" t="s">
        <v>492</v>
      </c>
      <c r="AG33" s="34" t="s">
        <v>493</v>
      </c>
      <c r="AH33" s="34" t="s">
        <v>494</v>
      </c>
      <c r="AI33" s="34" t="s">
        <v>495</v>
      </c>
    </row>
    <row r="34" spans="1:35" ht="43.2" x14ac:dyDescent="0.3">
      <c r="A34" s="131">
        <v>33</v>
      </c>
      <c r="B34" s="79" t="str">
        <f t="shared" si="0"/>
        <v>Y</v>
      </c>
      <c r="C34" s="79" t="s">
        <v>45</v>
      </c>
      <c r="D34" s="166" t="s">
        <v>2053</v>
      </c>
      <c r="E34" s="79" t="s">
        <v>2057</v>
      </c>
      <c r="F34" s="79" t="s">
        <v>513</v>
      </c>
      <c r="G34" s="79" t="s">
        <v>514</v>
      </c>
      <c r="H34" s="131">
        <v>400</v>
      </c>
      <c r="I34" s="131" t="s">
        <v>1995</v>
      </c>
      <c r="J34" s="102" t="s">
        <v>50</v>
      </c>
      <c r="K34" s="102" t="s">
        <v>482</v>
      </c>
      <c r="L34" s="102" t="s">
        <v>51</v>
      </c>
      <c r="M34" s="102" t="s">
        <v>22</v>
      </c>
      <c r="N34" s="102" t="s">
        <v>21</v>
      </c>
      <c r="O34" s="125" t="s">
        <v>816</v>
      </c>
      <c r="P34" s="102" t="s">
        <v>23</v>
      </c>
      <c r="Q34" s="102" t="s">
        <v>952</v>
      </c>
      <c r="R34" s="102" t="s">
        <v>51</v>
      </c>
      <c r="S34" s="34"/>
      <c r="T34" s="44" t="s">
        <v>520</v>
      </c>
      <c r="U34" s="34" t="s">
        <v>55</v>
      </c>
      <c r="V34" s="34" t="s">
        <v>953</v>
      </c>
      <c r="W34" s="34" t="s">
        <v>954</v>
      </c>
      <c r="X34" s="102" t="s">
        <v>1154</v>
      </c>
      <c r="Y34" s="211" t="s">
        <v>1155</v>
      </c>
      <c r="Z34" s="34" t="s">
        <v>955</v>
      </c>
      <c r="AA34" s="221" t="s">
        <v>1977</v>
      </c>
      <c r="AB34" s="34" t="s">
        <v>488</v>
      </c>
      <c r="AC34" s="46" t="s">
        <v>489</v>
      </c>
      <c r="AD34" s="46" t="s">
        <v>490</v>
      </c>
      <c r="AE34" s="34" t="s">
        <v>491</v>
      </c>
      <c r="AF34" s="34" t="s">
        <v>492</v>
      </c>
      <c r="AG34" s="34" t="s">
        <v>493</v>
      </c>
      <c r="AH34" s="34" t="s">
        <v>494</v>
      </c>
      <c r="AI34" s="34" t="s">
        <v>495</v>
      </c>
    </row>
    <row r="35" spans="1:35" ht="43.2" x14ac:dyDescent="0.3">
      <c r="A35" s="131">
        <v>34</v>
      </c>
      <c r="B35" s="79" t="str">
        <f t="shared" si="0"/>
        <v>Y</v>
      </c>
      <c r="C35" s="79" t="s">
        <v>45</v>
      </c>
      <c r="D35" s="166" t="s">
        <v>2054</v>
      </c>
      <c r="E35" s="79" t="s">
        <v>2058</v>
      </c>
      <c r="F35" s="79" t="s">
        <v>513</v>
      </c>
      <c r="G35" s="79" t="s">
        <v>514</v>
      </c>
      <c r="H35" s="131">
        <v>400</v>
      </c>
      <c r="I35" s="131" t="s">
        <v>1995</v>
      </c>
      <c r="J35" s="102" t="s">
        <v>50</v>
      </c>
      <c r="K35" s="102" t="s">
        <v>482</v>
      </c>
      <c r="L35" s="102" t="s">
        <v>51</v>
      </c>
      <c r="M35" s="102" t="s">
        <v>22</v>
      </c>
      <c r="N35" s="102" t="s">
        <v>21</v>
      </c>
      <c r="O35" s="125" t="s">
        <v>816</v>
      </c>
      <c r="P35" s="102" t="s">
        <v>23</v>
      </c>
      <c r="Q35" s="102" t="s">
        <v>952</v>
      </c>
      <c r="R35" s="102" t="s">
        <v>51</v>
      </c>
      <c r="S35" s="34"/>
      <c r="T35" s="44" t="s">
        <v>171</v>
      </c>
      <c r="U35" s="34" t="s">
        <v>55</v>
      </c>
      <c r="V35" s="34" t="s">
        <v>953</v>
      </c>
      <c r="W35" s="34" t="s">
        <v>954</v>
      </c>
      <c r="X35" s="102" t="s">
        <v>964</v>
      </c>
      <c r="Y35" s="211" t="s">
        <v>1159</v>
      </c>
      <c r="Z35" s="34" t="s">
        <v>955</v>
      </c>
      <c r="AA35" s="221" t="s">
        <v>1977</v>
      </c>
      <c r="AB35" s="34" t="s">
        <v>488</v>
      </c>
      <c r="AC35" s="46" t="s">
        <v>489</v>
      </c>
      <c r="AD35" s="46" t="s">
        <v>490</v>
      </c>
      <c r="AE35" s="34" t="s">
        <v>491</v>
      </c>
      <c r="AF35" s="34" t="s">
        <v>492</v>
      </c>
      <c r="AG35" s="34" t="s">
        <v>493</v>
      </c>
      <c r="AH35" s="34" t="s">
        <v>494</v>
      </c>
      <c r="AI35" s="34" t="s">
        <v>495</v>
      </c>
    </row>
    <row r="36" spans="1:35" ht="43.2" x14ac:dyDescent="0.3">
      <c r="A36" s="131">
        <v>35</v>
      </c>
      <c r="B36" s="79" t="str">
        <f t="shared" si="0"/>
        <v>Y</v>
      </c>
      <c r="C36" s="79" t="s">
        <v>45</v>
      </c>
      <c r="D36" s="166" t="s">
        <v>2059</v>
      </c>
      <c r="E36" s="79" t="s">
        <v>2063</v>
      </c>
      <c r="F36" s="79" t="s">
        <v>993</v>
      </c>
      <c r="G36" s="79" t="s">
        <v>514</v>
      </c>
      <c r="H36" s="127">
        <v>400</v>
      </c>
      <c r="I36" s="131" t="s">
        <v>1995</v>
      </c>
      <c r="J36" s="102" t="s">
        <v>50</v>
      </c>
      <c r="K36" s="102" t="s">
        <v>482</v>
      </c>
      <c r="L36" s="102" t="s">
        <v>51</v>
      </c>
      <c r="M36" s="102" t="s">
        <v>22</v>
      </c>
      <c r="N36" s="102" t="s">
        <v>21</v>
      </c>
      <c r="O36" s="125" t="s">
        <v>816</v>
      </c>
      <c r="P36" s="102" t="s">
        <v>23</v>
      </c>
      <c r="Q36" s="102" t="s">
        <v>952</v>
      </c>
      <c r="R36" s="102" t="s">
        <v>51</v>
      </c>
      <c r="S36" s="34"/>
      <c r="T36" s="44" t="s">
        <v>484</v>
      </c>
      <c r="U36" s="34" t="s">
        <v>55</v>
      </c>
      <c r="V36" s="34" t="s">
        <v>953</v>
      </c>
      <c r="W36" s="34" t="s">
        <v>954</v>
      </c>
      <c r="X36" s="102" t="s">
        <v>486</v>
      </c>
      <c r="Y36" s="128">
        <v>200061812481</v>
      </c>
      <c r="Z36" s="34" t="s">
        <v>955</v>
      </c>
      <c r="AA36" s="221" t="s">
        <v>2064</v>
      </c>
      <c r="AB36" s="34" t="s">
        <v>488</v>
      </c>
      <c r="AC36" s="46" t="s">
        <v>489</v>
      </c>
      <c r="AD36" s="46" t="s">
        <v>490</v>
      </c>
      <c r="AE36" s="34" t="s">
        <v>491</v>
      </c>
      <c r="AF36" s="34" t="s">
        <v>492</v>
      </c>
      <c r="AG36" s="34" t="s">
        <v>493</v>
      </c>
      <c r="AH36" s="34" t="s">
        <v>494</v>
      </c>
      <c r="AI36" s="34" t="s">
        <v>495</v>
      </c>
    </row>
    <row r="37" spans="1:35" ht="43.2" x14ac:dyDescent="0.3">
      <c r="A37" s="131">
        <v>36</v>
      </c>
      <c r="B37" s="79" t="str">
        <f t="shared" si="0"/>
        <v>Y</v>
      </c>
      <c r="C37" s="79" t="s">
        <v>45</v>
      </c>
      <c r="D37" s="166" t="s">
        <v>2060</v>
      </c>
      <c r="E37" s="79" t="s">
        <v>2067</v>
      </c>
      <c r="F37" s="79" t="s">
        <v>993</v>
      </c>
      <c r="G37" s="79" t="s">
        <v>514</v>
      </c>
      <c r="H37" s="127">
        <v>400</v>
      </c>
      <c r="I37" s="131" t="s">
        <v>1995</v>
      </c>
      <c r="J37" s="102" t="s">
        <v>50</v>
      </c>
      <c r="K37" s="102" t="s">
        <v>482</v>
      </c>
      <c r="L37" s="102" t="s">
        <v>51</v>
      </c>
      <c r="M37" s="102" t="s">
        <v>22</v>
      </c>
      <c r="N37" s="102" t="s">
        <v>21</v>
      </c>
      <c r="O37" s="125" t="s">
        <v>816</v>
      </c>
      <c r="P37" s="102" t="s">
        <v>23</v>
      </c>
      <c r="Q37" s="102" t="s">
        <v>952</v>
      </c>
      <c r="R37" s="102" t="s">
        <v>51</v>
      </c>
      <c r="S37" s="34"/>
      <c r="T37" s="44" t="s">
        <v>484</v>
      </c>
      <c r="U37" s="34" t="s">
        <v>55</v>
      </c>
      <c r="V37" s="34" t="s">
        <v>953</v>
      </c>
      <c r="W37" s="34" t="s">
        <v>954</v>
      </c>
      <c r="X37" s="102" t="s">
        <v>517</v>
      </c>
      <c r="Y37" s="211" t="s">
        <v>1998</v>
      </c>
      <c r="Z37" s="34" t="s">
        <v>955</v>
      </c>
      <c r="AA37" s="221" t="s">
        <v>2065</v>
      </c>
      <c r="AB37" s="34" t="s">
        <v>488</v>
      </c>
      <c r="AC37" s="46" t="s">
        <v>489</v>
      </c>
      <c r="AD37" s="46" t="s">
        <v>490</v>
      </c>
      <c r="AE37" s="34" t="s">
        <v>491</v>
      </c>
      <c r="AF37" s="34" t="s">
        <v>492</v>
      </c>
      <c r="AG37" s="34" t="s">
        <v>493</v>
      </c>
      <c r="AH37" s="34" t="s">
        <v>494</v>
      </c>
      <c r="AI37" s="34" t="s">
        <v>495</v>
      </c>
    </row>
    <row r="38" spans="1:35" ht="43.2" x14ac:dyDescent="0.3">
      <c r="A38" s="131">
        <v>37</v>
      </c>
      <c r="B38" s="79" t="str">
        <f t="shared" si="0"/>
        <v>Y</v>
      </c>
      <c r="C38" s="79" t="s">
        <v>45</v>
      </c>
      <c r="D38" s="166" t="s">
        <v>2061</v>
      </c>
      <c r="E38" s="79" t="s">
        <v>2068</v>
      </c>
      <c r="F38" s="79" t="s">
        <v>993</v>
      </c>
      <c r="G38" s="79" t="s">
        <v>514</v>
      </c>
      <c r="H38" s="127">
        <v>400</v>
      </c>
      <c r="I38" s="131" t="s">
        <v>1995</v>
      </c>
      <c r="J38" s="102" t="s">
        <v>50</v>
      </c>
      <c r="K38" s="102" t="s">
        <v>482</v>
      </c>
      <c r="L38" s="102" t="s">
        <v>51</v>
      </c>
      <c r="M38" s="102" t="s">
        <v>22</v>
      </c>
      <c r="N38" s="102" t="s">
        <v>21</v>
      </c>
      <c r="O38" s="125" t="s">
        <v>816</v>
      </c>
      <c r="P38" s="102" t="s">
        <v>23</v>
      </c>
      <c r="Q38" s="102" t="s">
        <v>952</v>
      </c>
      <c r="R38" s="102" t="s">
        <v>51</v>
      </c>
      <c r="S38" s="34"/>
      <c r="T38" s="44" t="s">
        <v>520</v>
      </c>
      <c r="U38" s="34" t="s">
        <v>55</v>
      </c>
      <c r="V38" s="34" t="s">
        <v>953</v>
      </c>
      <c r="W38" s="34" t="s">
        <v>954</v>
      </c>
      <c r="X38" s="102" t="s">
        <v>1154</v>
      </c>
      <c r="Y38" s="211" t="s">
        <v>1155</v>
      </c>
      <c r="Z38" s="34" t="s">
        <v>955</v>
      </c>
      <c r="AA38" s="221" t="s">
        <v>2066</v>
      </c>
      <c r="AB38" s="34" t="s">
        <v>488</v>
      </c>
      <c r="AC38" s="46" t="s">
        <v>489</v>
      </c>
      <c r="AD38" s="46" t="s">
        <v>490</v>
      </c>
      <c r="AE38" s="34" t="s">
        <v>491</v>
      </c>
      <c r="AF38" s="34" t="s">
        <v>492</v>
      </c>
      <c r="AG38" s="34" t="s">
        <v>493</v>
      </c>
      <c r="AH38" s="34" t="s">
        <v>494</v>
      </c>
      <c r="AI38" s="34" t="s">
        <v>495</v>
      </c>
    </row>
    <row r="39" spans="1:35" ht="43.2" x14ac:dyDescent="0.3">
      <c r="A39" s="131">
        <v>38</v>
      </c>
      <c r="B39" s="79" t="str">
        <f t="shared" si="0"/>
        <v>Y</v>
      </c>
      <c r="C39" s="79" t="s">
        <v>45</v>
      </c>
      <c r="D39" s="166" t="s">
        <v>2062</v>
      </c>
      <c r="E39" s="79" t="s">
        <v>2069</v>
      </c>
      <c r="F39" s="79" t="s">
        <v>993</v>
      </c>
      <c r="G39" s="79" t="s">
        <v>514</v>
      </c>
      <c r="H39" s="127">
        <v>400</v>
      </c>
      <c r="I39" s="131" t="s">
        <v>1995</v>
      </c>
      <c r="J39" s="102" t="s">
        <v>50</v>
      </c>
      <c r="K39" s="102" t="s">
        <v>482</v>
      </c>
      <c r="L39" s="102" t="s">
        <v>51</v>
      </c>
      <c r="M39" s="102" t="s">
        <v>22</v>
      </c>
      <c r="N39" s="102" t="s">
        <v>21</v>
      </c>
      <c r="O39" s="125" t="s">
        <v>816</v>
      </c>
      <c r="P39" s="102" t="s">
        <v>23</v>
      </c>
      <c r="Q39" s="102" t="s">
        <v>952</v>
      </c>
      <c r="R39" s="102" t="s">
        <v>51</v>
      </c>
      <c r="S39" s="34"/>
      <c r="T39" s="44" t="s">
        <v>171</v>
      </c>
      <c r="U39" s="34" t="s">
        <v>55</v>
      </c>
      <c r="V39" s="34" t="s">
        <v>953</v>
      </c>
      <c r="W39" s="34" t="s">
        <v>954</v>
      </c>
      <c r="X39" s="102" t="s">
        <v>964</v>
      </c>
      <c r="Y39" s="211" t="s">
        <v>1159</v>
      </c>
      <c r="Z39" s="34" t="s">
        <v>955</v>
      </c>
      <c r="AA39" s="221" t="s">
        <v>2065</v>
      </c>
      <c r="AB39" s="34" t="s">
        <v>488</v>
      </c>
      <c r="AC39" s="46" t="s">
        <v>489</v>
      </c>
      <c r="AD39" s="46" t="s">
        <v>490</v>
      </c>
      <c r="AE39" s="34" t="s">
        <v>491</v>
      </c>
      <c r="AF39" s="34" t="s">
        <v>492</v>
      </c>
      <c r="AG39" s="34" t="s">
        <v>493</v>
      </c>
      <c r="AH39" s="34" t="s">
        <v>494</v>
      </c>
      <c r="AI39" s="34" t="s">
        <v>495</v>
      </c>
    </row>
    <row r="40" spans="1:35" ht="43.2" x14ac:dyDescent="0.3">
      <c r="A40" s="131">
        <v>39</v>
      </c>
      <c r="B40" s="79" t="str">
        <f t="shared" ref="B40:B43" si="1">C40</f>
        <v>Y</v>
      </c>
      <c r="C40" s="79" t="s">
        <v>45</v>
      </c>
      <c r="D40" s="166" t="s">
        <v>2070</v>
      </c>
      <c r="E40" s="79" t="s">
        <v>2074</v>
      </c>
      <c r="F40" s="79" t="s">
        <v>994</v>
      </c>
      <c r="G40" s="79" t="s">
        <v>995</v>
      </c>
      <c r="H40" s="127">
        <v>403</v>
      </c>
      <c r="I40" s="131" t="s">
        <v>1974</v>
      </c>
      <c r="J40" s="102" t="s">
        <v>50</v>
      </c>
      <c r="K40" s="102" t="s">
        <v>482</v>
      </c>
      <c r="L40" s="102" t="s">
        <v>51</v>
      </c>
      <c r="M40" s="102" t="s">
        <v>22</v>
      </c>
      <c r="N40" s="102" t="s">
        <v>21</v>
      </c>
      <c r="O40" s="125" t="s">
        <v>816</v>
      </c>
      <c r="P40" s="102" t="s">
        <v>23</v>
      </c>
      <c r="Q40" s="102" t="s">
        <v>952</v>
      </c>
      <c r="R40" s="102" t="s">
        <v>51</v>
      </c>
      <c r="S40" s="223" t="s">
        <v>2276</v>
      </c>
      <c r="T40" s="44" t="s">
        <v>484</v>
      </c>
      <c r="U40" s="34" t="s">
        <v>55</v>
      </c>
      <c r="V40" s="34" t="s">
        <v>953</v>
      </c>
      <c r="W40" s="34" t="s">
        <v>954</v>
      </c>
      <c r="X40" s="102" t="s">
        <v>486</v>
      </c>
      <c r="Y40" s="128">
        <v>200061812481</v>
      </c>
      <c r="Z40" s="34" t="s">
        <v>955</v>
      </c>
      <c r="AA40" s="222" t="s">
        <v>2078</v>
      </c>
      <c r="AB40" s="34" t="s">
        <v>488</v>
      </c>
      <c r="AC40" s="46" t="s">
        <v>489</v>
      </c>
      <c r="AD40" s="46" t="s">
        <v>490</v>
      </c>
      <c r="AE40" s="34" t="s">
        <v>491</v>
      </c>
      <c r="AF40" s="34" t="s">
        <v>492</v>
      </c>
      <c r="AG40" s="34" t="s">
        <v>493</v>
      </c>
      <c r="AH40" s="34" t="s">
        <v>494</v>
      </c>
      <c r="AI40" s="34" t="s">
        <v>495</v>
      </c>
    </row>
    <row r="41" spans="1:35" ht="43.2" x14ac:dyDescent="0.3">
      <c r="A41" s="131">
        <v>40</v>
      </c>
      <c r="B41" s="79" t="str">
        <f t="shared" si="1"/>
        <v>Y</v>
      </c>
      <c r="C41" s="79" t="s">
        <v>45</v>
      </c>
      <c r="D41" s="166" t="s">
        <v>2071</v>
      </c>
      <c r="E41" s="79" t="s">
        <v>2075</v>
      </c>
      <c r="F41" s="79" t="s">
        <v>994</v>
      </c>
      <c r="G41" s="79" t="s">
        <v>995</v>
      </c>
      <c r="H41" s="127">
        <v>403</v>
      </c>
      <c r="I41" s="131" t="s">
        <v>1974</v>
      </c>
      <c r="J41" s="102" t="s">
        <v>50</v>
      </c>
      <c r="K41" s="102" t="s">
        <v>482</v>
      </c>
      <c r="L41" s="102" t="s">
        <v>51</v>
      </c>
      <c r="M41" s="102" t="s">
        <v>22</v>
      </c>
      <c r="N41" s="102" t="s">
        <v>21</v>
      </c>
      <c r="O41" s="125" t="s">
        <v>816</v>
      </c>
      <c r="P41" s="102" t="s">
        <v>23</v>
      </c>
      <c r="Q41" s="102" t="s">
        <v>952</v>
      </c>
      <c r="R41" s="102" t="s">
        <v>51</v>
      </c>
      <c r="S41" s="223" t="s">
        <v>2276</v>
      </c>
      <c r="T41" s="44" t="s">
        <v>484</v>
      </c>
      <c r="U41" s="34" t="s">
        <v>55</v>
      </c>
      <c r="V41" s="34" t="s">
        <v>953</v>
      </c>
      <c r="W41" s="34" t="s">
        <v>954</v>
      </c>
      <c r="X41" s="102" t="s">
        <v>517</v>
      </c>
      <c r="Y41" s="211" t="s">
        <v>1998</v>
      </c>
      <c r="Z41" s="34" t="s">
        <v>955</v>
      </c>
      <c r="AA41" s="222" t="s">
        <v>2078</v>
      </c>
      <c r="AB41" s="34" t="s">
        <v>488</v>
      </c>
      <c r="AC41" s="46" t="s">
        <v>489</v>
      </c>
      <c r="AD41" s="46" t="s">
        <v>490</v>
      </c>
      <c r="AE41" s="34" t="s">
        <v>491</v>
      </c>
      <c r="AF41" s="34" t="s">
        <v>492</v>
      </c>
      <c r="AG41" s="34" t="s">
        <v>493</v>
      </c>
      <c r="AH41" s="34" t="s">
        <v>494</v>
      </c>
      <c r="AI41" s="34" t="s">
        <v>495</v>
      </c>
    </row>
    <row r="42" spans="1:35" ht="43.2" x14ac:dyDescent="0.3">
      <c r="A42" s="131">
        <v>41</v>
      </c>
      <c r="B42" s="79" t="str">
        <f t="shared" si="1"/>
        <v>Y</v>
      </c>
      <c r="C42" s="79" t="s">
        <v>45</v>
      </c>
      <c r="D42" s="166" t="s">
        <v>2072</v>
      </c>
      <c r="E42" s="79" t="s">
        <v>2076</v>
      </c>
      <c r="F42" s="79" t="s">
        <v>994</v>
      </c>
      <c r="G42" s="79" t="s">
        <v>995</v>
      </c>
      <c r="H42" s="127">
        <v>403</v>
      </c>
      <c r="I42" s="131" t="s">
        <v>1974</v>
      </c>
      <c r="J42" s="102" t="s">
        <v>50</v>
      </c>
      <c r="K42" s="102" t="s">
        <v>482</v>
      </c>
      <c r="L42" s="102" t="s">
        <v>51</v>
      </c>
      <c r="M42" s="102" t="s">
        <v>22</v>
      </c>
      <c r="N42" s="102" t="s">
        <v>21</v>
      </c>
      <c r="O42" s="125" t="s">
        <v>816</v>
      </c>
      <c r="P42" s="102" t="s">
        <v>23</v>
      </c>
      <c r="Q42" s="102" t="s">
        <v>952</v>
      </c>
      <c r="R42" s="102" t="s">
        <v>51</v>
      </c>
      <c r="S42" s="223" t="s">
        <v>2276</v>
      </c>
      <c r="T42" s="44" t="s">
        <v>520</v>
      </c>
      <c r="U42" s="34" t="s">
        <v>55</v>
      </c>
      <c r="V42" s="34" t="s">
        <v>953</v>
      </c>
      <c r="W42" s="34" t="s">
        <v>954</v>
      </c>
      <c r="X42" s="102" t="s">
        <v>1154</v>
      </c>
      <c r="Y42" s="211" t="s">
        <v>1155</v>
      </c>
      <c r="Z42" s="34" t="s">
        <v>955</v>
      </c>
      <c r="AA42" s="222" t="s">
        <v>2078</v>
      </c>
      <c r="AB42" s="34" t="s">
        <v>488</v>
      </c>
      <c r="AC42" s="46" t="s">
        <v>489</v>
      </c>
      <c r="AD42" s="46" t="s">
        <v>490</v>
      </c>
      <c r="AE42" s="34" t="s">
        <v>491</v>
      </c>
      <c r="AF42" s="34" t="s">
        <v>492</v>
      </c>
      <c r="AG42" s="34" t="s">
        <v>493</v>
      </c>
      <c r="AH42" s="34" t="s">
        <v>494</v>
      </c>
      <c r="AI42" s="34" t="s">
        <v>495</v>
      </c>
    </row>
    <row r="43" spans="1:35" ht="43.2" x14ac:dyDescent="0.3">
      <c r="A43" s="131">
        <v>42</v>
      </c>
      <c r="B43" s="79" t="str">
        <f t="shared" si="1"/>
        <v>Y</v>
      </c>
      <c r="C43" s="79" t="s">
        <v>45</v>
      </c>
      <c r="D43" s="166" t="s">
        <v>2073</v>
      </c>
      <c r="E43" s="79" t="s">
        <v>2077</v>
      </c>
      <c r="F43" s="79" t="s">
        <v>994</v>
      </c>
      <c r="G43" s="79" t="s">
        <v>995</v>
      </c>
      <c r="H43" s="127">
        <v>403</v>
      </c>
      <c r="I43" s="131" t="s">
        <v>1974</v>
      </c>
      <c r="J43" s="102" t="s">
        <v>50</v>
      </c>
      <c r="K43" s="102" t="s">
        <v>482</v>
      </c>
      <c r="L43" s="102" t="s">
        <v>51</v>
      </c>
      <c r="M43" s="102" t="s">
        <v>22</v>
      </c>
      <c r="N43" s="102" t="s">
        <v>21</v>
      </c>
      <c r="O43" s="125" t="s">
        <v>816</v>
      </c>
      <c r="P43" s="102" t="s">
        <v>23</v>
      </c>
      <c r="Q43" s="102" t="s">
        <v>952</v>
      </c>
      <c r="R43" s="102" t="s">
        <v>51</v>
      </c>
      <c r="S43" s="223" t="s">
        <v>2276</v>
      </c>
      <c r="T43" s="44" t="s">
        <v>171</v>
      </c>
      <c r="U43" s="34" t="s">
        <v>55</v>
      </c>
      <c r="V43" s="34" t="s">
        <v>953</v>
      </c>
      <c r="W43" s="34" t="s">
        <v>954</v>
      </c>
      <c r="X43" s="102" t="s">
        <v>964</v>
      </c>
      <c r="Y43" s="211" t="s">
        <v>1159</v>
      </c>
      <c r="Z43" s="34" t="s">
        <v>955</v>
      </c>
      <c r="AA43" s="222" t="s">
        <v>2078</v>
      </c>
      <c r="AB43" s="34" t="s">
        <v>488</v>
      </c>
      <c r="AC43" s="46" t="s">
        <v>489</v>
      </c>
      <c r="AD43" s="46" t="s">
        <v>490</v>
      </c>
      <c r="AE43" s="34" t="s">
        <v>491</v>
      </c>
      <c r="AF43" s="34" t="s">
        <v>492</v>
      </c>
      <c r="AG43" s="34" t="s">
        <v>493</v>
      </c>
      <c r="AH43" s="34" t="s">
        <v>494</v>
      </c>
      <c r="AI43" s="34" t="s">
        <v>495</v>
      </c>
    </row>
    <row r="44" spans="1:35" ht="43.2" x14ac:dyDescent="0.3">
      <c r="A44" s="131">
        <v>43</v>
      </c>
      <c r="B44" s="79" t="str">
        <f t="shared" ref="B44:B47" si="2">C44</f>
        <v>Y</v>
      </c>
      <c r="C44" s="79" t="s">
        <v>45</v>
      </c>
      <c r="D44" s="166" t="s">
        <v>2079</v>
      </c>
      <c r="E44" s="79" t="s">
        <v>2083</v>
      </c>
      <c r="F44" s="79" t="s">
        <v>996</v>
      </c>
      <c r="G44" s="79" t="s">
        <v>526</v>
      </c>
      <c r="H44" s="127">
        <v>401</v>
      </c>
      <c r="I44" s="131" t="s">
        <v>2087</v>
      </c>
      <c r="J44" s="102" t="s">
        <v>50</v>
      </c>
      <c r="K44" s="102" t="s">
        <v>482</v>
      </c>
      <c r="L44" s="102" t="s">
        <v>51</v>
      </c>
      <c r="M44" s="102" t="s">
        <v>22</v>
      </c>
      <c r="N44" s="102" t="s">
        <v>21</v>
      </c>
      <c r="O44" s="125" t="s">
        <v>816</v>
      </c>
      <c r="P44" s="102" t="s">
        <v>23</v>
      </c>
      <c r="Q44" s="102" t="s">
        <v>952</v>
      </c>
      <c r="R44" s="102" t="s">
        <v>51</v>
      </c>
      <c r="S44" s="223" t="s">
        <v>2088</v>
      </c>
      <c r="T44" s="44" t="s">
        <v>484</v>
      </c>
      <c r="U44" s="34" t="s">
        <v>55</v>
      </c>
      <c r="V44" s="34" t="s">
        <v>953</v>
      </c>
      <c r="W44" s="34" t="s">
        <v>954</v>
      </c>
      <c r="X44" s="102" t="s">
        <v>486</v>
      </c>
      <c r="Y44" s="128">
        <v>200061812481</v>
      </c>
      <c r="Z44" s="34" t="s">
        <v>955</v>
      </c>
      <c r="AA44" s="222" t="s">
        <v>2078</v>
      </c>
      <c r="AB44" s="34" t="s">
        <v>488</v>
      </c>
      <c r="AC44" s="46" t="s">
        <v>489</v>
      </c>
      <c r="AD44" s="46" t="s">
        <v>490</v>
      </c>
      <c r="AE44" s="34" t="s">
        <v>491</v>
      </c>
      <c r="AF44" s="34" t="s">
        <v>492</v>
      </c>
      <c r="AG44" s="34" t="s">
        <v>493</v>
      </c>
      <c r="AH44" s="34" t="s">
        <v>494</v>
      </c>
      <c r="AI44" s="34" t="s">
        <v>495</v>
      </c>
    </row>
    <row r="45" spans="1:35" ht="43.2" x14ac:dyDescent="0.3">
      <c r="A45" s="131">
        <v>44</v>
      </c>
      <c r="B45" s="79" t="str">
        <f t="shared" si="2"/>
        <v>Y</v>
      </c>
      <c r="C45" s="79" t="s">
        <v>45</v>
      </c>
      <c r="D45" s="166" t="s">
        <v>2080</v>
      </c>
      <c r="E45" s="79" t="s">
        <v>2084</v>
      </c>
      <c r="F45" s="79" t="s">
        <v>996</v>
      </c>
      <c r="G45" s="79" t="s">
        <v>526</v>
      </c>
      <c r="H45" s="127">
        <v>401</v>
      </c>
      <c r="I45" s="131" t="s">
        <v>2087</v>
      </c>
      <c r="J45" s="102" t="s">
        <v>50</v>
      </c>
      <c r="K45" s="102" t="s">
        <v>482</v>
      </c>
      <c r="L45" s="102" t="s">
        <v>51</v>
      </c>
      <c r="M45" s="102" t="s">
        <v>22</v>
      </c>
      <c r="N45" s="102" t="s">
        <v>21</v>
      </c>
      <c r="O45" s="125" t="s">
        <v>816</v>
      </c>
      <c r="P45" s="102" t="s">
        <v>23</v>
      </c>
      <c r="Q45" s="102" t="s">
        <v>952</v>
      </c>
      <c r="R45" s="102" t="s">
        <v>51</v>
      </c>
      <c r="S45" s="223" t="s">
        <v>2088</v>
      </c>
      <c r="T45" s="44" t="s">
        <v>484</v>
      </c>
      <c r="U45" s="34" t="s">
        <v>55</v>
      </c>
      <c r="V45" s="34" t="s">
        <v>953</v>
      </c>
      <c r="W45" s="34" t="s">
        <v>954</v>
      </c>
      <c r="X45" s="102" t="s">
        <v>517</v>
      </c>
      <c r="Y45" s="211" t="s">
        <v>1998</v>
      </c>
      <c r="Z45" s="34" t="s">
        <v>955</v>
      </c>
      <c r="AA45" s="222" t="s">
        <v>2078</v>
      </c>
      <c r="AB45" s="34" t="s">
        <v>488</v>
      </c>
      <c r="AC45" s="46" t="s">
        <v>489</v>
      </c>
      <c r="AD45" s="46" t="s">
        <v>490</v>
      </c>
      <c r="AE45" s="34" t="s">
        <v>491</v>
      </c>
      <c r="AF45" s="34" t="s">
        <v>492</v>
      </c>
      <c r="AG45" s="34" t="s">
        <v>493</v>
      </c>
      <c r="AH45" s="34" t="s">
        <v>494</v>
      </c>
      <c r="AI45" s="34" t="s">
        <v>495</v>
      </c>
    </row>
    <row r="46" spans="1:35" ht="43.2" x14ac:dyDescent="0.3">
      <c r="A46" s="131">
        <v>45</v>
      </c>
      <c r="B46" s="79" t="str">
        <f t="shared" si="2"/>
        <v>Y</v>
      </c>
      <c r="C46" s="79" t="s">
        <v>45</v>
      </c>
      <c r="D46" s="166" t="s">
        <v>2081</v>
      </c>
      <c r="E46" s="79" t="s">
        <v>2085</v>
      </c>
      <c r="F46" s="79" t="s">
        <v>996</v>
      </c>
      <c r="G46" s="79" t="s">
        <v>526</v>
      </c>
      <c r="H46" s="127">
        <v>401</v>
      </c>
      <c r="I46" s="131" t="s">
        <v>2087</v>
      </c>
      <c r="J46" s="102" t="s">
        <v>50</v>
      </c>
      <c r="K46" s="102" t="s">
        <v>482</v>
      </c>
      <c r="L46" s="102" t="s">
        <v>51</v>
      </c>
      <c r="M46" s="102" t="s">
        <v>22</v>
      </c>
      <c r="N46" s="102" t="s">
        <v>21</v>
      </c>
      <c r="O46" s="125" t="s">
        <v>816</v>
      </c>
      <c r="P46" s="102" t="s">
        <v>23</v>
      </c>
      <c r="Q46" s="102" t="s">
        <v>952</v>
      </c>
      <c r="R46" s="102" t="s">
        <v>51</v>
      </c>
      <c r="S46" s="223" t="s">
        <v>2088</v>
      </c>
      <c r="T46" s="44" t="s">
        <v>520</v>
      </c>
      <c r="U46" s="34" t="s">
        <v>55</v>
      </c>
      <c r="V46" s="34" t="s">
        <v>953</v>
      </c>
      <c r="W46" s="34" t="s">
        <v>954</v>
      </c>
      <c r="X46" s="102" t="s">
        <v>1154</v>
      </c>
      <c r="Y46" s="211" t="s">
        <v>1155</v>
      </c>
      <c r="Z46" s="34" t="s">
        <v>955</v>
      </c>
      <c r="AA46" s="222" t="s">
        <v>2078</v>
      </c>
      <c r="AB46" s="34" t="s">
        <v>488</v>
      </c>
      <c r="AC46" s="46" t="s">
        <v>489</v>
      </c>
      <c r="AD46" s="46" t="s">
        <v>490</v>
      </c>
      <c r="AE46" s="34" t="s">
        <v>491</v>
      </c>
      <c r="AF46" s="34" t="s">
        <v>492</v>
      </c>
      <c r="AG46" s="34" t="s">
        <v>493</v>
      </c>
      <c r="AH46" s="34" t="s">
        <v>494</v>
      </c>
      <c r="AI46" s="34" t="s">
        <v>495</v>
      </c>
    </row>
    <row r="47" spans="1:35" ht="43.2" x14ac:dyDescent="0.3">
      <c r="A47" s="131">
        <v>46</v>
      </c>
      <c r="B47" s="79" t="str">
        <f t="shared" si="2"/>
        <v>Y</v>
      </c>
      <c r="C47" s="79" t="s">
        <v>45</v>
      </c>
      <c r="D47" s="166" t="s">
        <v>2082</v>
      </c>
      <c r="E47" s="79" t="s">
        <v>2086</v>
      </c>
      <c r="F47" s="79" t="s">
        <v>996</v>
      </c>
      <c r="G47" s="79" t="s">
        <v>526</v>
      </c>
      <c r="H47" s="127">
        <v>401</v>
      </c>
      <c r="I47" s="131" t="s">
        <v>2087</v>
      </c>
      <c r="J47" s="102" t="s">
        <v>50</v>
      </c>
      <c r="K47" s="102" t="s">
        <v>482</v>
      </c>
      <c r="L47" s="102" t="s">
        <v>51</v>
      </c>
      <c r="M47" s="102" t="s">
        <v>22</v>
      </c>
      <c r="N47" s="102" t="s">
        <v>21</v>
      </c>
      <c r="O47" s="125" t="s">
        <v>816</v>
      </c>
      <c r="P47" s="102" t="s">
        <v>23</v>
      </c>
      <c r="Q47" s="102" t="s">
        <v>952</v>
      </c>
      <c r="R47" s="102" t="s">
        <v>51</v>
      </c>
      <c r="S47" s="223" t="s">
        <v>2088</v>
      </c>
      <c r="T47" s="44" t="s">
        <v>171</v>
      </c>
      <c r="U47" s="34" t="s">
        <v>55</v>
      </c>
      <c r="V47" s="34" t="s">
        <v>953</v>
      </c>
      <c r="W47" s="34" t="s">
        <v>954</v>
      </c>
      <c r="X47" s="102" t="s">
        <v>964</v>
      </c>
      <c r="Y47" s="211" t="s">
        <v>1159</v>
      </c>
      <c r="Z47" s="34" t="s">
        <v>955</v>
      </c>
      <c r="AA47" s="222" t="s">
        <v>2078</v>
      </c>
      <c r="AB47" s="34" t="s">
        <v>488</v>
      </c>
      <c r="AC47" s="46" t="s">
        <v>489</v>
      </c>
      <c r="AD47" s="46" t="s">
        <v>490</v>
      </c>
      <c r="AE47" s="34" t="s">
        <v>491</v>
      </c>
      <c r="AF47" s="34" t="s">
        <v>492</v>
      </c>
      <c r="AG47" s="34" t="s">
        <v>493</v>
      </c>
      <c r="AH47" s="34" t="s">
        <v>494</v>
      </c>
      <c r="AI47" s="34" t="s">
        <v>495</v>
      </c>
    </row>
    <row r="48" spans="1:35" ht="43.2" x14ac:dyDescent="0.3">
      <c r="A48" s="131">
        <v>47</v>
      </c>
      <c r="B48" s="161" t="str">
        <f t="shared" ref="B48:B51" si="3">C48</f>
        <v>N</v>
      </c>
      <c r="C48" s="161" t="s">
        <v>113</v>
      </c>
      <c r="D48" s="162" t="s">
        <v>2089</v>
      </c>
      <c r="E48" s="161" t="s">
        <v>2093</v>
      </c>
      <c r="F48" s="161" t="s">
        <v>997</v>
      </c>
      <c r="G48" s="161" t="s">
        <v>526</v>
      </c>
      <c r="H48" s="160">
        <v>401</v>
      </c>
      <c r="I48" s="172" t="s">
        <v>2087</v>
      </c>
      <c r="J48" s="224" t="s">
        <v>50</v>
      </c>
      <c r="K48" s="224" t="s">
        <v>482</v>
      </c>
      <c r="L48" s="224" t="s">
        <v>51</v>
      </c>
      <c r="M48" s="224" t="s">
        <v>22</v>
      </c>
      <c r="N48" s="224" t="s">
        <v>21</v>
      </c>
      <c r="O48" s="231" t="s">
        <v>2097</v>
      </c>
      <c r="P48" s="224" t="s">
        <v>23</v>
      </c>
      <c r="Q48" s="224" t="s">
        <v>952</v>
      </c>
      <c r="R48" s="224" t="s">
        <v>51</v>
      </c>
      <c r="S48" s="225"/>
      <c r="T48" s="226" t="s">
        <v>484</v>
      </c>
      <c r="U48" s="225" t="s">
        <v>55</v>
      </c>
      <c r="V48" s="225" t="s">
        <v>953</v>
      </c>
      <c r="W48" s="225" t="s">
        <v>954</v>
      </c>
      <c r="X48" s="224" t="s">
        <v>486</v>
      </c>
      <c r="Y48" s="227">
        <v>200061812481</v>
      </c>
      <c r="Z48" s="225" t="s">
        <v>955</v>
      </c>
      <c r="AA48" s="228" t="s">
        <v>2078</v>
      </c>
      <c r="AB48" s="225" t="s">
        <v>488</v>
      </c>
      <c r="AC48" s="229" t="s">
        <v>489</v>
      </c>
      <c r="AD48" s="229" t="s">
        <v>490</v>
      </c>
      <c r="AE48" s="225" t="s">
        <v>491</v>
      </c>
      <c r="AF48" s="225" t="s">
        <v>492</v>
      </c>
      <c r="AG48" s="225" t="s">
        <v>493</v>
      </c>
      <c r="AH48" s="225" t="s">
        <v>494</v>
      </c>
      <c r="AI48" s="225" t="s">
        <v>495</v>
      </c>
    </row>
    <row r="49" spans="1:35" ht="43.2" x14ac:dyDescent="0.3">
      <c r="A49" s="131">
        <v>48</v>
      </c>
      <c r="B49" s="161" t="str">
        <f t="shared" si="3"/>
        <v>N</v>
      </c>
      <c r="C49" s="161" t="s">
        <v>113</v>
      </c>
      <c r="D49" s="162" t="s">
        <v>2090</v>
      </c>
      <c r="E49" s="161" t="s">
        <v>2094</v>
      </c>
      <c r="F49" s="161" t="s">
        <v>997</v>
      </c>
      <c r="G49" s="161" t="s">
        <v>526</v>
      </c>
      <c r="H49" s="160">
        <v>401</v>
      </c>
      <c r="I49" s="172" t="s">
        <v>2087</v>
      </c>
      <c r="J49" s="224" t="s">
        <v>50</v>
      </c>
      <c r="K49" s="224" t="s">
        <v>482</v>
      </c>
      <c r="L49" s="224" t="s">
        <v>51</v>
      </c>
      <c r="M49" s="224" t="s">
        <v>22</v>
      </c>
      <c r="N49" s="224" t="s">
        <v>21</v>
      </c>
      <c r="O49" s="231" t="s">
        <v>2097</v>
      </c>
      <c r="P49" s="224" t="s">
        <v>23</v>
      </c>
      <c r="Q49" s="224" t="s">
        <v>952</v>
      </c>
      <c r="R49" s="224" t="s">
        <v>51</v>
      </c>
      <c r="S49" s="225"/>
      <c r="T49" s="226" t="s">
        <v>484</v>
      </c>
      <c r="U49" s="225" t="s">
        <v>55</v>
      </c>
      <c r="V49" s="225" t="s">
        <v>953</v>
      </c>
      <c r="W49" s="225" t="s">
        <v>954</v>
      </c>
      <c r="X49" s="224" t="s">
        <v>517</v>
      </c>
      <c r="Y49" s="230" t="s">
        <v>1998</v>
      </c>
      <c r="Z49" s="225" t="s">
        <v>955</v>
      </c>
      <c r="AA49" s="228" t="s">
        <v>2078</v>
      </c>
      <c r="AB49" s="225" t="s">
        <v>488</v>
      </c>
      <c r="AC49" s="229" t="s">
        <v>489</v>
      </c>
      <c r="AD49" s="229" t="s">
        <v>490</v>
      </c>
      <c r="AE49" s="225" t="s">
        <v>491</v>
      </c>
      <c r="AF49" s="225" t="s">
        <v>492</v>
      </c>
      <c r="AG49" s="225" t="s">
        <v>493</v>
      </c>
      <c r="AH49" s="225" t="s">
        <v>494</v>
      </c>
      <c r="AI49" s="225" t="s">
        <v>495</v>
      </c>
    </row>
    <row r="50" spans="1:35" ht="43.2" x14ac:dyDescent="0.3">
      <c r="A50" s="131">
        <v>49</v>
      </c>
      <c r="B50" s="161" t="str">
        <f t="shared" si="3"/>
        <v>N</v>
      </c>
      <c r="C50" s="161" t="s">
        <v>113</v>
      </c>
      <c r="D50" s="162" t="s">
        <v>2091</v>
      </c>
      <c r="E50" s="161" t="s">
        <v>2095</v>
      </c>
      <c r="F50" s="161" t="s">
        <v>997</v>
      </c>
      <c r="G50" s="161" t="s">
        <v>526</v>
      </c>
      <c r="H50" s="160">
        <v>401</v>
      </c>
      <c r="I50" s="172" t="s">
        <v>2087</v>
      </c>
      <c r="J50" s="224" t="s">
        <v>50</v>
      </c>
      <c r="K50" s="224" t="s">
        <v>482</v>
      </c>
      <c r="L50" s="224" t="s">
        <v>51</v>
      </c>
      <c r="M50" s="224" t="s">
        <v>22</v>
      </c>
      <c r="N50" s="224" t="s">
        <v>21</v>
      </c>
      <c r="O50" s="231" t="s">
        <v>2098</v>
      </c>
      <c r="P50" s="224" t="s">
        <v>23</v>
      </c>
      <c r="Q50" s="224" t="s">
        <v>952</v>
      </c>
      <c r="R50" s="224" t="s">
        <v>51</v>
      </c>
      <c r="S50" s="225"/>
      <c r="T50" s="226" t="s">
        <v>520</v>
      </c>
      <c r="U50" s="225" t="s">
        <v>55</v>
      </c>
      <c r="V50" s="225" t="s">
        <v>953</v>
      </c>
      <c r="W50" s="225" t="s">
        <v>954</v>
      </c>
      <c r="X50" s="224" t="s">
        <v>1154</v>
      </c>
      <c r="Y50" s="230" t="s">
        <v>1155</v>
      </c>
      <c r="Z50" s="225" t="s">
        <v>955</v>
      </c>
      <c r="AA50" s="228" t="s">
        <v>2078</v>
      </c>
      <c r="AB50" s="225" t="s">
        <v>488</v>
      </c>
      <c r="AC50" s="229" t="s">
        <v>489</v>
      </c>
      <c r="AD50" s="229" t="s">
        <v>490</v>
      </c>
      <c r="AE50" s="225" t="s">
        <v>491</v>
      </c>
      <c r="AF50" s="225" t="s">
        <v>492</v>
      </c>
      <c r="AG50" s="225" t="s">
        <v>493</v>
      </c>
      <c r="AH50" s="225" t="s">
        <v>494</v>
      </c>
      <c r="AI50" s="225" t="s">
        <v>495</v>
      </c>
    </row>
    <row r="51" spans="1:35" ht="43.2" x14ac:dyDescent="0.3">
      <c r="A51" s="131">
        <v>50</v>
      </c>
      <c r="B51" s="161" t="str">
        <f t="shared" si="3"/>
        <v>N</v>
      </c>
      <c r="C51" s="161" t="s">
        <v>113</v>
      </c>
      <c r="D51" s="162" t="s">
        <v>2092</v>
      </c>
      <c r="E51" s="161" t="s">
        <v>2096</v>
      </c>
      <c r="F51" s="161" t="s">
        <v>997</v>
      </c>
      <c r="G51" s="161" t="s">
        <v>526</v>
      </c>
      <c r="H51" s="160">
        <v>401</v>
      </c>
      <c r="I51" s="172" t="s">
        <v>2087</v>
      </c>
      <c r="J51" s="224" t="s">
        <v>50</v>
      </c>
      <c r="K51" s="224" t="s">
        <v>482</v>
      </c>
      <c r="L51" s="224" t="s">
        <v>51</v>
      </c>
      <c r="M51" s="224" t="s">
        <v>22</v>
      </c>
      <c r="N51" s="224" t="s">
        <v>21</v>
      </c>
      <c r="O51" s="231" t="s">
        <v>2099</v>
      </c>
      <c r="P51" s="224" t="s">
        <v>23</v>
      </c>
      <c r="Q51" s="224" t="s">
        <v>952</v>
      </c>
      <c r="R51" s="224" t="s">
        <v>51</v>
      </c>
      <c r="S51" s="225"/>
      <c r="T51" s="226" t="s">
        <v>171</v>
      </c>
      <c r="U51" s="225" t="s">
        <v>55</v>
      </c>
      <c r="V51" s="225" t="s">
        <v>953</v>
      </c>
      <c r="W51" s="225" t="s">
        <v>954</v>
      </c>
      <c r="X51" s="224" t="s">
        <v>964</v>
      </c>
      <c r="Y51" s="230" t="s">
        <v>1159</v>
      </c>
      <c r="Z51" s="225" t="s">
        <v>955</v>
      </c>
      <c r="AA51" s="228" t="s">
        <v>2078</v>
      </c>
      <c r="AB51" s="225" t="s">
        <v>488</v>
      </c>
      <c r="AC51" s="229" t="s">
        <v>489</v>
      </c>
      <c r="AD51" s="229" t="s">
        <v>490</v>
      </c>
      <c r="AE51" s="225" t="s">
        <v>491</v>
      </c>
      <c r="AF51" s="225" t="s">
        <v>492</v>
      </c>
      <c r="AG51" s="225" t="s">
        <v>493</v>
      </c>
      <c r="AH51" s="225" t="s">
        <v>494</v>
      </c>
      <c r="AI51" s="225" t="s">
        <v>495</v>
      </c>
    </row>
    <row r="52" spans="1:35" ht="43.2" x14ac:dyDescent="0.3">
      <c r="A52" s="131">
        <v>51</v>
      </c>
      <c r="B52" s="79" t="str">
        <f t="shared" si="0"/>
        <v>Y</v>
      </c>
      <c r="C52" s="79" t="s">
        <v>45</v>
      </c>
      <c r="D52" s="166" t="s">
        <v>2100</v>
      </c>
      <c r="E52" s="79" t="s">
        <v>2104</v>
      </c>
      <c r="F52" s="79" t="s">
        <v>998</v>
      </c>
      <c r="G52" s="79" t="s">
        <v>526</v>
      </c>
      <c r="H52" s="127">
        <v>401</v>
      </c>
      <c r="I52" s="131" t="s">
        <v>2087</v>
      </c>
      <c r="J52" s="102" t="s">
        <v>50</v>
      </c>
      <c r="K52" s="102" t="s">
        <v>482</v>
      </c>
      <c r="L52" s="102" t="s">
        <v>51</v>
      </c>
      <c r="M52" s="102" t="s">
        <v>22</v>
      </c>
      <c r="N52" s="102" t="s">
        <v>21</v>
      </c>
      <c r="O52" s="125" t="s">
        <v>816</v>
      </c>
      <c r="P52" s="102" t="s">
        <v>23</v>
      </c>
      <c r="Q52" s="102" t="s">
        <v>952</v>
      </c>
      <c r="R52" s="102" t="s">
        <v>51</v>
      </c>
      <c r="S52" s="223" t="s">
        <v>1982</v>
      </c>
      <c r="T52" s="44" t="s">
        <v>484</v>
      </c>
      <c r="U52" s="34" t="s">
        <v>55</v>
      </c>
      <c r="V52" s="34" t="s">
        <v>953</v>
      </c>
      <c r="W52" s="34" t="s">
        <v>954</v>
      </c>
      <c r="X52" s="102" t="s">
        <v>486</v>
      </c>
      <c r="Y52" s="128">
        <v>200061812481</v>
      </c>
      <c r="Z52" s="34" t="s">
        <v>955</v>
      </c>
      <c r="AA52" s="222" t="s">
        <v>2078</v>
      </c>
      <c r="AB52" s="34" t="s">
        <v>488</v>
      </c>
      <c r="AC52" s="46" t="s">
        <v>489</v>
      </c>
      <c r="AD52" s="46" t="s">
        <v>490</v>
      </c>
      <c r="AE52" s="34" t="s">
        <v>491</v>
      </c>
      <c r="AF52" s="34" t="s">
        <v>492</v>
      </c>
      <c r="AG52" s="34" t="s">
        <v>493</v>
      </c>
      <c r="AH52" s="34" t="s">
        <v>494</v>
      </c>
      <c r="AI52" s="34" t="s">
        <v>495</v>
      </c>
    </row>
    <row r="53" spans="1:35" ht="43.2" x14ac:dyDescent="0.3">
      <c r="A53" s="131">
        <v>52</v>
      </c>
      <c r="B53" s="79" t="str">
        <f t="shared" ref="B53:B56" si="4">C53</f>
        <v>Y</v>
      </c>
      <c r="C53" s="79" t="s">
        <v>45</v>
      </c>
      <c r="D53" s="166" t="s">
        <v>2101</v>
      </c>
      <c r="E53" s="79" t="s">
        <v>2105</v>
      </c>
      <c r="F53" s="79" t="s">
        <v>998</v>
      </c>
      <c r="G53" s="79" t="s">
        <v>526</v>
      </c>
      <c r="H53" s="127">
        <v>401</v>
      </c>
      <c r="I53" s="131" t="s">
        <v>2087</v>
      </c>
      <c r="J53" s="102" t="s">
        <v>50</v>
      </c>
      <c r="K53" s="102" t="s">
        <v>482</v>
      </c>
      <c r="L53" s="102" t="s">
        <v>51</v>
      </c>
      <c r="M53" s="102" t="s">
        <v>22</v>
      </c>
      <c r="N53" s="102" t="s">
        <v>21</v>
      </c>
      <c r="O53" s="125" t="s">
        <v>816</v>
      </c>
      <c r="P53" s="102" t="s">
        <v>23</v>
      </c>
      <c r="Q53" s="102" t="s">
        <v>952</v>
      </c>
      <c r="R53" s="102" t="s">
        <v>51</v>
      </c>
      <c r="S53" s="223" t="s">
        <v>1982</v>
      </c>
      <c r="T53" s="44" t="s">
        <v>484</v>
      </c>
      <c r="U53" s="34" t="s">
        <v>55</v>
      </c>
      <c r="V53" s="34" t="s">
        <v>953</v>
      </c>
      <c r="W53" s="34" t="s">
        <v>954</v>
      </c>
      <c r="X53" s="102" t="s">
        <v>517</v>
      </c>
      <c r="Y53" s="211" t="s">
        <v>1998</v>
      </c>
      <c r="Z53" s="34" t="s">
        <v>955</v>
      </c>
      <c r="AA53" s="222" t="s">
        <v>2078</v>
      </c>
      <c r="AB53" s="34" t="s">
        <v>488</v>
      </c>
      <c r="AC53" s="46" t="s">
        <v>489</v>
      </c>
      <c r="AD53" s="46" t="s">
        <v>490</v>
      </c>
      <c r="AE53" s="34" t="s">
        <v>491</v>
      </c>
      <c r="AF53" s="34" t="s">
        <v>492</v>
      </c>
      <c r="AG53" s="34" t="s">
        <v>493</v>
      </c>
      <c r="AH53" s="34" t="s">
        <v>494</v>
      </c>
      <c r="AI53" s="34" t="s">
        <v>495</v>
      </c>
    </row>
    <row r="54" spans="1:35" ht="43.2" x14ac:dyDescent="0.3">
      <c r="A54" s="131">
        <v>53</v>
      </c>
      <c r="B54" s="79" t="str">
        <f t="shared" si="4"/>
        <v>Y</v>
      </c>
      <c r="C54" s="79" t="s">
        <v>45</v>
      </c>
      <c r="D54" s="166" t="s">
        <v>2102</v>
      </c>
      <c r="E54" s="79" t="s">
        <v>2106</v>
      </c>
      <c r="F54" s="79" t="s">
        <v>998</v>
      </c>
      <c r="G54" s="79" t="s">
        <v>526</v>
      </c>
      <c r="H54" s="127">
        <v>401</v>
      </c>
      <c r="I54" s="131" t="s">
        <v>2087</v>
      </c>
      <c r="J54" s="102" t="s">
        <v>50</v>
      </c>
      <c r="K54" s="102" t="s">
        <v>482</v>
      </c>
      <c r="L54" s="102" t="s">
        <v>51</v>
      </c>
      <c r="M54" s="102" t="s">
        <v>22</v>
      </c>
      <c r="N54" s="102" t="s">
        <v>21</v>
      </c>
      <c r="O54" s="125" t="s">
        <v>816</v>
      </c>
      <c r="P54" s="102" t="s">
        <v>23</v>
      </c>
      <c r="Q54" s="102" t="s">
        <v>952</v>
      </c>
      <c r="R54" s="102" t="s">
        <v>51</v>
      </c>
      <c r="S54" s="223" t="s">
        <v>1982</v>
      </c>
      <c r="T54" s="44" t="s">
        <v>520</v>
      </c>
      <c r="U54" s="34" t="s">
        <v>55</v>
      </c>
      <c r="V54" s="34" t="s">
        <v>953</v>
      </c>
      <c r="W54" s="34" t="s">
        <v>954</v>
      </c>
      <c r="X54" s="102" t="s">
        <v>1154</v>
      </c>
      <c r="Y54" s="211" t="s">
        <v>1155</v>
      </c>
      <c r="Z54" s="34" t="s">
        <v>955</v>
      </c>
      <c r="AA54" s="222" t="s">
        <v>2078</v>
      </c>
      <c r="AB54" s="34" t="s">
        <v>488</v>
      </c>
      <c r="AC54" s="46" t="s">
        <v>489</v>
      </c>
      <c r="AD54" s="46" t="s">
        <v>490</v>
      </c>
      <c r="AE54" s="34" t="s">
        <v>491</v>
      </c>
      <c r="AF54" s="34" t="s">
        <v>492</v>
      </c>
      <c r="AG54" s="34" t="s">
        <v>493</v>
      </c>
      <c r="AH54" s="34" t="s">
        <v>494</v>
      </c>
      <c r="AI54" s="34" t="s">
        <v>495</v>
      </c>
    </row>
    <row r="55" spans="1:35" ht="43.2" x14ac:dyDescent="0.3">
      <c r="A55" s="131">
        <v>54</v>
      </c>
      <c r="B55" s="79" t="str">
        <f t="shared" si="4"/>
        <v>Y</v>
      </c>
      <c r="C55" s="79" t="s">
        <v>45</v>
      </c>
      <c r="D55" s="166" t="s">
        <v>2103</v>
      </c>
      <c r="E55" s="79" t="s">
        <v>2107</v>
      </c>
      <c r="F55" s="79" t="s">
        <v>998</v>
      </c>
      <c r="G55" s="79" t="s">
        <v>526</v>
      </c>
      <c r="H55" s="127">
        <v>401</v>
      </c>
      <c r="I55" s="131" t="s">
        <v>2087</v>
      </c>
      <c r="J55" s="102" t="s">
        <v>50</v>
      </c>
      <c r="K55" s="102" t="s">
        <v>482</v>
      </c>
      <c r="L55" s="102" t="s">
        <v>51</v>
      </c>
      <c r="M55" s="102" t="s">
        <v>22</v>
      </c>
      <c r="N55" s="102" t="s">
        <v>21</v>
      </c>
      <c r="O55" s="125" t="s">
        <v>816</v>
      </c>
      <c r="P55" s="102" t="s">
        <v>23</v>
      </c>
      <c r="Q55" s="102" t="s">
        <v>952</v>
      </c>
      <c r="R55" s="102" t="s">
        <v>51</v>
      </c>
      <c r="S55" s="223" t="s">
        <v>1982</v>
      </c>
      <c r="T55" s="44" t="s">
        <v>171</v>
      </c>
      <c r="U55" s="34" t="s">
        <v>55</v>
      </c>
      <c r="V55" s="34" t="s">
        <v>953</v>
      </c>
      <c r="W55" s="34" t="s">
        <v>954</v>
      </c>
      <c r="X55" s="102" t="s">
        <v>964</v>
      </c>
      <c r="Y55" s="211" t="s">
        <v>1159</v>
      </c>
      <c r="Z55" s="34" t="s">
        <v>955</v>
      </c>
      <c r="AA55" s="222" t="s">
        <v>2078</v>
      </c>
      <c r="AB55" s="34" t="s">
        <v>488</v>
      </c>
      <c r="AC55" s="46" t="s">
        <v>489</v>
      </c>
      <c r="AD55" s="46" t="s">
        <v>490</v>
      </c>
      <c r="AE55" s="34" t="s">
        <v>491</v>
      </c>
      <c r="AF55" s="34" t="s">
        <v>492</v>
      </c>
      <c r="AG55" s="34" t="s">
        <v>493</v>
      </c>
      <c r="AH55" s="34" t="s">
        <v>494</v>
      </c>
      <c r="AI55" s="34" t="s">
        <v>495</v>
      </c>
    </row>
    <row r="56" spans="1:35" ht="201.6" x14ac:dyDescent="0.3">
      <c r="A56" s="131">
        <v>55</v>
      </c>
      <c r="B56" s="79" t="str">
        <f t="shared" si="4"/>
        <v>Y</v>
      </c>
      <c r="C56" s="79" t="s">
        <v>45</v>
      </c>
      <c r="D56" s="166" t="s">
        <v>999</v>
      </c>
      <c r="E56" s="79" t="s">
        <v>2108</v>
      </c>
      <c r="F56" s="79" t="s">
        <v>1000</v>
      </c>
      <c r="G56" s="79" t="s">
        <v>1001</v>
      </c>
      <c r="H56" s="232">
        <v>200</v>
      </c>
      <c r="I56" s="127"/>
      <c r="J56" s="102" t="s">
        <v>50</v>
      </c>
      <c r="K56" s="102" t="s">
        <v>482</v>
      </c>
      <c r="L56" s="102" t="s">
        <v>51</v>
      </c>
      <c r="M56" s="102" t="s">
        <v>22</v>
      </c>
      <c r="N56" s="102" t="s">
        <v>21</v>
      </c>
      <c r="O56" s="125" t="s">
        <v>816</v>
      </c>
      <c r="P56" s="102" t="s">
        <v>23</v>
      </c>
      <c r="Q56" s="102" t="s">
        <v>952</v>
      </c>
      <c r="R56" s="102" t="s">
        <v>51</v>
      </c>
      <c r="S56" s="223"/>
      <c r="T56" s="44" t="s">
        <v>484</v>
      </c>
      <c r="U56" s="34" t="s">
        <v>55</v>
      </c>
      <c r="V56" s="234" t="s">
        <v>2109</v>
      </c>
      <c r="W56" s="34" t="s">
        <v>954</v>
      </c>
      <c r="X56" s="102" t="s">
        <v>486</v>
      </c>
      <c r="Y56" s="128">
        <v>200061812481</v>
      </c>
      <c r="Z56" s="34" t="s">
        <v>955</v>
      </c>
      <c r="AA56" s="222" t="s">
        <v>2078</v>
      </c>
      <c r="AB56" s="34" t="s">
        <v>488</v>
      </c>
      <c r="AC56" s="46" t="s">
        <v>489</v>
      </c>
      <c r="AD56" s="46" t="s">
        <v>490</v>
      </c>
      <c r="AE56" s="34" t="s">
        <v>491</v>
      </c>
      <c r="AF56" s="34" t="s">
        <v>492</v>
      </c>
      <c r="AG56" s="34" t="s">
        <v>493</v>
      </c>
      <c r="AH56" s="34" t="s">
        <v>494</v>
      </c>
      <c r="AI56" s="34" t="s">
        <v>495</v>
      </c>
    </row>
    <row r="57" spans="1:35" ht="201.6" x14ac:dyDescent="0.3">
      <c r="A57" s="131">
        <v>56</v>
      </c>
      <c r="B57" s="79" t="str">
        <f t="shared" ref="B57:B59" si="5">C57</f>
        <v>Y</v>
      </c>
      <c r="C57" s="79" t="s">
        <v>45</v>
      </c>
      <c r="D57" s="166" t="s">
        <v>1002</v>
      </c>
      <c r="E57" s="79" t="s">
        <v>1003</v>
      </c>
      <c r="F57" s="79" t="s">
        <v>1004</v>
      </c>
      <c r="G57" s="79" t="s">
        <v>1001</v>
      </c>
      <c r="H57" s="232">
        <v>200</v>
      </c>
      <c r="I57" s="127"/>
      <c r="J57" s="102" t="s">
        <v>50</v>
      </c>
      <c r="K57" s="102" t="s">
        <v>482</v>
      </c>
      <c r="L57" s="102" t="s">
        <v>51</v>
      </c>
      <c r="M57" s="102" t="s">
        <v>22</v>
      </c>
      <c r="N57" s="102" t="s">
        <v>21</v>
      </c>
      <c r="O57" s="125" t="s">
        <v>816</v>
      </c>
      <c r="P57" s="102" t="s">
        <v>23</v>
      </c>
      <c r="Q57" s="102" t="s">
        <v>952</v>
      </c>
      <c r="R57" s="102" t="s">
        <v>51</v>
      </c>
      <c r="S57" s="223"/>
      <c r="T57" s="44" t="s">
        <v>484</v>
      </c>
      <c r="U57" s="34" t="s">
        <v>55</v>
      </c>
      <c r="V57" s="234" t="s">
        <v>2109</v>
      </c>
      <c r="W57" s="34" t="s">
        <v>954</v>
      </c>
      <c r="X57" s="102" t="s">
        <v>517</v>
      </c>
      <c r="Y57" s="211" t="s">
        <v>1998</v>
      </c>
      <c r="Z57" s="34" t="s">
        <v>955</v>
      </c>
      <c r="AA57" s="222" t="s">
        <v>2078</v>
      </c>
      <c r="AB57" s="34" t="s">
        <v>488</v>
      </c>
      <c r="AC57" s="46" t="s">
        <v>489</v>
      </c>
      <c r="AD57" s="46" t="s">
        <v>490</v>
      </c>
      <c r="AE57" s="34" t="s">
        <v>491</v>
      </c>
      <c r="AF57" s="34" t="s">
        <v>492</v>
      </c>
      <c r="AG57" s="34" t="s">
        <v>493</v>
      </c>
      <c r="AH57" s="34" t="s">
        <v>494</v>
      </c>
      <c r="AI57" s="34" t="s">
        <v>495</v>
      </c>
    </row>
    <row r="58" spans="1:35" ht="201.6" x14ac:dyDescent="0.3">
      <c r="A58" s="131">
        <v>57</v>
      </c>
      <c r="B58" s="79" t="str">
        <f t="shared" si="5"/>
        <v>Y</v>
      </c>
      <c r="C58" s="79" t="s">
        <v>45</v>
      </c>
      <c r="D58" s="166" t="s">
        <v>1005</v>
      </c>
      <c r="E58" s="79" t="s">
        <v>1006</v>
      </c>
      <c r="F58" s="79" t="s">
        <v>1007</v>
      </c>
      <c r="G58" s="79" t="s">
        <v>1001</v>
      </c>
      <c r="H58" s="232">
        <v>200</v>
      </c>
      <c r="I58" s="127"/>
      <c r="J58" s="102" t="s">
        <v>50</v>
      </c>
      <c r="K58" s="102" t="s">
        <v>482</v>
      </c>
      <c r="L58" s="102" t="s">
        <v>51</v>
      </c>
      <c r="M58" s="102" t="s">
        <v>22</v>
      </c>
      <c r="N58" s="102" t="s">
        <v>21</v>
      </c>
      <c r="O58" s="125" t="s">
        <v>816</v>
      </c>
      <c r="P58" s="102" t="s">
        <v>23</v>
      </c>
      <c r="Q58" s="102" t="s">
        <v>952</v>
      </c>
      <c r="R58" s="102" t="s">
        <v>51</v>
      </c>
      <c r="S58" s="223"/>
      <c r="T58" s="44" t="s">
        <v>520</v>
      </c>
      <c r="U58" s="34" t="s">
        <v>55</v>
      </c>
      <c r="V58" s="234" t="s">
        <v>2109</v>
      </c>
      <c r="W58" s="34" t="s">
        <v>954</v>
      </c>
      <c r="X58" s="102" t="s">
        <v>1154</v>
      </c>
      <c r="Y58" s="211" t="s">
        <v>1155</v>
      </c>
      <c r="Z58" s="34" t="s">
        <v>955</v>
      </c>
      <c r="AA58" s="222" t="s">
        <v>2078</v>
      </c>
      <c r="AB58" s="34" t="s">
        <v>488</v>
      </c>
      <c r="AC58" s="46" t="s">
        <v>489</v>
      </c>
      <c r="AD58" s="46" t="s">
        <v>490</v>
      </c>
      <c r="AE58" s="34" t="s">
        <v>491</v>
      </c>
      <c r="AF58" s="34" t="s">
        <v>492</v>
      </c>
      <c r="AG58" s="34" t="s">
        <v>493</v>
      </c>
      <c r="AH58" s="34" t="s">
        <v>494</v>
      </c>
      <c r="AI58" s="34" t="s">
        <v>495</v>
      </c>
    </row>
    <row r="59" spans="1:35" ht="201.6" x14ac:dyDescent="0.3">
      <c r="A59" s="131">
        <v>58</v>
      </c>
      <c r="B59" s="79" t="str">
        <f t="shared" si="5"/>
        <v>Y</v>
      </c>
      <c r="C59" s="79" t="s">
        <v>45</v>
      </c>
      <c r="D59" s="166" t="s">
        <v>1008</v>
      </c>
      <c r="E59" s="79" t="s">
        <v>1009</v>
      </c>
      <c r="F59" s="79" t="s">
        <v>1010</v>
      </c>
      <c r="G59" s="79" t="s">
        <v>1001</v>
      </c>
      <c r="H59" s="232">
        <v>200</v>
      </c>
      <c r="I59" s="127"/>
      <c r="J59" s="102" t="s">
        <v>50</v>
      </c>
      <c r="K59" s="102" t="s">
        <v>482</v>
      </c>
      <c r="L59" s="102" t="s">
        <v>51</v>
      </c>
      <c r="M59" s="102" t="s">
        <v>22</v>
      </c>
      <c r="N59" s="102" t="s">
        <v>21</v>
      </c>
      <c r="O59" s="125" t="s">
        <v>816</v>
      </c>
      <c r="P59" s="102" t="s">
        <v>23</v>
      </c>
      <c r="Q59" s="102" t="s">
        <v>952</v>
      </c>
      <c r="R59" s="102" t="s">
        <v>51</v>
      </c>
      <c r="S59" s="223"/>
      <c r="T59" s="44" t="s">
        <v>171</v>
      </c>
      <c r="U59" s="34" t="s">
        <v>55</v>
      </c>
      <c r="V59" s="234" t="s">
        <v>2109</v>
      </c>
      <c r="W59" s="34" t="s">
        <v>954</v>
      </c>
      <c r="X59" s="102" t="s">
        <v>964</v>
      </c>
      <c r="Y59" s="211" t="s">
        <v>1159</v>
      </c>
      <c r="Z59" s="34" t="s">
        <v>955</v>
      </c>
      <c r="AA59" s="222" t="s">
        <v>2078</v>
      </c>
      <c r="AB59" s="34" t="s">
        <v>488</v>
      </c>
      <c r="AC59" s="46" t="s">
        <v>489</v>
      </c>
      <c r="AD59" s="46" t="s">
        <v>490</v>
      </c>
      <c r="AE59" s="34" t="s">
        <v>491</v>
      </c>
      <c r="AF59" s="34" t="s">
        <v>492</v>
      </c>
      <c r="AG59" s="34" t="s">
        <v>493</v>
      </c>
      <c r="AH59" s="34" t="s">
        <v>494</v>
      </c>
      <c r="AI59" s="34" t="s">
        <v>495</v>
      </c>
    </row>
    <row r="60" spans="1:35" ht="201.6" x14ac:dyDescent="0.3">
      <c r="A60" s="131">
        <v>59</v>
      </c>
      <c r="B60" s="79" t="str">
        <f t="shared" ref="B60:B62" si="6">C60</f>
        <v>Y</v>
      </c>
      <c r="C60" s="79" t="s">
        <v>45</v>
      </c>
      <c r="D60" s="166" t="s">
        <v>1011</v>
      </c>
      <c r="E60" s="79" t="s">
        <v>1012</v>
      </c>
      <c r="F60" s="79" t="s">
        <v>1013</v>
      </c>
      <c r="G60" s="79" t="s">
        <v>1001</v>
      </c>
      <c r="H60" s="232">
        <v>200</v>
      </c>
      <c r="I60" s="127"/>
      <c r="J60" s="102" t="s">
        <v>50</v>
      </c>
      <c r="K60" s="102" t="s">
        <v>482</v>
      </c>
      <c r="L60" s="102" t="s">
        <v>51</v>
      </c>
      <c r="M60" s="102" t="s">
        <v>22</v>
      </c>
      <c r="N60" s="102" t="s">
        <v>21</v>
      </c>
      <c r="O60" s="125" t="s">
        <v>816</v>
      </c>
      <c r="P60" s="102" t="s">
        <v>23</v>
      </c>
      <c r="Q60" s="102" t="s">
        <v>952</v>
      </c>
      <c r="R60" s="102" t="s">
        <v>51</v>
      </c>
      <c r="S60" s="223"/>
      <c r="T60" s="44" t="s">
        <v>484</v>
      </c>
      <c r="U60" s="34" t="s">
        <v>55</v>
      </c>
      <c r="V60" s="34" t="s">
        <v>953</v>
      </c>
      <c r="W60" s="34" t="s">
        <v>954</v>
      </c>
      <c r="X60" s="102" t="s">
        <v>486</v>
      </c>
      <c r="Y60" s="234" t="s">
        <v>2109</v>
      </c>
      <c r="Z60" s="34" t="s">
        <v>955</v>
      </c>
      <c r="AA60" s="222" t="s">
        <v>2078</v>
      </c>
      <c r="AB60" s="34" t="s">
        <v>488</v>
      </c>
      <c r="AC60" s="46" t="s">
        <v>489</v>
      </c>
      <c r="AD60" s="46" t="s">
        <v>490</v>
      </c>
      <c r="AE60" s="34" t="s">
        <v>491</v>
      </c>
      <c r="AF60" s="34" t="s">
        <v>492</v>
      </c>
      <c r="AG60" s="34" t="s">
        <v>493</v>
      </c>
      <c r="AH60" s="34" t="s">
        <v>494</v>
      </c>
      <c r="AI60" s="34" t="s">
        <v>495</v>
      </c>
    </row>
    <row r="61" spans="1:35" ht="201.6" x14ac:dyDescent="0.3">
      <c r="A61" s="131">
        <v>60</v>
      </c>
      <c r="B61" s="79" t="str">
        <f t="shared" si="6"/>
        <v>Y</v>
      </c>
      <c r="C61" s="79" t="s">
        <v>45</v>
      </c>
      <c r="D61" s="166" t="s">
        <v>1014</v>
      </c>
      <c r="E61" s="82" t="s">
        <v>1015</v>
      </c>
      <c r="F61" s="13" t="s">
        <v>1016</v>
      </c>
      <c r="G61" s="79" t="s">
        <v>1001</v>
      </c>
      <c r="H61" s="176">
        <v>503</v>
      </c>
      <c r="I61" s="127" t="s">
        <v>2118</v>
      </c>
      <c r="J61" s="102" t="s">
        <v>50</v>
      </c>
      <c r="K61" s="102" t="s">
        <v>482</v>
      </c>
      <c r="L61" s="102" t="s">
        <v>51</v>
      </c>
      <c r="M61" s="102" t="s">
        <v>22</v>
      </c>
      <c r="N61" s="102" t="s">
        <v>21</v>
      </c>
      <c r="O61" s="125" t="s">
        <v>816</v>
      </c>
      <c r="P61" s="102" t="s">
        <v>23</v>
      </c>
      <c r="Q61" s="102" t="s">
        <v>952</v>
      </c>
      <c r="R61" s="102" t="s">
        <v>51</v>
      </c>
      <c r="S61" s="223"/>
      <c r="T61" s="44" t="s">
        <v>484</v>
      </c>
      <c r="U61" s="34" t="s">
        <v>55</v>
      </c>
      <c r="V61" s="234" t="s">
        <v>2111</v>
      </c>
      <c r="W61" s="34" t="s">
        <v>954</v>
      </c>
      <c r="X61" s="102" t="s">
        <v>486</v>
      </c>
      <c r="Y61" s="128">
        <v>200061812481</v>
      </c>
      <c r="Z61" s="34" t="s">
        <v>955</v>
      </c>
      <c r="AA61" s="222" t="s">
        <v>2112</v>
      </c>
      <c r="AB61" s="34" t="s">
        <v>488</v>
      </c>
      <c r="AC61" s="46" t="s">
        <v>489</v>
      </c>
      <c r="AD61" s="46" t="s">
        <v>490</v>
      </c>
      <c r="AE61" s="34" t="s">
        <v>491</v>
      </c>
      <c r="AF61" s="34" t="s">
        <v>492</v>
      </c>
      <c r="AG61" s="34" t="s">
        <v>493</v>
      </c>
      <c r="AH61" s="34" t="s">
        <v>494</v>
      </c>
      <c r="AI61" s="34" t="s">
        <v>495</v>
      </c>
    </row>
    <row r="62" spans="1:35" ht="201.6" x14ac:dyDescent="0.3">
      <c r="A62" s="131">
        <v>61</v>
      </c>
      <c r="B62" s="79" t="str">
        <f t="shared" si="6"/>
        <v>Y</v>
      </c>
      <c r="C62" s="79" t="s">
        <v>45</v>
      </c>
      <c r="D62" s="166" t="s">
        <v>1017</v>
      </c>
      <c r="E62" s="82" t="s">
        <v>1018</v>
      </c>
      <c r="F62" s="13" t="s">
        <v>1019</v>
      </c>
      <c r="G62" s="79" t="s">
        <v>1001</v>
      </c>
      <c r="H62" s="176">
        <v>503</v>
      </c>
      <c r="I62" s="127" t="s">
        <v>2118</v>
      </c>
      <c r="J62" s="102" t="s">
        <v>50</v>
      </c>
      <c r="K62" s="102" t="s">
        <v>482</v>
      </c>
      <c r="L62" s="102" t="s">
        <v>51</v>
      </c>
      <c r="M62" s="102" t="s">
        <v>22</v>
      </c>
      <c r="N62" s="102" t="s">
        <v>21</v>
      </c>
      <c r="O62" s="125" t="s">
        <v>816</v>
      </c>
      <c r="P62" s="102" t="s">
        <v>23</v>
      </c>
      <c r="Q62" s="102" t="s">
        <v>952</v>
      </c>
      <c r="R62" s="102" t="s">
        <v>51</v>
      </c>
      <c r="S62" s="223"/>
      <c r="T62" s="44" t="s">
        <v>484</v>
      </c>
      <c r="U62" s="34" t="s">
        <v>55</v>
      </c>
      <c r="V62" s="234" t="s">
        <v>2111</v>
      </c>
      <c r="W62" s="34" t="s">
        <v>954</v>
      </c>
      <c r="X62" s="102" t="s">
        <v>517</v>
      </c>
      <c r="Y62" s="211" t="s">
        <v>1998</v>
      </c>
      <c r="Z62" s="34" t="s">
        <v>955</v>
      </c>
      <c r="AA62" s="222" t="s">
        <v>2112</v>
      </c>
      <c r="AB62" s="34" t="s">
        <v>488</v>
      </c>
      <c r="AC62" s="46" t="s">
        <v>489</v>
      </c>
      <c r="AD62" s="46" t="s">
        <v>490</v>
      </c>
      <c r="AE62" s="34" t="s">
        <v>491</v>
      </c>
      <c r="AF62" s="34" t="s">
        <v>492</v>
      </c>
      <c r="AG62" s="34" t="s">
        <v>493</v>
      </c>
      <c r="AH62" s="34" t="s">
        <v>494</v>
      </c>
      <c r="AI62" s="34" t="s">
        <v>495</v>
      </c>
    </row>
    <row r="63" spans="1:35" ht="201.6" x14ac:dyDescent="0.3">
      <c r="A63" s="131">
        <v>62</v>
      </c>
      <c r="B63" s="79" t="str">
        <f t="shared" ref="B63" si="7">C63</f>
        <v>Y</v>
      </c>
      <c r="C63" s="79" t="s">
        <v>45</v>
      </c>
      <c r="D63" s="166" t="s">
        <v>1020</v>
      </c>
      <c r="E63" s="82" t="s">
        <v>1021</v>
      </c>
      <c r="F63" s="13" t="s">
        <v>1022</v>
      </c>
      <c r="G63" s="79" t="s">
        <v>1001</v>
      </c>
      <c r="H63" s="176">
        <v>503</v>
      </c>
      <c r="I63" s="127" t="s">
        <v>2118</v>
      </c>
      <c r="J63" s="102" t="s">
        <v>50</v>
      </c>
      <c r="K63" s="102" t="s">
        <v>482</v>
      </c>
      <c r="L63" s="102" t="s">
        <v>51</v>
      </c>
      <c r="M63" s="102" t="s">
        <v>22</v>
      </c>
      <c r="N63" s="102" t="s">
        <v>21</v>
      </c>
      <c r="O63" s="125" t="s">
        <v>816</v>
      </c>
      <c r="P63" s="102" t="s">
        <v>23</v>
      </c>
      <c r="Q63" s="102" t="s">
        <v>952</v>
      </c>
      <c r="R63" s="102" t="s">
        <v>51</v>
      </c>
      <c r="S63" s="223"/>
      <c r="T63" s="44" t="s">
        <v>520</v>
      </c>
      <c r="U63" s="34" t="s">
        <v>55</v>
      </c>
      <c r="V63" s="234" t="s">
        <v>2111</v>
      </c>
      <c r="W63" s="34" t="s">
        <v>954</v>
      </c>
      <c r="X63" s="102" t="s">
        <v>1154</v>
      </c>
      <c r="Y63" s="211" t="s">
        <v>1155</v>
      </c>
      <c r="Z63" s="34" t="s">
        <v>955</v>
      </c>
      <c r="AA63" s="222" t="s">
        <v>2112</v>
      </c>
      <c r="AB63" s="34" t="s">
        <v>488</v>
      </c>
      <c r="AC63" s="46" t="s">
        <v>489</v>
      </c>
      <c r="AD63" s="46" t="s">
        <v>490</v>
      </c>
      <c r="AE63" s="34" t="s">
        <v>491</v>
      </c>
      <c r="AF63" s="34" t="s">
        <v>492</v>
      </c>
      <c r="AG63" s="34" t="s">
        <v>493</v>
      </c>
      <c r="AH63" s="34" t="s">
        <v>494</v>
      </c>
      <c r="AI63" s="34" t="s">
        <v>495</v>
      </c>
    </row>
    <row r="64" spans="1:35" ht="201.6" x14ac:dyDescent="0.3">
      <c r="A64" s="131">
        <v>63</v>
      </c>
      <c r="B64" s="79" t="str">
        <f t="shared" ref="B64:B65" si="8">C64</f>
        <v>Y</v>
      </c>
      <c r="C64" s="79" t="s">
        <v>45</v>
      </c>
      <c r="D64" s="166" t="s">
        <v>1023</v>
      </c>
      <c r="E64" s="82" t="s">
        <v>1024</v>
      </c>
      <c r="F64" s="13" t="s">
        <v>1025</v>
      </c>
      <c r="G64" s="79" t="s">
        <v>1001</v>
      </c>
      <c r="H64" s="176">
        <v>503</v>
      </c>
      <c r="I64" s="127" t="s">
        <v>2118</v>
      </c>
      <c r="J64" s="102" t="s">
        <v>50</v>
      </c>
      <c r="K64" s="102" t="s">
        <v>482</v>
      </c>
      <c r="L64" s="102" t="s">
        <v>51</v>
      </c>
      <c r="M64" s="102" t="s">
        <v>22</v>
      </c>
      <c r="N64" s="102" t="s">
        <v>21</v>
      </c>
      <c r="O64" s="125" t="s">
        <v>816</v>
      </c>
      <c r="P64" s="102" t="s">
        <v>23</v>
      </c>
      <c r="Q64" s="102" t="s">
        <v>952</v>
      </c>
      <c r="R64" s="102" t="s">
        <v>51</v>
      </c>
      <c r="S64" s="223"/>
      <c r="T64" s="44" t="s">
        <v>171</v>
      </c>
      <c r="U64" s="34" t="s">
        <v>55</v>
      </c>
      <c r="V64" s="234" t="s">
        <v>2111</v>
      </c>
      <c r="W64" s="34" t="s">
        <v>954</v>
      </c>
      <c r="X64" s="102" t="s">
        <v>964</v>
      </c>
      <c r="Y64" s="211" t="s">
        <v>1159</v>
      </c>
      <c r="Z64" s="34" t="s">
        <v>955</v>
      </c>
      <c r="AA64" s="222" t="s">
        <v>2112</v>
      </c>
      <c r="AB64" s="34" t="s">
        <v>488</v>
      </c>
      <c r="AC64" s="46" t="s">
        <v>489</v>
      </c>
      <c r="AD64" s="46" t="s">
        <v>490</v>
      </c>
      <c r="AE64" s="34" t="s">
        <v>491</v>
      </c>
      <c r="AF64" s="34" t="s">
        <v>492</v>
      </c>
      <c r="AG64" s="34" t="s">
        <v>493</v>
      </c>
      <c r="AH64" s="34" t="s">
        <v>494</v>
      </c>
      <c r="AI64" s="34" t="s">
        <v>495</v>
      </c>
    </row>
    <row r="65" spans="1:35" ht="201.6" x14ac:dyDescent="0.3">
      <c r="A65" s="131">
        <v>64</v>
      </c>
      <c r="B65" s="79" t="str">
        <f t="shared" si="8"/>
        <v>Y</v>
      </c>
      <c r="C65" s="79" t="s">
        <v>45</v>
      </c>
      <c r="D65" s="166" t="s">
        <v>2113</v>
      </c>
      <c r="E65" s="82" t="s">
        <v>2115</v>
      </c>
      <c r="F65" s="13" t="s">
        <v>1026</v>
      </c>
      <c r="G65" s="79" t="s">
        <v>1027</v>
      </c>
      <c r="H65" s="232">
        <v>200</v>
      </c>
      <c r="I65" s="15"/>
      <c r="J65" s="102" t="s">
        <v>50</v>
      </c>
      <c r="K65" s="102" t="s">
        <v>482</v>
      </c>
      <c r="L65" s="102" t="s">
        <v>51</v>
      </c>
      <c r="M65" s="102" t="s">
        <v>22</v>
      </c>
      <c r="N65" s="102" t="s">
        <v>21</v>
      </c>
      <c r="O65" s="125" t="s">
        <v>816</v>
      </c>
      <c r="P65" s="102" t="s">
        <v>23</v>
      </c>
      <c r="Q65" s="102" t="s">
        <v>952</v>
      </c>
      <c r="R65" s="102" t="s">
        <v>51</v>
      </c>
      <c r="S65" s="223"/>
      <c r="T65" s="44" t="s">
        <v>484</v>
      </c>
      <c r="U65" s="34" t="s">
        <v>55</v>
      </c>
      <c r="V65" s="34" t="s">
        <v>953</v>
      </c>
      <c r="W65" s="34" t="s">
        <v>954</v>
      </c>
      <c r="X65" s="102" t="s">
        <v>486</v>
      </c>
      <c r="Y65" s="235" t="s">
        <v>2111</v>
      </c>
      <c r="Z65" s="34" t="s">
        <v>955</v>
      </c>
      <c r="AA65" s="222" t="s">
        <v>2112</v>
      </c>
      <c r="AB65" s="34" t="s">
        <v>488</v>
      </c>
      <c r="AC65" s="46" t="s">
        <v>489</v>
      </c>
      <c r="AD65" s="46" t="s">
        <v>490</v>
      </c>
      <c r="AE65" s="34" t="s">
        <v>491</v>
      </c>
      <c r="AF65" s="34" t="s">
        <v>492</v>
      </c>
      <c r="AG65" s="34" t="s">
        <v>493</v>
      </c>
      <c r="AH65" s="34" t="s">
        <v>494</v>
      </c>
      <c r="AI65" s="34" t="s">
        <v>495</v>
      </c>
    </row>
    <row r="66" spans="1:35" ht="201.6" x14ac:dyDescent="0.3">
      <c r="A66" s="131">
        <v>65</v>
      </c>
      <c r="B66" s="79" t="str">
        <f t="shared" ref="B66" si="9">C66</f>
        <v>Y</v>
      </c>
      <c r="C66" s="79" t="s">
        <v>45</v>
      </c>
      <c r="D66" s="166" t="s">
        <v>2114</v>
      </c>
      <c r="E66" s="82" t="s">
        <v>2117</v>
      </c>
      <c r="F66" s="13" t="s">
        <v>1026</v>
      </c>
      <c r="G66" s="79" t="s">
        <v>1027</v>
      </c>
      <c r="H66" s="232">
        <v>200</v>
      </c>
      <c r="I66" s="15"/>
      <c r="J66" s="102" t="s">
        <v>50</v>
      </c>
      <c r="K66" s="102" t="s">
        <v>482</v>
      </c>
      <c r="L66" s="102" t="s">
        <v>51</v>
      </c>
      <c r="M66" s="102" t="s">
        <v>22</v>
      </c>
      <c r="N66" s="102" t="s">
        <v>21</v>
      </c>
      <c r="O66" s="125" t="s">
        <v>816</v>
      </c>
      <c r="P66" s="102" t="s">
        <v>23</v>
      </c>
      <c r="Q66" s="102" t="s">
        <v>952</v>
      </c>
      <c r="R66" s="102" t="s">
        <v>51</v>
      </c>
      <c r="S66" s="223"/>
      <c r="T66" s="44" t="s">
        <v>484</v>
      </c>
      <c r="U66" s="34" t="s">
        <v>55</v>
      </c>
      <c r="V66" s="34" t="s">
        <v>953</v>
      </c>
      <c r="W66" s="34" t="s">
        <v>954</v>
      </c>
      <c r="X66" s="102" t="s">
        <v>517</v>
      </c>
      <c r="Y66" s="235" t="s">
        <v>2116</v>
      </c>
      <c r="Z66" s="34" t="s">
        <v>955</v>
      </c>
      <c r="AA66" s="222" t="s">
        <v>2112</v>
      </c>
      <c r="AB66" s="34" t="s">
        <v>488</v>
      </c>
      <c r="AC66" s="46" t="s">
        <v>489</v>
      </c>
      <c r="AD66" s="46" t="s">
        <v>490</v>
      </c>
      <c r="AE66" s="34" t="s">
        <v>491</v>
      </c>
      <c r="AF66" s="34" t="s">
        <v>492</v>
      </c>
      <c r="AG66" s="34" t="s">
        <v>493</v>
      </c>
      <c r="AH66" s="34" t="s">
        <v>494</v>
      </c>
      <c r="AI66" s="34" t="s">
        <v>495</v>
      </c>
    </row>
    <row r="67" spans="1:35" ht="158.4" x14ac:dyDescent="0.3">
      <c r="A67" s="131">
        <v>66</v>
      </c>
      <c r="B67" s="161" t="str">
        <f t="shared" si="0"/>
        <v>N</v>
      </c>
      <c r="C67" s="161" t="s">
        <v>113</v>
      </c>
      <c r="D67" s="162" t="s">
        <v>1028</v>
      </c>
      <c r="E67" s="180" t="s">
        <v>1029</v>
      </c>
      <c r="F67" s="178" t="s">
        <v>550</v>
      </c>
      <c r="G67" s="161" t="s">
        <v>1030</v>
      </c>
      <c r="H67" s="236">
        <v>200</v>
      </c>
      <c r="I67" s="182"/>
      <c r="J67" s="161" t="s">
        <v>50</v>
      </c>
      <c r="K67" s="178" t="s">
        <v>482</v>
      </c>
      <c r="L67" s="178" t="s">
        <v>51</v>
      </c>
      <c r="M67" s="178" t="s">
        <v>22</v>
      </c>
      <c r="N67" s="178" t="s">
        <v>21</v>
      </c>
      <c r="O67" s="213" t="s">
        <v>816</v>
      </c>
      <c r="P67" s="178" t="s">
        <v>23</v>
      </c>
      <c r="Q67" s="178" t="s">
        <v>952</v>
      </c>
      <c r="R67" s="178" t="s">
        <v>51</v>
      </c>
      <c r="S67" s="184"/>
      <c r="T67" s="213" t="s">
        <v>484</v>
      </c>
      <c r="U67" s="178" t="s">
        <v>55</v>
      </c>
      <c r="V67" s="237" t="s">
        <v>2119</v>
      </c>
      <c r="W67" s="178" t="s">
        <v>954</v>
      </c>
      <c r="X67" s="178" t="s">
        <v>486</v>
      </c>
      <c r="Y67" s="214">
        <v>200061812481</v>
      </c>
      <c r="Z67" s="178" t="s">
        <v>955</v>
      </c>
      <c r="AA67" s="183">
        <v>1</v>
      </c>
      <c r="AB67" s="178" t="s">
        <v>488</v>
      </c>
      <c r="AC67" s="215" t="s">
        <v>489</v>
      </c>
      <c r="AD67" s="215" t="s">
        <v>490</v>
      </c>
      <c r="AE67" s="178" t="s">
        <v>491</v>
      </c>
      <c r="AF67" s="178" t="s">
        <v>492</v>
      </c>
      <c r="AG67" s="178" t="s">
        <v>493</v>
      </c>
      <c r="AH67" s="178" t="s">
        <v>494</v>
      </c>
      <c r="AI67" s="178" t="s">
        <v>495</v>
      </c>
    </row>
    <row r="68" spans="1:35" ht="144" x14ac:dyDescent="0.3">
      <c r="A68" s="131">
        <v>67</v>
      </c>
      <c r="B68" s="161" t="str">
        <f t="shared" ref="B68:B70" si="10">C68</f>
        <v>N</v>
      </c>
      <c r="C68" s="161" t="s">
        <v>113</v>
      </c>
      <c r="D68" s="162" t="s">
        <v>1031</v>
      </c>
      <c r="E68" s="180" t="s">
        <v>1032</v>
      </c>
      <c r="F68" s="178" t="s">
        <v>554</v>
      </c>
      <c r="G68" s="161" t="s">
        <v>1033</v>
      </c>
      <c r="H68" s="183">
        <v>400</v>
      </c>
      <c r="I68" s="183"/>
      <c r="J68" s="161" t="s">
        <v>50</v>
      </c>
      <c r="K68" s="178" t="s">
        <v>482</v>
      </c>
      <c r="L68" s="178" t="s">
        <v>51</v>
      </c>
      <c r="M68" s="178" t="s">
        <v>22</v>
      </c>
      <c r="N68" s="178" t="s">
        <v>21</v>
      </c>
      <c r="O68" s="213" t="s">
        <v>816</v>
      </c>
      <c r="P68" s="178" t="s">
        <v>23</v>
      </c>
      <c r="Q68" s="178" t="s">
        <v>952</v>
      </c>
      <c r="R68" s="178" t="s">
        <v>51</v>
      </c>
      <c r="S68" s="184"/>
      <c r="T68" s="213" t="s">
        <v>484</v>
      </c>
      <c r="U68" s="178" t="s">
        <v>55</v>
      </c>
      <c r="V68" s="237" t="s">
        <v>2119</v>
      </c>
      <c r="W68" s="178" t="s">
        <v>954</v>
      </c>
      <c r="X68" s="178" t="s">
        <v>486</v>
      </c>
      <c r="Y68" s="214">
        <v>200061812481</v>
      </c>
      <c r="Z68" s="178" t="s">
        <v>955</v>
      </c>
      <c r="AA68" s="183">
        <v>1</v>
      </c>
      <c r="AB68" s="178" t="s">
        <v>488</v>
      </c>
      <c r="AC68" s="215" t="s">
        <v>489</v>
      </c>
      <c r="AD68" s="215" t="s">
        <v>490</v>
      </c>
      <c r="AE68" s="178" t="s">
        <v>491</v>
      </c>
      <c r="AF68" s="178" t="s">
        <v>492</v>
      </c>
      <c r="AG68" s="178" t="s">
        <v>493</v>
      </c>
      <c r="AH68" s="178" t="s">
        <v>494</v>
      </c>
      <c r="AI68" s="178" t="s">
        <v>495</v>
      </c>
    </row>
    <row r="69" spans="1:35" ht="144" x14ac:dyDescent="0.3">
      <c r="A69" s="131">
        <v>68</v>
      </c>
      <c r="B69" s="161" t="str">
        <f t="shared" si="10"/>
        <v>N</v>
      </c>
      <c r="C69" s="161" t="s">
        <v>113</v>
      </c>
      <c r="D69" s="162" t="s">
        <v>1034</v>
      </c>
      <c r="E69" s="180" t="s">
        <v>1035</v>
      </c>
      <c r="F69" s="178" t="s">
        <v>557</v>
      </c>
      <c r="G69" s="161" t="s">
        <v>1036</v>
      </c>
      <c r="H69" s="183">
        <v>400</v>
      </c>
      <c r="I69" s="183"/>
      <c r="J69" s="161" t="s">
        <v>50</v>
      </c>
      <c r="K69" s="178" t="s">
        <v>482</v>
      </c>
      <c r="L69" s="178" t="s">
        <v>51</v>
      </c>
      <c r="M69" s="178" t="s">
        <v>22</v>
      </c>
      <c r="N69" s="178" t="s">
        <v>21</v>
      </c>
      <c r="O69" s="213" t="s">
        <v>816</v>
      </c>
      <c r="P69" s="178" t="s">
        <v>23</v>
      </c>
      <c r="Q69" s="178" t="s">
        <v>952</v>
      </c>
      <c r="R69" s="178" t="s">
        <v>51</v>
      </c>
      <c r="S69" s="184"/>
      <c r="T69" s="213" t="s">
        <v>484</v>
      </c>
      <c r="U69" s="178" t="s">
        <v>55</v>
      </c>
      <c r="V69" s="237" t="s">
        <v>2119</v>
      </c>
      <c r="W69" s="178" t="s">
        <v>954</v>
      </c>
      <c r="X69" s="178" t="s">
        <v>486</v>
      </c>
      <c r="Y69" s="214">
        <v>200061812481</v>
      </c>
      <c r="Z69" s="178" t="s">
        <v>955</v>
      </c>
      <c r="AA69" s="183">
        <v>1</v>
      </c>
      <c r="AB69" s="178" t="s">
        <v>488</v>
      </c>
      <c r="AC69" s="215" t="s">
        <v>489</v>
      </c>
      <c r="AD69" s="215" t="s">
        <v>490</v>
      </c>
      <c r="AE69" s="178" t="s">
        <v>491</v>
      </c>
      <c r="AF69" s="178" t="s">
        <v>492</v>
      </c>
      <c r="AG69" s="178" t="s">
        <v>493</v>
      </c>
      <c r="AH69" s="178" t="s">
        <v>494</v>
      </c>
      <c r="AI69" s="178" t="s">
        <v>495</v>
      </c>
    </row>
    <row r="70" spans="1:35" ht="144" x14ac:dyDescent="0.3">
      <c r="A70" s="131">
        <v>69</v>
      </c>
      <c r="B70" s="161" t="str">
        <f t="shared" si="10"/>
        <v>N</v>
      </c>
      <c r="C70" s="161" t="s">
        <v>113</v>
      </c>
      <c r="D70" s="162" t="s">
        <v>1037</v>
      </c>
      <c r="E70" s="180" t="s">
        <v>1038</v>
      </c>
      <c r="F70" s="178" t="s">
        <v>560</v>
      </c>
      <c r="G70" s="161" t="s">
        <v>1039</v>
      </c>
      <c r="H70" s="183">
        <v>400</v>
      </c>
      <c r="I70" s="183"/>
      <c r="J70" s="161" t="s">
        <v>50</v>
      </c>
      <c r="K70" s="178" t="s">
        <v>482</v>
      </c>
      <c r="L70" s="178" t="s">
        <v>51</v>
      </c>
      <c r="M70" s="178" t="s">
        <v>22</v>
      </c>
      <c r="N70" s="178" t="s">
        <v>21</v>
      </c>
      <c r="O70" s="213" t="s">
        <v>816</v>
      </c>
      <c r="P70" s="178" t="s">
        <v>23</v>
      </c>
      <c r="Q70" s="178" t="s">
        <v>952</v>
      </c>
      <c r="R70" s="178" t="s">
        <v>51</v>
      </c>
      <c r="S70" s="184"/>
      <c r="T70" s="213" t="s">
        <v>484</v>
      </c>
      <c r="U70" s="178" t="s">
        <v>55</v>
      </c>
      <c r="V70" s="237" t="s">
        <v>2119</v>
      </c>
      <c r="W70" s="178" t="s">
        <v>954</v>
      </c>
      <c r="X70" s="178" t="s">
        <v>486</v>
      </c>
      <c r="Y70" s="214">
        <v>200061812481</v>
      </c>
      <c r="Z70" s="178" t="s">
        <v>955</v>
      </c>
      <c r="AA70" s="183">
        <v>1</v>
      </c>
      <c r="AB70" s="178" t="s">
        <v>488</v>
      </c>
      <c r="AC70" s="215" t="s">
        <v>489</v>
      </c>
      <c r="AD70" s="215" t="s">
        <v>490</v>
      </c>
      <c r="AE70" s="178" t="s">
        <v>491</v>
      </c>
      <c r="AF70" s="178" t="s">
        <v>492</v>
      </c>
      <c r="AG70" s="178" t="s">
        <v>493</v>
      </c>
      <c r="AH70" s="178" t="s">
        <v>494</v>
      </c>
      <c r="AI70" s="178" t="s">
        <v>495</v>
      </c>
    </row>
    <row r="71" spans="1:35" ht="201.6" x14ac:dyDescent="0.3">
      <c r="A71" s="131">
        <v>70</v>
      </c>
      <c r="B71" s="79" t="str">
        <f t="shared" si="0"/>
        <v>Y</v>
      </c>
      <c r="C71" s="79" t="s">
        <v>45</v>
      </c>
      <c r="D71" s="166" t="s">
        <v>1040</v>
      </c>
      <c r="E71" s="82" t="s">
        <v>1041</v>
      </c>
      <c r="F71" s="13" t="s">
        <v>1042</v>
      </c>
      <c r="G71" s="79" t="s">
        <v>1043</v>
      </c>
      <c r="H71" s="232">
        <v>200</v>
      </c>
      <c r="I71" s="21"/>
      <c r="J71" s="102" t="s">
        <v>50</v>
      </c>
      <c r="K71" s="102" t="s">
        <v>482</v>
      </c>
      <c r="L71" s="102" t="s">
        <v>51</v>
      </c>
      <c r="M71" s="102" t="s">
        <v>22</v>
      </c>
      <c r="N71" s="102" t="s">
        <v>21</v>
      </c>
      <c r="O71" s="125" t="s">
        <v>816</v>
      </c>
      <c r="P71" s="102" t="s">
        <v>23</v>
      </c>
      <c r="Q71" s="102" t="s">
        <v>952</v>
      </c>
      <c r="R71" s="102" t="s">
        <v>51</v>
      </c>
      <c r="S71" s="184"/>
      <c r="T71" s="44" t="s">
        <v>484</v>
      </c>
      <c r="U71" s="34" t="s">
        <v>55</v>
      </c>
      <c r="V71" s="34" t="s">
        <v>953</v>
      </c>
      <c r="W71" s="34" t="s">
        <v>954</v>
      </c>
      <c r="X71" s="102" t="s">
        <v>486</v>
      </c>
      <c r="Y71" s="238">
        <v>200061812490</v>
      </c>
      <c r="Z71" s="34" t="s">
        <v>955</v>
      </c>
      <c r="AA71" s="222" t="s">
        <v>2123</v>
      </c>
      <c r="AB71" s="34" t="s">
        <v>488</v>
      </c>
      <c r="AC71" s="46" t="s">
        <v>489</v>
      </c>
      <c r="AD71" s="46" t="s">
        <v>490</v>
      </c>
      <c r="AE71" s="34" t="s">
        <v>491</v>
      </c>
      <c r="AF71" s="34" t="s">
        <v>492</v>
      </c>
      <c r="AG71" s="34" t="s">
        <v>493</v>
      </c>
      <c r="AH71" s="34" t="s">
        <v>494</v>
      </c>
      <c r="AI71" s="34" t="s">
        <v>495</v>
      </c>
    </row>
    <row r="72" spans="1:35" ht="201.6" x14ac:dyDescent="0.3">
      <c r="A72" s="131">
        <v>71</v>
      </c>
      <c r="B72" s="79" t="str">
        <f t="shared" ref="B72:B73" si="11">C72</f>
        <v>Y</v>
      </c>
      <c r="C72" s="79" t="s">
        <v>45</v>
      </c>
      <c r="D72" s="166" t="s">
        <v>1044</v>
      </c>
      <c r="E72" s="82" t="s">
        <v>1045</v>
      </c>
      <c r="F72" s="13" t="s">
        <v>1046</v>
      </c>
      <c r="G72" s="79" t="s">
        <v>1047</v>
      </c>
      <c r="H72" s="232">
        <v>200</v>
      </c>
      <c r="I72" s="21"/>
      <c r="J72" s="102" t="s">
        <v>50</v>
      </c>
      <c r="K72" s="102" t="s">
        <v>482</v>
      </c>
      <c r="L72" s="102" t="s">
        <v>51</v>
      </c>
      <c r="M72" s="102" t="s">
        <v>22</v>
      </c>
      <c r="N72" s="102" t="s">
        <v>21</v>
      </c>
      <c r="O72" s="125" t="s">
        <v>816</v>
      </c>
      <c r="P72" s="102" t="s">
        <v>23</v>
      </c>
      <c r="Q72" s="102" t="s">
        <v>952</v>
      </c>
      <c r="R72" s="102" t="s">
        <v>51</v>
      </c>
      <c r="S72" s="184"/>
      <c r="T72" s="44" t="s">
        <v>484</v>
      </c>
      <c r="U72" s="34" t="s">
        <v>55</v>
      </c>
      <c r="V72" s="34" t="s">
        <v>953</v>
      </c>
      <c r="W72" s="34" t="s">
        <v>954</v>
      </c>
      <c r="X72" s="102" t="s">
        <v>517</v>
      </c>
      <c r="Y72" s="235" t="s">
        <v>2120</v>
      </c>
      <c r="Z72" s="34" t="s">
        <v>955</v>
      </c>
      <c r="AA72" s="222" t="s">
        <v>2123</v>
      </c>
      <c r="AB72" s="34" t="s">
        <v>488</v>
      </c>
      <c r="AC72" s="46" t="s">
        <v>489</v>
      </c>
      <c r="AD72" s="46" t="s">
        <v>490</v>
      </c>
      <c r="AE72" s="34" t="s">
        <v>491</v>
      </c>
      <c r="AF72" s="34" t="s">
        <v>492</v>
      </c>
      <c r="AG72" s="34" t="s">
        <v>493</v>
      </c>
      <c r="AH72" s="34" t="s">
        <v>494</v>
      </c>
      <c r="AI72" s="34" t="s">
        <v>495</v>
      </c>
    </row>
    <row r="73" spans="1:35" ht="201.6" x14ac:dyDescent="0.3">
      <c r="A73" s="131">
        <v>72</v>
      </c>
      <c r="B73" s="79" t="str">
        <f t="shared" si="11"/>
        <v>Y</v>
      </c>
      <c r="C73" s="79" t="s">
        <v>45</v>
      </c>
      <c r="D73" s="166" t="s">
        <v>1048</v>
      </c>
      <c r="E73" s="82" t="s">
        <v>1049</v>
      </c>
      <c r="F73" s="13" t="s">
        <v>1050</v>
      </c>
      <c r="G73" s="79" t="s">
        <v>1001</v>
      </c>
      <c r="H73" s="232">
        <v>200</v>
      </c>
      <c r="I73" s="21"/>
      <c r="J73" s="102" t="s">
        <v>50</v>
      </c>
      <c r="K73" s="102" t="s">
        <v>482</v>
      </c>
      <c r="L73" s="102" t="s">
        <v>51</v>
      </c>
      <c r="M73" s="102" t="s">
        <v>22</v>
      </c>
      <c r="N73" s="102" t="s">
        <v>21</v>
      </c>
      <c r="O73" s="125" t="s">
        <v>816</v>
      </c>
      <c r="P73" s="102" t="s">
        <v>23</v>
      </c>
      <c r="Q73" s="102" t="s">
        <v>952</v>
      </c>
      <c r="R73" s="102" t="s">
        <v>51</v>
      </c>
      <c r="S73" s="184"/>
      <c r="T73" s="44" t="s">
        <v>520</v>
      </c>
      <c r="U73" s="34" t="s">
        <v>55</v>
      </c>
      <c r="V73" s="34" t="s">
        <v>953</v>
      </c>
      <c r="W73" s="34" t="s">
        <v>954</v>
      </c>
      <c r="X73" s="102" t="s">
        <v>1154</v>
      </c>
      <c r="Y73" s="235" t="s">
        <v>2121</v>
      </c>
      <c r="Z73" s="34" t="s">
        <v>955</v>
      </c>
      <c r="AA73" s="222" t="s">
        <v>2123</v>
      </c>
      <c r="AB73" s="34" t="s">
        <v>488</v>
      </c>
      <c r="AC73" s="46" t="s">
        <v>489</v>
      </c>
      <c r="AD73" s="46" t="s">
        <v>490</v>
      </c>
      <c r="AE73" s="34" t="s">
        <v>491</v>
      </c>
      <c r="AF73" s="34" t="s">
        <v>492</v>
      </c>
      <c r="AG73" s="34" t="s">
        <v>493</v>
      </c>
      <c r="AH73" s="34" t="s">
        <v>494</v>
      </c>
      <c r="AI73" s="34" t="s">
        <v>495</v>
      </c>
    </row>
    <row r="74" spans="1:35" ht="201.6" x14ac:dyDescent="0.3">
      <c r="A74" s="131">
        <v>73</v>
      </c>
      <c r="B74" s="79" t="str">
        <f t="shared" ref="B74" si="12">C74</f>
        <v>Y</v>
      </c>
      <c r="C74" s="79" t="s">
        <v>45</v>
      </c>
      <c r="D74" s="166" t="s">
        <v>1051</v>
      </c>
      <c r="E74" s="82" t="s">
        <v>1052</v>
      </c>
      <c r="F74" s="13" t="s">
        <v>1053</v>
      </c>
      <c r="G74" s="79" t="s">
        <v>1001</v>
      </c>
      <c r="H74" s="232">
        <v>200</v>
      </c>
      <c r="I74" s="21"/>
      <c r="J74" s="102" t="s">
        <v>50</v>
      </c>
      <c r="K74" s="102" t="s">
        <v>482</v>
      </c>
      <c r="L74" s="102" t="s">
        <v>51</v>
      </c>
      <c r="M74" s="102" t="s">
        <v>22</v>
      </c>
      <c r="N74" s="102" t="s">
        <v>21</v>
      </c>
      <c r="O74" s="125" t="s">
        <v>816</v>
      </c>
      <c r="P74" s="102" t="s">
        <v>23</v>
      </c>
      <c r="Q74" s="102" t="s">
        <v>952</v>
      </c>
      <c r="R74" s="102" t="s">
        <v>51</v>
      </c>
      <c r="S74" s="184"/>
      <c r="T74" s="44" t="s">
        <v>171</v>
      </c>
      <c r="U74" s="34" t="s">
        <v>55</v>
      </c>
      <c r="V74" s="34" t="s">
        <v>953</v>
      </c>
      <c r="W74" s="34" t="s">
        <v>954</v>
      </c>
      <c r="X74" s="102" t="s">
        <v>964</v>
      </c>
      <c r="Y74" s="235" t="s">
        <v>2122</v>
      </c>
      <c r="Z74" s="34" t="s">
        <v>955</v>
      </c>
      <c r="AA74" s="222" t="s">
        <v>2123</v>
      </c>
      <c r="AB74" s="34" t="s">
        <v>488</v>
      </c>
      <c r="AC74" s="46" t="s">
        <v>489</v>
      </c>
      <c r="AD74" s="46" t="s">
        <v>490</v>
      </c>
      <c r="AE74" s="34" t="s">
        <v>491</v>
      </c>
      <c r="AF74" s="34" t="s">
        <v>492</v>
      </c>
      <c r="AG74" s="34" t="s">
        <v>493</v>
      </c>
      <c r="AH74" s="34" t="s">
        <v>494</v>
      </c>
      <c r="AI74" s="34" t="s">
        <v>495</v>
      </c>
    </row>
    <row r="75" spans="1:35" ht="201.6" x14ac:dyDescent="0.3">
      <c r="A75" s="131">
        <v>74</v>
      </c>
      <c r="B75" s="79" t="str">
        <f t="shared" ref="B75:B78" si="13">C75</f>
        <v>Y</v>
      </c>
      <c r="C75" s="79" t="s">
        <v>45</v>
      </c>
      <c r="D75" s="166" t="s">
        <v>1054</v>
      </c>
      <c r="E75" s="82" t="s">
        <v>1055</v>
      </c>
      <c r="F75" s="13" t="s">
        <v>1056</v>
      </c>
      <c r="G75" s="79" t="s">
        <v>1001</v>
      </c>
      <c r="H75" s="232">
        <v>200</v>
      </c>
      <c r="I75" s="21"/>
      <c r="J75" s="102" t="s">
        <v>50</v>
      </c>
      <c r="K75" s="102" t="s">
        <v>482</v>
      </c>
      <c r="L75" s="102" t="s">
        <v>51</v>
      </c>
      <c r="M75" s="102" t="s">
        <v>22</v>
      </c>
      <c r="N75" s="102" t="s">
        <v>21</v>
      </c>
      <c r="O75" s="125" t="s">
        <v>816</v>
      </c>
      <c r="P75" s="102" t="s">
        <v>23</v>
      </c>
      <c r="Q75" s="102" t="s">
        <v>952</v>
      </c>
      <c r="R75" s="102" t="s">
        <v>51</v>
      </c>
      <c r="S75" s="184"/>
      <c r="T75" s="44" t="s">
        <v>484</v>
      </c>
      <c r="U75" s="34" t="s">
        <v>55</v>
      </c>
      <c r="V75" s="234" t="s">
        <v>2124</v>
      </c>
      <c r="W75" s="34" t="s">
        <v>954</v>
      </c>
      <c r="X75" s="102" t="s">
        <v>486</v>
      </c>
      <c r="Y75" s="128">
        <v>200061812481</v>
      </c>
      <c r="Z75" s="34" t="s">
        <v>955</v>
      </c>
      <c r="AA75" s="222" t="s">
        <v>2123</v>
      </c>
      <c r="AB75" s="34" t="s">
        <v>488</v>
      </c>
      <c r="AC75" s="46" t="s">
        <v>489</v>
      </c>
      <c r="AD75" s="46" t="s">
        <v>490</v>
      </c>
      <c r="AE75" s="34" t="s">
        <v>491</v>
      </c>
      <c r="AF75" s="34" t="s">
        <v>492</v>
      </c>
      <c r="AG75" s="34" t="s">
        <v>493</v>
      </c>
      <c r="AH75" s="34" t="s">
        <v>494</v>
      </c>
      <c r="AI75" s="34" t="s">
        <v>495</v>
      </c>
    </row>
    <row r="76" spans="1:35" ht="201.6" x14ac:dyDescent="0.3">
      <c r="A76" s="131">
        <v>75</v>
      </c>
      <c r="B76" s="79" t="str">
        <f t="shared" si="13"/>
        <v>Y</v>
      </c>
      <c r="C76" s="79" t="s">
        <v>45</v>
      </c>
      <c r="D76" s="166" t="s">
        <v>1057</v>
      </c>
      <c r="E76" s="82" t="s">
        <v>1058</v>
      </c>
      <c r="F76" s="13" t="s">
        <v>1059</v>
      </c>
      <c r="G76" s="79" t="s">
        <v>1001</v>
      </c>
      <c r="H76" s="232">
        <v>200</v>
      </c>
      <c r="I76" s="21"/>
      <c r="J76" s="102" t="s">
        <v>50</v>
      </c>
      <c r="K76" s="102" t="s">
        <v>482</v>
      </c>
      <c r="L76" s="102" t="s">
        <v>51</v>
      </c>
      <c r="M76" s="102" t="s">
        <v>22</v>
      </c>
      <c r="N76" s="102" t="s">
        <v>21</v>
      </c>
      <c r="O76" s="125" t="s">
        <v>816</v>
      </c>
      <c r="P76" s="102" t="s">
        <v>23</v>
      </c>
      <c r="Q76" s="102" t="s">
        <v>952</v>
      </c>
      <c r="R76" s="102" t="s">
        <v>51</v>
      </c>
      <c r="S76" s="184"/>
      <c r="T76" s="44" t="s">
        <v>484</v>
      </c>
      <c r="U76" s="34" t="s">
        <v>55</v>
      </c>
      <c r="V76" s="234" t="s">
        <v>2124</v>
      </c>
      <c r="W76" s="34" t="s">
        <v>954</v>
      </c>
      <c r="X76" s="102" t="s">
        <v>517</v>
      </c>
      <c r="Y76" s="211" t="s">
        <v>1998</v>
      </c>
      <c r="Z76" s="34" t="s">
        <v>955</v>
      </c>
      <c r="AA76" s="222" t="s">
        <v>2123</v>
      </c>
      <c r="AB76" s="34" t="s">
        <v>488</v>
      </c>
      <c r="AC76" s="46" t="s">
        <v>489</v>
      </c>
      <c r="AD76" s="46" t="s">
        <v>490</v>
      </c>
      <c r="AE76" s="34" t="s">
        <v>491</v>
      </c>
      <c r="AF76" s="34" t="s">
        <v>492</v>
      </c>
      <c r="AG76" s="34" t="s">
        <v>493</v>
      </c>
      <c r="AH76" s="34" t="s">
        <v>494</v>
      </c>
      <c r="AI76" s="34" t="s">
        <v>495</v>
      </c>
    </row>
    <row r="77" spans="1:35" ht="201.6" x14ac:dyDescent="0.3">
      <c r="A77" s="131">
        <v>76</v>
      </c>
      <c r="B77" s="79" t="str">
        <f t="shared" si="13"/>
        <v>Y</v>
      </c>
      <c r="C77" s="79" t="s">
        <v>45</v>
      </c>
      <c r="D77" s="166" t="s">
        <v>1060</v>
      </c>
      <c r="E77" s="82" t="s">
        <v>1061</v>
      </c>
      <c r="F77" s="13" t="s">
        <v>1062</v>
      </c>
      <c r="G77" s="79" t="s">
        <v>1001</v>
      </c>
      <c r="H77" s="232">
        <v>200</v>
      </c>
      <c r="I77" s="21"/>
      <c r="J77" s="102" t="s">
        <v>50</v>
      </c>
      <c r="K77" s="102" t="s">
        <v>482</v>
      </c>
      <c r="L77" s="102" t="s">
        <v>51</v>
      </c>
      <c r="M77" s="102" t="s">
        <v>22</v>
      </c>
      <c r="N77" s="102" t="s">
        <v>21</v>
      </c>
      <c r="O77" s="125" t="s">
        <v>816</v>
      </c>
      <c r="P77" s="102" t="s">
        <v>23</v>
      </c>
      <c r="Q77" s="102" t="s">
        <v>952</v>
      </c>
      <c r="R77" s="102" t="s">
        <v>51</v>
      </c>
      <c r="S77" s="184"/>
      <c r="T77" s="44" t="s">
        <v>520</v>
      </c>
      <c r="U77" s="34" t="s">
        <v>55</v>
      </c>
      <c r="V77" s="234" t="s">
        <v>2124</v>
      </c>
      <c r="W77" s="34" t="s">
        <v>954</v>
      </c>
      <c r="X77" s="102" t="s">
        <v>1154</v>
      </c>
      <c r="Y77" s="211" t="s">
        <v>1155</v>
      </c>
      <c r="Z77" s="34" t="s">
        <v>955</v>
      </c>
      <c r="AA77" s="222" t="s">
        <v>2123</v>
      </c>
      <c r="AB77" s="34" t="s">
        <v>488</v>
      </c>
      <c r="AC77" s="46" t="s">
        <v>489</v>
      </c>
      <c r="AD77" s="46" t="s">
        <v>490</v>
      </c>
      <c r="AE77" s="34" t="s">
        <v>491</v>
      </c>
      <c r="AF77" s="34" t="s">
        <v>492</v>
      </c>
      <c r="AG77" s="34" t="s">
        <v>493</v>
      </c>
      <c r="AH77" s="34" t="s">
        <v>494</v>
      </c>
      <c r="AI77" s="34" t="s">
        <v>495</v>
      </c>
    </row>
    <row r="78" spans="1:35" ht="201.6" x14ac:dyDescent="0.3">
      <c r="A78" s="131">
        <v>77</v>
      </c>
      <c r="B78" s="79" t="str">
        <f t="shared" si="13"/>
        <v>Y</v>
      </c>
      <c r="C78" s="79" t="s">
        <v>45</v>
      </c>
      <c r="D78" s="166" t="s">
        <v>1063</v>
      </c>
      <c r="E78" s="82" t="s">
        <v>1064</v>
      </c>
      <c r="F78" s="13" t="s">
        <v>1065</v>
      </c>
      <c r="G78" s="79" t="s">
        <v>1001</v>
      </c>
      <c r="H78" s="232">
        <v>200</v>
      </c>
      <c r="I78" s="21"/>
      <c r="J78" s="102" t="s">
        <v>50</v>
      </c>
      <c r="K78" s="102" t="s">
        <v>482</v>
      </c>
      <c r="L78" s="102" t="s">
        <v>51</v>
      </c>
      <c r="M78" s="102" t="s">
        <v>22</v>
      </c>
      <c r="N78" s="102" t="s">
        <v>21</v>
      </c>
      <c r="O78" s="125" t="s">
        <v>816</v>
      </c>
      <c r="P78" s="102" t="s">
        <v>23</v>
      </c>
      <c r="Q78" s="102" t="s">
        <v>952</v>
      </c>
      <c r="R78" s="102" t="s">
        <v>51</v>
      </c>
      <c r="S78" s="184"/>
      <c r="T78" s="44" t="s">
        <v>171</v>
      </c>
      <c r="U78" s="34" t="s">
        <v>55</v>
      </c>
      <c r="V78" s="234" t="s">
        <v>2124</v>
      </c>
      <c r="W78" s="34" t="s">
        <v>954</v>
      </c>
      <c r="X78" s="102" t="s">
        <v>964</v>
      </c>
      <c r="Y78" s="211" t="s">
        <v>1159</v>
      </c>
      <c r="Z78" s="34" t="s">
        <v>955</v>
      </c>
      <c r="AA78" s="222" t="s">
        <v>2123</v>
      </c>
      <c r="AB78" s="34" t="s">
        <v>488</v>
      </c>
      <c r="AC78" s="46" t="s">
        <v>489</v>
      </c>
      <c r="AD78" s="46" t="s">
        <v>490</v>
      </c>
      <c r="AE78" s="34" t="s">
        <v>491</v>
      </c>
      <c r="AF78" s="34" t="s">
        <v>492</v>
      </c>
      <c r="AG78" s="34" t="s">
        <v>493</v>
      </c>
      <c r="AH78" s="34" t="s">
        <v>494</v>
      </c>
      <c r="AI78" s="34" t="s">
        <v>495</v>
      </c>
    </row>
    <row r="79" spans="1:35" ht="201.6" x14ac:dyDescent="0.3">
      <c r="A79" s="131">
        <v>78</v>
      </c>
      <c r="B79" s="79" t="str">
        <f t="shared" si="0"/>
        <v>Y</v>
      </c>
      <c r="C79" s="79" t="s">
        <v>45</v>
      </c>
      <c r="D79" s="166" t="s">
        <v>1066</v>
      </c>
      <c r="E79" s="82" t="s">
        <v>1067</v>
      </c>
      <c r="F79" s="13" t="s">
        <v>1068</v>
      </c>
      <c r="G79" s="79" t="s">
        <v>1001</v>
      </c>
      <c r="H79" s="232">
        <v>200</v>
      </c>
      <c r="I79" s="21"/>
      <c r="J79" s="102" t="s">
        <v>50</v>
      </c>
      <c r="K79" s="102" t="s">
        <v>482</v>
      </c>
      <c r="L79" s="102" t="s">
        <v>51</v>
      </c>
      <c r="M79" s="102" t="s">
        <v>22</v>
      </c>
      <c r="N79" s="102" t="s">
        <v>21</v>
      </c>
      <c r="O79" s="125" t="s">
        <v>816</v>
      </c>
      <c r="P79" s="102" t="s">
        <v>23</v>
      </c>
      <c r="Q79" s="102" t="s">
        <v>952</v>
      </c>
      <c r="R79" s="102" t="s">
        <v>51</v>
      </c>
      <c r="S79" s="184"/>
      <c r="T79" s="44" t="s">
        <v>484</v>
      </c>
      <c r="U79" s="34" t="s">
        <v>55</v>
      </c>
      <c r="V79" s="234" t="s">
        <v>2125</v>
      </c>
      <c r="W79" s="34" t="s">
        <v>954</v>
      </c>
      <c r="X79" s="102" t="s">
        <v>486</v>
      </c>
      <c r="Y79" s="128">
        <v>200061812481</v>
      </c>
      <c r="Z79" s="34" t="s">
        <v>955</v>
      </c>
      <c r="AA79" s="222" t="s">
        <v>2123</v>
      </c>
      <c r="AB79" s="34" t="s">
        <v>488</v>
      </c>
      <c r="AC79" s="46" t="s">
        <v>489</v>
      </c>
      <c r="AD79" s="46" t="s">
        <v>490</v>
      </c>
      <c r="AE79" s="34" t="s">
        <v>491</v>
      </c>
      <c r="AF79" s="34" t="s">
        <v>492</v>
      </c>
      <c r="AG79" s="34" t="s">
        <v>493</v>
      </c>
      <c r="AH79" s="34" t="s">
        <v>494</v>
      </c>
      <c r="AI79" s="34" t="s">
        <v>495</v>
      </c>
    </row>
    <row r="80" spans="1:35" ht="201.6" x14ac:dyDescent="0.3">
      <c r="A80" s="131">
        <v>79</v>
      </c>
      <c r="B80" s="79" t="str">
        <f t="shared" si="0"/>
        <v>Y</v>
      </c>
      <c r="C80" s="79" t="s">
        <v>45</v>
      </c>
      <c r="D80" s="166" t="s">
        <v>1069</v>
      </c>
      <c r="E80" s="82" t="s">
        <v>1070</v>
      </c>
      <c r="F80" s="13" t="s">
        <v>1071</v>
      </c>
      <c r="G80" s="79" t="s">
        <v>1001</v>
      </c>
      <c r="H80" s="232">
        <v>200</v>
      </c>
      <c r="I80" s="21"/>
      <c r="J80" s="102" t="s">
        <v>50</v>
      </c>
      <c r="K80" s="102" t="s">
        <v>482</v>
      </c>
      <c r="L80" s="102" t="s">
        <v>51</v>
      </c>
      <c r="M80" s="102" t="s">
        <v>22</v>
      </c>
      <c r="N80" s="102" t="s">
        <v>21</v>
      </c>
      <c r="O80" s="125" t="s">
        <v>816</v>
      </c>
      <c r="P80" s="102" t="s">
        <v>23</v>
      </c>
      <c r="Q80" s="102" t="s">
        <v>952</v>
      </c>
      <c r="R80" s="102" t="s">
        <v>51</v>
      </c>
      <c r="S80" s="184"/>
      <c r="T80" s="44" t="s">
        <v>484</v>
      </c>
      <c r="U80" s="34" t="s">
        <v>55</v>
      </c>
      <c r="V80" s="234" t="s">
        <v>2125</v>
      </c>
      <c r="W80" s="34" t="s">
        <v>954</v>
      </c>
      <c r="X80" s="102" t="s">
        <v>517</v>
      </c>
      <c r="Y80" s="211" t="s">
        <v>1998</v>
      </c>
      <c r="Z80" s="34" t="s">
        <v>955</v>
      </c>
      <c r="AA80" s="222" t="s">
        <v>2123</v>
      </c>
      <c r="AB80" s="34" t="s">
        <v>488</v>
      </c>
      <c r="AC80" s="46" t="s">
        <v>489</v>
      </c>
      <c r="AD80" s="46" t="s">
        <v>490</v>
      </c>
      <c r="AE80" s="34" t="s">
        <v>491</v>
      </c>
      <c r="AF80" s="34" t="s">
        <v>492</v>
      </c>
      <c r="AG80" s="34" t="s">
        <v>493</v>
      </c>
      <c r="AH80" s="34" t="s">
        <v>494</v>
      </c>
      <c r="AI80" s="34" t="s">
        <v>495</v>
      </c>
    </row>
    <row r="81" spans="1:35" ht="201.6" x14ac:dyDescent="0.3">
      <c r="A81" s="131">
        <v>80</v>
      </c>
      <c r="B81" s="79" t="str">
        <f t="shared" si="0"/>
        <v>Y</v>
      </c>
      <c r="C81" s="79" t="s">
        <v>45</v>
      </c>
      <c r="D81" s="166" t="s">
        <v>1072</v>
      </c>
      <c r="E81" s="82" t="s">
        <v>1073</v>
      </c>
      <c r="F81" s="13" t="s">
        <v>1074</v>
      </c>
      <c r="G81" s="79" t="s">
        <v>1001</v>
      </c>
      <c r="H81" s="232">
        <v>200</v>
      </c>
      <c r="I81" s="21"/>
      <c r="J81" s="102" t="s">
        <v>50</v>
      </c>
      <c r="K81" s="102" t="s">
        <v>482</v>
      </c>
      <c r="L81" s="102" t="s">
        <v>51</v>
      </c>
      <c r="M81" s="102" t="s">
        <v>22</v>
      </c>
      <c r="N81" s="102" t="s">
        <v>21</v>
      </c>
      <c r="O81" s="125" t="s">
        <v>816</v>
      </c>
      <c r="P81" s="102" t="s">
        <v>23</v>
      </c>
      <c r="Q81" s="102" t="s">
        <v>952</v>
      </c>
      <c r="R81" s="102" t="s">
        <v>51</v>
      </c>
      <c r="S81" s="184"/>
      <c r="T81" s="44" t="s">
        <v>520</v>
      </c>
      <c r="U81" s="34" t="s">
        <v>55</v>
      </c>
      <c r="V81" s="234" t="s">
        <v>2125</v>
      </c>
      <c r="W81" s="34" t="s">
        <v>954</v>
      </c>
      <c r="X81" s="102" t="s">
        <v>1154</v>
      </c>
      <c r="Y81" s="211" t="s">
        <v>1155</v>
      </c>
      <c r="Z81" s="34" t="s">
        <v>955</v>
      </c>
      <c r="AA81" s="222" t="s">
        <v>2123</v>
      </c>
      <c r="AB81" s="34" t="s">
        <v>488</v>
      </c>
      <c r="AC81" s="46" t="s">
        <v>489</v>
      </c>
      <c r="AD81" s="46" t="s">
        <v>490</v>
      </c>
      <c r="AE81" s="34" t="s">
        <v>491</v>
      </c>
      <c r="AF81" s="34" t="s">
        <v>492</v>
      </c>
      <c r="AG81" s="34" t="s">
        <v>493</v>
      </c>
      <c r="AH81" s="34" t="s">
        <v>494</v>
      </c>
      <c r="AI81" s="34" t="s">
        <v>495</v>
      </c>
    </row>
    <row r="82" spans="1:35" ht="201.6" x14ac:dyDescent="0.3">
      <c r="A82" s="131">
        <v>81</v>
      </c>
      <c r="B82" s="79" t="str">
        <f t="shared" si="0"/>
        <v>Y</v>
      </c>
      <c r="C82" s="79" t="s">
        <v>45</v>
      </c>
      <c r="D82" s="166" t="s">
        <v>1075</v>
      </c>
      <c r="E82" s="82" t="s">
        <v>1076</v>
      </c>
      <c r="F82" s="13" t="s">
        <v>1077</v>
      </c>
      <c r="G82" s="79" t="s">
        <v>1001</v>
      </c>
      <c r="H82" s="232">
        <v>200</v>
      </c>
      <c r="I82" s="21"/>
      <c r="J82" s="102" t="s">
        <v>50</v>
      </c>
      <c r="K82" s="102" t="s">
        <v>482</v>
      </c>
      <c r="L82" s="102" t="s">
        <v>51</v>
      </c>
      <c r="M82" s="102" t="s">
        <v>22</v>
      </c>
      <c r="N82" s="102" t="s">
        <v>21</v>
      </c>
      <c r="O82" s="125" t="s">
        <v>816</v>
      </c>
      <c r="P82" s="102" t="s">
        <v>23</v>
      </c>
      <c r="Q82" s="102" t="s">
        <v>952</v>
      </c>
      <c r="R82" s="102" t="s">
        <v>51</v>
      </c>
      <c r="S82" s="184"/>
      <c r="T82" s="44" t="s">
        <v>171</v>
      </c>
      <c r="U82" s="34" t="s">
        <v>55</v>
      </c>
      <c r="V82" s="234" t="s">
        <v>2125</v>
      </c>
      <c r="W82" s="34" t="s">
        <v>954</v>
      </c>
      <c r="X82" s="102" t="s">
        <v>964</v>
      </c>
      <c r="Y82" s="211" t="s">
        <v>1159</v>
      </c>
      <c r="Z82" s="34" t="s">
        <v>955</v>
      </c>
      <c r="AA82" s="222" t="s">
        <v>2123</v>
      </c>
      <c r="AB82" s="34" t="s">
        <v>488</v>
      </c>
      <c r="AC82" s="46" t="s">
        <v>489</v>
      </c>
      <c r="AD82" s="46" t="s">
        <v>490</v>
      </c>
      <c r="AE82" s="34" t="s">
        <v>491</v>
      </c>
      <c r="AF82" s="34" t="s">
        <v>492</v>
      </c>
      <c r="AG82" s="34" t="s">
        <v>493</v>
      </c>
      <c r="AH82" s="34" t="s">
        <v>494</v>
      </c>
      <c r="AI82" s="34" t="s">
        <v>495</v>
      </c>
    </row>
    <row r="83" spans="1:35" ht="201.6" x14ac:dyDescent="0.3">
      <c r="A83" s="131">
        <v>82</v>
      </c>
      <c r="B83" s="79" t="str">
        <f t="shared" si="0"/>
        <v>Y</v>
      </c>
      <c r="C83" s="79" t="s">
        <v>45</v>
      </c>
      <c r="D83" s="166" t="s">
        <v>1078</v>
      </c>
      <c r="E83" s="82" t="s">
        <v>1079</v>
      </c>
      <c r="F83" s="13" t="s">
        <v>1080</v>
      </c>
      <c r="G83" s="79" t="s">
        <v>1001</v>
      </c>
      <c r="H83" s="232">
        <v>200</v>
      </c>
      <c r="I83" s="21"/>
      <c r="J83" s="102" t="s">
        <v>50</v>
      </c>
      <c r="K83" s="102" t="s">
        <v>482</v>
      </c>
      <c r="L83" s="102" t="s">
        <v>51</v>
      </c>
      <c r="M83" s="102" t="s">
        <v>22</v>
      </c>
      <c r="N83" s="102" t="s">
        <v>21</v>
      </c>
      <c r="O83" s="125" t="s">
        <v>816</v>
      </c>
      <c r="P83" s="102" t="s">
        <v>23</v>
      </c>
      <c r="Q83" s="102" t="s">
        <v>952</v>
      </c>
      <c r="R83" s="102" t="s">
        <v>51</v>
      </c>
      <c r="S83" s="184"/>
      <c r="T83" s="44" t="s">
        <v>484</v>
      </c>
      <c r="U83" s="34" t="s">
        <v>55</v>
      </c>
      <c r="V83" s="234" t="s">
        <v>2126</v>
      </c>
      <c r="W83" s="34" t="s">
        <v>954</v>
      </c>
      <c r="X83" s="102" t="s">
        <v>486</v>
      </c>
      <c r="Y83" s="128">
        <v>200061812481</v>
      </c>
      <c r="Z83" s="34" t="s">
        <v>955</v>
      </c>
      <c r="AA83" s="222" t="s">
        <v>2123</v>
      </c>
      <c r="AB83" s="34" t="s">
        <v>488</v>
      </c>
      <c r="AC83" s="46" t="s">
        <v>489</v>
      </c>
      <c r="AD83" s="46" t="s">
        <v>490</v>
      </c>
      <c r="AE83" s="34" t="s">
        <v>491</v>
      </c>
      <c r="AF83" s="34" t="s">
        <v>492</v>
      </c>
      <c r="AG83" s="34" t="s">
        <v>493</v>
      </c>
      <c r="AH83" s="34" t="s">
        <v>494</v>
      </c>
      <c r="AI83" s="34" t="s">
        <v>495</v>
      </c>
    </row>
    <row r="84" spans="1:35" ht="201.6" x14ac:dyDescent="0.3">
      <c r="A84" s="131">
        <v>83</v>
      </c>
      <c r="B84" s="79" t="str">
        <f t="shared" si="0"/>
        <v>Y</v>
      </c>
      <c r="C84" s="79" t="s">
        <v>45</v>
      </c>
      <c r="D84" s="166" t="s">
        <v>1081</v>
      </c>
      <c r="E84" s="82" t="s">
        <v>1082</v>
      </c>
      <c r="F84" s="13" t="s">
        <v>1083</v>
      </c>
      <c r="G84" s="79" t="s">
        <v>1001</v>
      </c>
      <c r="H84" s="232">
        <v>200</v>
      </c>
      <c r="I84" s="21"/>
      <c r="J84" s="102" t="s">
        <v>50</v>
      </c>
      <c r="K84" s="102" t="s">
        <v>482</v>
      </c>
      <c r="L84" s="102" t="s">
        <v>51</v>
      </c>
      <c r="M84" s="102" t="s">
        <v>22</v>
      </c>
      <c r="N84" s="102" t="s">
        <v>21</v>
      </c>
      <c r="O84" s="125" t="s">
        <v>816</v>
      </c>
      <c r="P84" s="102" t="s">
        <v>23</v>
      </c>
      <c r="Q84" s="102" t="s">
        <v>952</v>
      </c>
      <c r="R84" s="102" t="s">
        <v>51</v>
      </c>
      <c r="S84" s="184"/>
      <c r="T84" s="44" t="s">
        <v>484</v>
      </c>
      <c r="U84" s="34" t="s">
        <v>55</v>
      </c>
      <c r="V84" s="234" t="s">
        <v>2126</v>
      </c>
      <c r="W84" s="34" t="s">
        <v>954</v>
      </c>
      <c r="X84" s="102" t="s">
        <v>517</v>
      </c>
      <c r="Y84" s="211" t="s">
        <v>1998</v>
      </c>
      <c r="Z84" s="34" t="s">
        <v>955</v>
      </c>
      <c r="AA84" s="222" t="s">
        <v>2123</v>
      </c>
      <c r="AB84" s="34" t="s">
        <v>488</v>
      </c>
      <c r="AC84" s="46" t="s">
        <v>489</v>
      </c>
      <c r="AD84" s="46" t="s">
        <v>490</v>
      </c>
      <c r="AE84" s="34" t="s">
        <v>491</v>
      </c>
      <c r="AF84" s="34" t="s">
        <v>492</v>
      </c>
      <c r="AG84" s="34" t="s">
        <v>493</v>
      </c>
      <c r="AH84" s="34" t="s">
        <v>494</v>
      </c>
      <c r="AI84" s="34" t="s">
        <v>495</v>
      </c>
    </row>
    <row r="85" spans="1:35" ht="201.6" x14ac:dyDescent="0.3">
      <c r="A85" s="131">
        <v>84</v>
      </c>
      <c r="B85" s="79" t="str">
        <f t="shared" si="0"/>
        <v>Y</v>
      </c>
      <c r="C85" s="79" t="s">
        <v>45</v>
      </c>
      <c r="D85" s="166" t="s">
        <v>1084</v>
      </c>
      <c r="E85" s="82" t="s">
        <v>1085</v>
      </c>
      <c r="F85" s="13" t="s">
        <v>1086</v>
      </c>
      <c r="G85" s="79" t="s">
        <v>1001</v>
      </c>
      <c r="H85" s="232">
        <v>200</v>
      </c>
      <c r="I85" s="21"/>
      <c r="J85" s="102" t="s">
        <v>50</v>
      </c>
      <c r="K85" s="102" t="s">
        <v>482</v>
      </c>
      <c r="L85" s="102" t="s">
        <v>51</v>
      </c>
      <c r="M85" s="102" t="s">
        <v>22</v>
      </c>
      <c r="N85" s="102" t="s">
        <v>21</v>
      </c>
      <c r="O85" s="125" t="s">
        <v>816</v>
      </c>
      <c r="P85" s="102" t="s">
        <v>23</v>
      </c>
      <c r="Q85" s="102" t="s">
        <v>952</v>
      </c>
      <c r="R85" s="102" t="s">
        <v>51</v>
      </c>
      <c r="S85" s="184"/>
      <c r="T85" s="44" t="s">
        <v>520</v>
      </c>
      <c r="U85" s="34" t="s">
        <v>55</v>
      </c>
      <c r="V85" s="234" t="s">
        <v>2126</v>
      </c>
      <c r="W85" s="34" t="s">
        <v>954</v>
      </c>
      <c r="X85" s="102" t="s">
        <v>1154</v>
      </c>
      <c r="Y85" s="211" t="s">
        <v>1155</v>
      </c>
      <c r="Z85" s="34" t="s">
        <v>955</v>
      </c>
      <c r="AA85" s="222" t="s">
        <v>2123</v>
      </c>
      <c r="AB85" s="34" t="s">
        <v>488</v>
      </c>
      <c r="AC85" s="46" t="s">
        <v>489</v>
      </c>
      <c r="AD85" s="46" t="s">
        <v>490</v>
      </c>
      <c r="AE85" s="34" t="s">
        <v>491</v>
      </c>
      <c r="AF85" s="34" t="s">
        <v>492</v>
      </c>
      <c r="AG85" s="34" t="s">
        <v>493</v>
      </c>
      <c r="AH85" s="34" t="s">
        <v>494</v>
      </c>
      <c r="AI85" s="34" t="s">
        <v>495</v>
      </c>
    </row>
    <row r="86" spans="1:35" ht="201.6" x14ac:dyDescent="0.3">
      <c r="A86" s="131">
        <v>85</v>
      </c>
      <c r="B86" s="79" t="str">
        <f t="shared" si="0"/>
        <v>Y</v>
      </c>
      <c r="C86" s="79" t="s">
        <v>45</v>
      </c>
      <c r="D86" s="166" t="s">
        <v>1087</v>
      </c>
      <c r="E86" s="82" t="s">
        <v>1088</v>
      </c>
      <c r="F86" s="13" t="s">
        <v>1089</v>
      </c>
      <c r="G86" s="79" t="s">
        <v>1001</v>
      </c>
      <c r="H86" s="232">
        <v>200</v>
      </c>
      <c r="I86" s="21"/>
      <c r="J86" s="102" t="s">
        <v>50</v>
      </c>
      <c r="K86" s="102" t="s">
        <v>482</v>
      </c>
      <c r="L86" s="102" t="s">
        <v>51</v>
      </c>
      <c r="M86" s="102" t="s">
        <v>22</v>
      </c>
      <c r="N86" s="102" t="s">
        <v>21</v>
      </c>
      <c r="O86" s="125" t="s">
        <v>816</v>
      </c>
      <c r="P86" s="102" t="s">
        <v>23</v>
      </c>
      <c r="Q86" s="102" t="s">
        <v>952</v>
      </c>
      <c r="R86" s="102" t="s">
        <v>51</v>
      </c>
      <c r="S86" s="184"/>
      <c r="T86" s="44" t="s">
        <v>171</v>
      </c>
      <c r="U86" s="34" t="s">
        <v>55</v>
      </c>
      <c r="V86" s="234" t="s">
        <v>2126</v>
      </c>
      <c r="W86" s="34" t="s">
        <v>954</v>
      </c>
      <c r="X86" s="102" t="s">
        <v>964</v>
      </c>
      <c r="Y86" s="211" t="s">
        <v>1159</v>
      </c>
      <c r="Z86" s="34" t="s">
        <v>955</v>
      </c>
      <c r="AA86" s="222" t="s">
        <v>2123</v>
      </c>
      <c r="AB86" s="34" t="s">
        <v>488</v>
      </c>
      <c r="AC86" s="46" t="s">
        <v>489</v>
      </c>
      <c r="AD86" s="46" t="s">
        <v>490</v>
      </c>
      <c r="AE86" s="34" t="s">
        <v>491</v>
      </c>
      <c r="AF86" s="34" t="s">
        <v>492</v>
      </c>
      <c r="AG86" s="34" t="s">
        <v>493</v>
      </c>
      <c r="AH86" s="34" t="s">
        <v>494</v>
      </c>
      <c r="AI86" s="34" t="s">
        <v>495</v>
      </c>
    </row>
    <row r="87" spans="1:35" ht="201.6" x14ac:dyDescent="0.3">
      <c r="A87" s="131">
        <v>86</v>
      </c>
      <c r="B87" s="79" t="str">
        <f t="shared" si="0"/>
        <v>Y</v>
      </c>
      <c r="C87" s="79" t="s">
        <v>45</v>
      </c>
      <c r="D87" s="166" t="s">
        <v>2127</v>
      </c>
      <c r="E87" s="82" t="s">
        <v>2129</v>
      </c>
      <c r="F87" s="13" t="s">
        <v>1090</v>
      </c>
      <c r="G87" s="79" t="s">
        <v>1001</v>
      </c>
      <c r="H87" s="232">
        <v>200</v>
      </c>
      <c r="I87" s="21"/>
      <c r="J87" s="102" t="s">
        <v>50</v>
      </c>
      <c r="K87" s="102" t="s">
        <v>482</v>
      </c>
      <c r="L87" s="102" t="s">
        <v>51</v>
      </c>
      <c r="M87" s="102" t="s">
        <v>22</v>
      </c>
      <c r="N87" s="102" t="s">
        <v>21</v>
      </c>
      <c r="O87" s="125" t="s">
        <v>816</v>
      </c>
      <c r="P87" s="102" t="s">
        <v>23</v>
      </c>
      <c r="Q87" s="102" t="s">
        <v>952</v>
      </c>
      <c r="R87" s="102" t="s">
        <v>51</v>
      </c>
      <c r="S87" s="184"/>
      <c r="T87" s="44" t="s">
        <v>484</v>
      </c>
      <c r="U87" s="34" t="s">
        <v>55</v>
      </c>
      <c r="V87" s="239" t="s">
        <v>953</v>
      </c>
      <c r="W87" s="34" t="s">
        <v>954</v>
      </c>
      <c r="X87" s="102" t="s">
        <v>486</v>
      </c>
      <c r="Y87" s="211" t="s">
        <v>2124</v>
      </c>
      <c r="Z87" s="34" t="s">
        <v>955</v>
      </c>
      <c r="AA87" s="222" t="s">
        <v>2123</v>
      </c>
      <c r="AB87" s="34" t="s">
        <v>488</v>
      </c>
      <c r="AC87" s="46" t="s">
        <v>489</v>
      </c>
      <c r="AD87" s="46" t="s">
        <v>490</v>
      </c>
      <c r="AE87" s="34" t="s">
        <v>491</v>
      </c>
      <c r="AF87" s="34" t="s">
        <v>492</v>
      </c>
      <c r="AG87" s="34" t="s">
        <v>493</v>
      </c>
      <c r="AH87" s="34" t="s">
        <v>494</v>
      </c>
      <c r="AI87" s="34" t="s">
        <v>495</v>
      </c>
    </row>
    <row r="88" spans="1:35" ht="201.6" x14ac:dyDescent="0.3">
      <c r="A88" s="131">
        <v>87</v>
      </c>
      <c r="B88" s="79" t="str">
        <f t="shared" ref="B88" si="14">C88</f>
        <v>Y</v>
      </c>
      <c r="C88" s="79" t="s">
        <v>45</v>
      </c>
      <c r="D88" s="166" t="s">
        <v>2128</v>
      </c>
      <c r="E88" s="82" t="s">
        <v>2130</v>
      </c>
      <c r="F88" s="13" t="s">
        <v>1090</v>
      </c>
      <c r="G88" s="79" t="s">
        <v>1001</v>
      </c>
      <c r="H88" s="232">
        <v>200</v>
      </c>
      <c r="I88" s="21"/>
      <c r="J88" s="102" t="s">
        <v>50</v>
      </c>
      <c r="K88" s="102" t="s">
        <v>482</v>
      </c>
      <c r="L88" s="102" t="s">
        <v>51</v>
      </c>
      <c r="M88" s="102" t="s">
        <v>22</v>
      </c>
      <c r="N88" s="102" t="s">
        <v>21</v>
      </c>
      <c r="O88" s="125" t="s">
        <v>816</v>
      </c>
      <c r="P88" s="102" t="s">
        <v>23</v>
      </c>
      <c r="Q88" s="102" t="s">
        <v>952</v>
      </c>
      <c r="R88" s="102" t="s">
        <v>51</v>
      </c>
      <c r="S88" s="184"/>
      <c r="T88" s="44" t="s">
        <v>484</v>
      </c>
      <c r="U88" s="34" t="s">
        <v>55</v>
      </c>
      <c r="V88" s="239" t="s">
        <v>953</v>
      </c>
      <c r="W88" s="34" t="s">
        <v>954</v>
      </c>
      <c r="X88" s="102" t="s">
        <v>517</v>
      </c>
      <c r="Y88" s="211" t="s">
        <v>2131</v>
      </c>
      <c r="Z88" s="34" t="s">
        <v>955</v>
      </c>
      <c r="AA88" s="222" t="s">
        <v>2123</v>
      </c>
      <c r="AB88" s="34" t="s">
        <v>488</v>
      </c>
      <c r="AC88" s="46" t="s">
        <v>489</v>
      </c>
      <c r="AD88" s="46" t="s">
        <v>490</v>
      </c>
      <c r="AE88" s="34" t="s">
        <v>491</v>
      </c>
      <c r="AF88" s="34" t="s">
        <v>492</v>
      </c>
      <c r="AG88" s="34" t="s">
        <v>493</v>
      </c>
      <c r="AH88" s="34" t="s">
        <v>494</v>
      </c>
      <c r="AI88" s="34" t="s">
        <v>495</v>
      </c>
    </row>
    <row r="89" spans="1:35" ht="201.6" x14ac:dyDescent="0.3">
      <c r="A89" s="131">
        <v>88</v>
      </c>
      <c r="B89" s="79" t="str">
        <f t="shared" ref="B89" si="15">C89</f>
        <v>Y</v>
      </c>
      <c r="C89" s="79" t="s">
        <v>45</v>
      </c>
      <c r="D89" s="166" t="s">
        <v>2132</v>
      </c>
      <c r="E89" s="82" t="s">
        <v>2133</v>
      </c>
      <c r="F89" s="13" t="s">
        <v>1091</v>
      </c>
      <c r="G89" s="79" t="s">
        <v>1001</v>
      </c>
      <c r="H89" s="232">
        <v>200</v>
      </c>
      <c r="I89" s="21"/>
      <c r="J89" s="102" t="s">
        <v>50</v>
      </c>
      <c r="K89" s="102" t="s">
        <v>482</v>
      </c>
      <c r="L89" s="102" t="s">
        <v>51</v>
      </c>
      <c r="M89" s="102" t="s">
        <v>22</v>
      </c>
      <c r="N89" s="102" t="s">
        <v>21</v>
      </c>
      <c r="O89" s="125" t="s">
        <v>816</v>
      </c>
      <c r="P89" s="102" t="s">
        <v>23</v>
      </c>
      <c r="Q89" s="102" t="s">
        <v>952</v>
      </c>
      <c r="R89" s="102" t="s">
        <v>51</v>
      </c>
      <c r="S89" s="184"/>
      <c r="T89" s="44" t="s">
        <v>484</v>
      </c>
      <c r="U89" s="34" t="s">
        <v>55</v>
      </c>
      <c r="V89" s="239" t="s">
        <v>953</v>
      </c>
      <c r="W89" s="34" t="s">
        <v>954</v>
      </c>
      <c r="X89" s="102" t="s">
        <v>486</v>
      </c>
      <c r="Y89" s="211" t="s">
        <v>2125</v>
      </c>
      <c r="Z89" s="34" t="s">
        <v>955</v>
      </c>
      <c r="AA89" s="222" t="s">
        <v>2123</v>
      </c>
      <c r="AB89" s="34" t="s">
        <v>488</v>
      </c>
      <c r="AC89" s="46" t="s">
        <v>489</v>
      </c>
      <c r="AD89" s="46" t="s">
        <v>490</v>
      </c>
      <c r="AE89" s="34" t="s">
        <v>491</v>
      </c>
      <c r="AF89" s="34" t="s">
        <v>492</v>
      </c>
      <c r="AG89" s="34" t="s">
        <v>493</v>
      </c>
      <c r="AH89" s="34" t="s">
        <v>494</v>
      </c>
      <c r="AI89" s="34" t="s">
        <v>495</v>
      </c>
    </row>
    <row r="90" spans="1:35" ht="201.6" x14ac:dyDescent="0.3">
      <c r="A90" s="131">
        <v>89</v>
      </c>
      <c r="B90" s="79" t="str">
        <f t="shared" ref="B90" si="16">C90</f>
        <v>Y</v>
      </c>
      <c r="C90" s="79" t="s">
        <v>45</v>
      </c>
      <c r="D90" s="166" t="s">
        <v>2135</v>
      </c>
      <c r="E90" s="82" t="s">
        <v>2136</v>
      </c>
      <c r="F90" s="13" t="s">
        <v>1091</v>
      </c>
      <c r="G90" s="79" t="s">
        <v>1001</v>
      </c>
      <c r="H90" s="232">
        <v>200</v>
      </c>
      <c r="I90" s="21"/>
      <c r="J90" s="102" t="s">
        <v>50</v>
      </c>
      <c r="K90" s="102" t="s">
        <v>482</v>
      </c>
      <c r="L90" s="102" t="s">
        <v>51</v>
      </c>
      <c r="M90" s="102" t="s">
        <v>22</v>
      </c>
      <c r="N90" s="102" t="s">
        <v>21</v>
      </c>
      <c r="O90" s="125" t="s">
        <v>816</v>
      </c>
      <c r="P90" s="102" t="s">
        <v>23</v>
      </c>
      <c r="Q90" s="102" t="s">
        <v>952</v>
      </c>
      <c r="R90" s="102" t="s">
        <v>51</v>
      </c>
      <c r="S90" s="184"/>
      <c r="T90" s="44" t="s">
        <v>484</v>
      </c>
      <c r="U90" s="34" t="s">
        <v>55</v>
      </c>
      <c r="V90" s="239" t="s">
        <v>953</v>
      </c>
      <c r="W90" s="34" t="s">
        <v>954</v>
      </c>
      <c r="X90" s="102" t="s">
        <v>517</v>
      </c>
      <c r="Y90" s="211" t="s">
        <v>2134</v>
      </c>
      <c r="Z90" s="34" t="s">
        <v>955</v>
      </c>
      <c r="AA90" s="222" t="s">
        <v>2123</v>
      </c>
      <c r="AB90" s="34" t="s">
        <v>488</v>
      </c>
      <c r="AC90" s="46" t="s">
        <v>489</v>
      </c>
      <c r="AD90" s="46" t="s">
        <v>490</v>
      </c>
      <c r="AE90" s="34" t="s">
        <v>491</v>
      </c>
      <c r="AF90" s="34" t="s">
        <v>492</v>
      </c>
      <c r="AG90" s="34" t="s">
        <v>493</v>
      </c>
      <c r="AH90" s="34" t="s">
        <v>494</v>
      </c>
      <c r="AI90" s="34" t="s">
        <v>495</v>
      </c>
    </row>
    <row r="91" spans="1:35" ht="201.6" x14ac:dyDescent="0.3">
      <c r="A91" s="131">
        <v>90</v>
      </c>
      <c r="B91" s="79" t="str">
        <f t="shared" ref="B91:B92" si="17">C91</f>
        <v>Y</v>
      </c>
      <c r="C91" s="79" t="s">
        <v>45</v>
      </c>
      <c r="D91" s="166" t="s">
        <v>2137</v>
      </c>
      <c r="E91" s="82" t="s">
        <v>2138</v>
      </c>
      <c r="F91" s="13" t="s">
        <v>1092</v>
      </c>
      <c r="G91" s="79" t="s">
        <v>1001</v>
      </c>
      <c r="H91" s="232">
        <v>200</v>
      </c>
      <c r="I91" s="21"/>
      <c r="J91" s="102" t="s">
        <v>50</v>
      </c>
      <c r="K91" s="102" t="s">
        <v>482</v>
      </c>
      <c r="L91" s="102" t="s">
        <v>51</v>
      </c>
      <c r="M91" s="102" t="s">
        <v>22</v>
      </c>
      <c r="N91" s="102" t="s">
        <v>21</v>
      </c>
      <c r="O91" s="125" t="s">
        <v>816</v>
      </c>
      <c r="P91" s="102" t="s">
        <v>23</v>
      </c>
      <c r="Q91" s="102" t="s">
        <v>952</v>
      </c>
      <c r="R91" s="102" t="s">
        <v>51</v>
      </c>
      <c r="S91" s="184"/>
      <c r="T91" s="44" t="s">
        <v>484</v>
      </c>
      <c r="U91" s="34" t="s">
        <v>55</v>
      </c>
      <c r="V91" s="239" t="s">
        <v>953</v>
      </c>
      <c r="W91" s="34" t="s">
        <v>954</v>
      </c>
      <c r="X91" s="102" t="s">
        <v>486</v>
      </c>
      <c r="Y91" s="211" t="s">
        <v>2126</v>
      </c>
      <c r="Z91" s="34" t="s">
        <v>955</v>
      </c>
      <c r="AA91" s="222" t="s">
        <v>2123</v>
      </c>
      <c r="AB91" s="34" t="s">
        <v>488</v>
      </c>
      <c r="AC91" s="46" t="s">
        <v>489</v>
      </c>
      <c r="AD91" s="46" t="s">
        <v>490</v>
      </c>
      <c r="AE91" s="34" t="s">
        <v>491</v>
      </c>
      <c r="AF91" s="34" t="s">
        <v>492</v>
      </c>
      <c r="AG91" s="34" t="s">
        <v>493</v>
      </c>
      <c r="AH91" s="34" t="s">
        <v>494</v>
      </c>
      <c r="AI91" s="34" t="s">
        <v>495</v>
      </c>
    </row>
    <row r="92" spans="1:35" ht="201.6" x14ac:dyDescent="0.3">
      <c r="A92" s="131">
        <v>91</v>
      </c>
      <c r="B92" s="79" t="str">
        <f t="shared" si="17"/>
        <v>Y</v>
      </c>
      <c r="C92" s="79" t="s">
        <v>45</v>
      </c>
      <c r="D92" s="166" t="s">
        <v>2141</v>
      </c>
      <c r="E92" s="82" t="s">
        <v>2140</v>
      </c>
      <c r="F92" s="13" t="s">
        <v>1092</v>
      </c>
      <c r="G92" s="79" t="s">
        <v>1001</v>
      </c>
      <c r="H92" s="232">
        <v>200</v>
      </c>
      <c r="I92" s="21"/>
      <c r="J92" s="102" t="s">
        <v>50</v>
      </c>
      <c r="K92" s="102" t="s">
        <v>482</v>
      </c>
      <c r="L92" s="102" t="s">
        <v>51</v>
      </c>
      <c r="M92" s="102" t="s">
        <v>22</v>
      </c>
      <c r="N92" s="102" t="s">
        <v>21</v>
      </c>
      <c r="O92" s="125" t="s">
        <v>816</v>
      </c>
      <c r="P92" s="102" t="s">
        <v>23</v>
      </c>
      <c r="Q92" s="102" t="s">
        <v>952</v>
      </c>
      <c r="R92" s="102" t="s">
        <v>51</v>
      </c>
      <c r="S92" s="184"/>
      <c r="T92" s="44" t="s">
        <v>484</v>
      </c>
      <c r="U92" s="34" t="s">
        <v>55</v>
      </c>
      <c r="V92" s="239" t="s">
        <v>953</v>
      </c>
      <c r="W92" s="34" t="s">
        <v>954</v>
      </c>
      <c r="X92" s="102" t="s">
        <v>517</v>
      </c>
      <c r="Y92" s="211" t="s">
        <v>2139</v>
      </c>
      <c r="Z92" s="34" t="s">
        <v>955</v>
      </c>
      <c r="AA92" s="222" t="s">
        <v>2123</v>
      </c>
      <c r="AB92" s="34" t="s">
        <v>488</v>
      </c>
      <c r="AC92" s="46" t="s">
        <v>489</v>
      </c>
      <c r="AD92" s="46" t="s">
        <v>490</v>
      </c>
      <c r="AE92" s="34" t="s">
        <v>491</v>
      </c>
      <c r="AF92" s="34" t="s">
        <v>492</v>
      </c>
      <c r="AG92" s="34" t="s">
        <v>493</v>
      </c>
      <c r="AH92" s="34" t="s">
        <v>494</v>
      </c>
      <c r="AI92" s="34" t="s">
        <v>495</v>
      </c>
    </row>
    <row r="93" spans="1:35" ht="172.8" x14ac:dyDescent="0.3">
      <c r="A93" s="131">
        <v>92</v>
      </c>
      <c r="B93" s="79" t="str">
        <f t="shared" ref="B93:B96" si="18">C93</f>
        <v>Y</v>
      </c>
      <c r="C93" s="79" t="s">
        <v>45</v>
      </c>
      <c r="D93" s="166" t="s">
        <v>1093</v>
      </c>
      <c r="E93" s="82" t="s">
        <v>1094</v>
      </c>
      <c r="F93" s="13" t="s">
        <v>1095</v>
      </c>
      <c r="G93" s="79" t="s">
        <v>1096</v>
      </c>
      <c r="H93" s="232">
        <v>200</v>
      </c>
      <c r="I93" s="21"/>
      <c r="J93" s="102" t="s">
        <v>50</v>
      </c>
      <c r="K93" s="102" t="s">
        <v>482</v>
      </c>
      <c r="L93" s="102" t="s">
        <v>51</v>
      </c>
      <c r="M93" s="102" t="s">
        <v>22</v>
      </c>
      <c r="N93" s="102" t="s">
        <v>21</v>
      </c>
      <c r="O93" s="125" t="s">
        <v>816</v>
      </c>
      <c r="P93" s="102" t="s">
        <v>23</v>
      </c>
      <c r="Q93" s="102" t="s">
        <v>952</v>
      </c>
      <c r="R93" s="102" t="s">
        <v>51</v>
      </c>
      <c r="S93" s="184"/>
      <c r="T93" s="44" t="s">
        <v>484</v>
      </c>
      <c r="U93" s="34" t="s">
        <v>55</v>
      </c>
      <c r="V93" s="234" t="s">
        <v>2142</v>
      </c>
      <c r="W93" s="34" t="s">
        <v>954</v>
      </c>
      <c r="X93" s="102" t="s">
        <v>486</v>
      </c>
      <c r="Y93" s="128">
        <v>200061812481</v>
      </c>
      <c r="Z93" s="34" t="s">
        <v>955</v>
      </c>
      <c r="AA93" s="222" t="s">
        <v>2123</v>
      </c>
      <c r="AB93" s="34" t="s">
        <v>488</v>
      </c>
      <c r="AC93" s="46" t="s">
        <v>489</v>
      </c>
      <c r="AD93" s="46" t="s">
        <v>490</v>
      </c>
      <c r="AE93" s="34" t="s">
        <v>491</v>
      </c>
      <c r="AF93" s="34" t="s">
        <v>492</v>
      </c>
      <c r="AG93" s="34" t="s">
        <v>493</v>
      </c>
      <c r="AH93" s="34" t="s">
        <v>494</v>
      </c>
      <c r="AI93" s="34" t="s">
        <v>495</v>
      </c>
    </row>
    <row r="94" spans="1:35" ht="172.8" x14ac:dyDescent="0.3">
      <c r="A94" s="131">
        <v>93</v>
      </c>
      <c r="B94" s="79" t="str">
        <f t="shared" si="18"/>
        <v>Y</v>
      </c>
      <c r="C94" s="79" t="s">
        <v>45</v>
      </c>
      <c r="D94" s="166" t="s">
        <v>1097</v>
      </c>
      <c r="E94" s="82" t="s">
        <v>1098</v>
      </c>
      <c r="F94" s="13" t="s">
        <v>1099</v>
      </c>
      <c r="G94" s="79" t="s">
        <v>1096</v>
      </c>
      <c r="H94" s="232">
        <v>200</v>
      </c>
      <c r="I94" s="21"/>
      <c r="J94" s="102" t="s">
        <v>50</v>
      </c>
      <c r="K94" s="102" t="s">
        <v>482</v>
      </c>
      <c r="L94" s="102" t="s">
        <v>51</v>
      </c>
      <c r="M94" s="102" t="s">
        <v>22</v>
      </c>
      <c r="N94" s="102" t="s">
        <v>21</v>
      </c>
      <c r="O94" s="125" t="s">
        <v>816</v>
      </c>
      <c r="P94" s="102" t="s">
        <v>23</v>
      </c>
      <c r="Q94" s="102" t="s">
        <v>952</v>
      </c>
      <c r="R94" s="102" t="s">
        <v>51</v>
      </c>
      <c r="S94" s="184"/>
      <c r="T94" s="44" t="s">
        <v>484</v>
      </c>
      <c r="U94" s="34" t="s">
        <v>55</v>
      </c>
      <c r="V94" s="234" t="s">
        <v>2142</v>
      </c>
      <c r="W94" s="34" t="s">
        <v>954</v>
      </c>
      <c r="X94" s="102" t="s">
        <v>517</v>
      </c>
      <c r="Y94" s="211" t="s">
        <v>1998</v>
      </c>
      <c r="Z94" s="34" t="s">
        <v>955</v>
      </c>
      <c r="AA94" s="222" t="s">
        <v>2123</v>
      </c>
      <c r="AB94" s="34" t="s">
        <v>488</v>
      </c>
      <c r="AC94" s="46" t="s">
        <v>489</v>
      </c>
      <c r="AD94" s="46" t="s">
        <v>490</v>
      </c>
      <c r="AE94" s="34" t="s">
        <v>491</v>
      </c>
      <c r="AF94" s="34" t="s">
        <v>492</v>
      </c>
      <c r="AG94" s="34" t="s">
        <v>493</v>
      </c>
      <c r="AH94" s="34" t="s">
        <v>494</v>
      </c>
      <c r="AI94" s="34" t="s">
        <v>495</v>
      </c>
    </row>
    <row r="95" spans="1:35" ht="201.6" x14ac:dyDescent="0.3">
      <c r="A95" s="131">
        <v>94</v>
      </c>
      <c r="B95" s="79" t="str">
        <f t="shared" si="18"/>
        <v>Y</v>
      </c>
      <c r="C95" s="79" t="s">
        <v>45</v>
      </c>
      <c r="D95" s="166" t="s">
        <v>1100</v>
      </c>
      <c r="E95" s="82" t="s">
        <v>1101</v>
      </c>
      <c r="F95" s="13" t="s">
        <v>1102</v>
      </c>
      <c r="G95" s="79" t="s">
        <v>1001</v>
      </c>
      <c r="H95" s="232">
        <v>200</v>
      </c>
      <c r="I95" s="21"/>
      <c r="J95" s="102" t="s">
        <v>50</v>
      </c>
      <c r="K95" s="102" t="s">
        <v>482</v>
      </c>
      <c r="L95" s="102" t="s">
        <v>51</v>
      </c>
      <c r="M95" s="102" t="s">
        <v>22</v>
      </c>
      <c r="N95" s="102" t="s">
        <v>21</v>
      </c>
      <c r="O95" s="125" t="s">
        <v>816</v>
      </c>
      <c r="P95" s="102" t="s">
        <v>23</v>
      </c>
      <c r="Q95" s="102" t="s">
        <v>952</v>
      </c>
      <c r="R95" s="102" t="s">
        <v>51</v>
      </c>
      <c r="S95" s="184"/>
      <c r="T95" s="44" t="s">
        <v>520</v>
      </c>
      <c r="U95" s="34" t="s">
        <v>55</v>
      </c>
      <c r="V95" s="234" t="s">
        <v>2142</v>
      </c>
      <c r="W95" s="34" t="s">
        <v>954</v>
      </c>
      <c r="X95" s="102" t="s">
        <v>1154</v>
      </c>
      <c r="Y95" s="211" t="s">
        <v>1155</v>
      </c>
      <c r="Z95" s="34" t="s">
        <v>955</v>
      </c>
      <c r="AA95" s="222" t="s">
        <v>2123</v>
      </c>
      <c r="AB95" s="34" t="s">
        <v>488</v>
      </c>
      <c r="AC95" s="46" t="s">
        <v>489</v>
      </c>
      <c r="AD95" s="46" t="s">
        <v>490</v>
      </c>
      <c r="AE95" s="34" t="s">
        <v>491</v>
      </c>
      <c r="AF95" s="34" t="s">
        <v>492</v>
      </c>
      <c r="AG95" s="34" t="s">
        <v>493</v>
      </c>
      <c r="AH95" s="34" t="s">
        <v>494</v>
      </c>
      <c r="AI95" s="34" t="s">
        <v>495</v>
      </c>
    </row>
    <row r="96" spans="1:35" ht="201.6" x14ac:dyDescent="0.3">
      <c r="A96" s="131">
        <v>95</v>
      </c>
      <c r="B96" s="79" t="str">
        <f t="shared" si="18"/>
        <v>Y</v>
      </c>
      <c r="C96" s="79" t="s">
        <v>45</v>
      </c>
      <c r="D96" s="166" t="s">
        <v>1103</v>
      </c>
      <c r="E96" s="82" t="s">
        <v>1104</v>
      </c>
      <c r="F96" s="13" t="s">
        <v>1105</v>
      </c>
      <c r="G96" s="79" t="s">
        <v>1001</v>
      </c>
      <c r="H96" s="232">
        <v>200</v>
      </c>
      <c r="I96" s="21"/>
      <c r="J96" s="102" t="s">
        <v>50</v>
      </c>
      <c r="K96" s="102" t="s">
        <v>482</v>
      </c>
      <c r="L96" s="102" t="s">
        <v>51</v>
      </c>
      <c r="M96" s="102" t="s">
        <v>22</v>
      </c>
      <c r="N96" s="102" t="s">
        <v>21</v>
      </c>
      <c r="O96" s="125" t="s">
        <v>816</v>
      </c>
      <c r="P96" s="102" t="s">
        <v>23</v>
      </c>
      <c r="Q96" s="102" t="s">
        <v>952</v>
      </c>
      <c r="R96" s="102" t="s">
        <v>51</v>
      </c>
      <c r="S96" s="184"/>
      <c r="T96" s="44" t="s">
        <v>171</v>
      </c>
      <c r="U96" s="34" t="s">
        <v>55</v>
      </c>
      <c r="V96" s="234" t="s">
        <v>2142</v>
      </c>
      <c r="W96" s="34" t="s">
        <v>954</v>
      </c>
      <c r="X96" s="102" t="s">
        <v>964</v>
      </c>
      <c r="Y96" s="211" t="s">
        <v>1159</v>
      </c>
      <c r="Z96" s="34" t="s">
        <v>955</v>
      </c>
      <c r="AA96" s="222" t="s">
        <v>2123</v>
      </c>
      <c r="AB96" s="34" t="s">
        <v>488</v>
      </c>
      <c r="AC96" s="46" t="s">
        <v>489</v>
      </c>
      <c r="AD96" s="46" t="s">
        <v>490</v>
      </c>
      <c r="AE96" s="34" t="s">
        <v>491</v>
      </c>
      <c r="AF96" s="34" t="s">
        <v>492</v>
      </c>
      <c r="AG96" s="34" t="s">
        <v>493</v>
      </c>
      <c r="AH96" s="34" t="s">
        <v>494</v>
      </c>
      <c r="AI96" s="34" t="s">
        <v>495</v>
      </c>
    </row>
    <row r="97" spans="1:35" ht="172.8" x14ac:dyDescent="0.3">
      <c r="A97" s="131">
        <v>96</v>
      </c>
      <c r="B97" s="79" t="str">
        <f t="shared" ref="B97:B100" si="19">C97</f>
        <v>Y</v>
      </c>
      <c r="C97" s="79" t="s">
        <v>45</v>
      </c>
      <c r="D97" s="166" t="s">
        <v>1106</v>
      </c>
      <c r="E97" s="82" t="s">
        <v>1107</v>
      </c>
      <c r="F97" s="13" t="s">
        <v>1108</v>
      </c>
      <c r="G97" s="79" t="s">
        <v>1096</v>
      </c>
      <c r="H97" s="232">
        <v>200</v>
      </c>
      <c r="I97" s="21"/>
      <c r="J97" s="102" t="s">
        <v>50</v>
      </c>
      <c r="K97" s="102" t="s">
        <v>482</v>
      </c>
      <c r="L97" s="102" t="s">
        <v>51</v>
      </c>
      <c r="M97" s="102" t="s">
        <v>22</v>
      </c>
      <c r="N97" s="102" t="s">
        <v>21</v>
      </c>
      <c r="O97" s="125" t="s">
        <v>816</v>
      </c>
      <c r="P97" s="102" t="s">
        <v>23</v>
      </c>
      <c r="Q97" s="102" t="s">
        <v>952</v>
      </c>
      <c r="R97" s="102" t="s">
        <v>51</v>
      </c>
      <c r="S97" s="184"/>
      <c r="T97" s="44" t="s">
        <v>484</v>
      </c>
      <c r="U97" s="34" t="s">
        <v>55</v>
      </c>
      <c r="V97" s="234" t="s">
        <v>2143</v>
      </c>
      <c r="W97" s="34" t="s">
        <v>954</v>
      </c>
      <c r="X97" s="102" t="s">
        <v>486</v>
      </c>
      <c r="Y97" s="128">
        <v>200061812481</v>
      </c>
      <c r="Z97" s="34" t="s">
        <v>955</v>
      </c>
      <c r="AA97" s="222" t="s">
        <v>2123</v>
      </c>
      <c r="AB97" s="34" t="s">
        <v>488</v>
      </c>
      <c r="AC97" s="46" t="s">
        <v>489</v>
      </c>
      <c r="AD97" s="46" t="s">
        <v>490</v>
      </c>
      <c r="AE97" s="34" t="s">
        <v>491</v>
      </c>
      <c r="AF97" s="34" t="s">
        <v>492</v>
      </c>
      <c r="AG97" s="34" t="s">
        <v>493</v>
      </c>
      <c r="AH97" s="34" t="s">
        <v>494</v>
      </c>
      <c r="AI97" s="34" t="s">
        <v>495</v>
      </c>
    </row>
    <row r="98" spans="1:35" ht="172.8" x14ac:dyDescent="0.3">
      <c r="A98" s="131">
        <v>97</v>
      </c>
      <c r="B98" s="79" t="str">
        <f t="shared" si="19"/>
        <v>Y</v>
      </c>
      <c r="C98" s="79" t="s">
        <v>45</v>
      </c>
      <c r="D98" s="166" t="s">
        <v>1109</v>
      </c>
      <c r="E98" s="82" t="s">
        <v>1110</v>
      </c>
      <c r="F98" s="13" t="s">
        <v>1111</v>
      </c>
      <c r="G98" s="79" t="s">
        <v>1096</v>
      </c>
      <c r="H98" s="232">
        <v>200</v>
      </c>
      <c r="I98" s="21"/>
      <c r="J98" s="102" t="s">
        <v>50</v>
      </c>
      <c r="K98" s="102" t="s">
        <v>482</v>
      </c>
      <c r="L98" s="102" t="s">
        <v>51</v>
      </c>
      <c r="M98" s="102" t="s">
        <v>22</v>
      </c>
      <c r="N98" s="102" t="s">
        <v>21</v>
      </c>
      <c r="O98" s="125" t="s">
        <v>816</v>
      </c>
      <c r="P98" s="102" t="s">
        <v>23</v>
      </c>
      <c r="Q98" s="102" t="s">
        <v>952</v>
      </c>
      <c r="R98" s="102" t="s">
        <v>51</v>
      </c>
      <c r="S98" s="184"/>
      <c r="T98" s="44" t="s">
        <v>484</v>
      </c>
      <c r="U98" s="34" t="s">
        <v>55</v>
      </c>
      <c r="V98" s="234" t="s">
        <v>2143</v>
      </c>
      <c r="W98" s="34" t="s">
        <v>954</v>
      </c>
      <c r="X98" s="102" t="s">
        <v>517</v>
      </c>
      <c r="Y98" s="211" t="s">
        <v>1998</v>
      </c>
      <c r="Z98" s="34" t="s">
        <v>955</v>
      </c>
      <c r="AA98" s="222" t="s">
        <v>2123</v>
      </c>
      <c r="AB98" s="34" t="s">
        <v>488</v>
      </c>
      <c r="AC98" s="46" t="s">
        <v>489</v>
      </c>
      <c r="AD98" s="46" t="s">
        <v>490</v>
      </c>
      <c r="AE98" s="34" t="s">
        <v>491</v>
      </c>
      <c r="AF98" s="34" t="s">
        <v>492</v>
      </c>
      <c r="AG98" s="34" t="s">
        <v>493</v>
      </c>
      <c r="AH98" s="34" t="s">
        <v>494</v>
      </c>
      <c r="AI98" s="34" t="s">
        <v>495</v>
      </c>
    </row>
    <row r="99" spans="1:35" ht="201.6" x14ac:dyDescent="0.3">
      <c r="A99" s="131">
        <v>98</v>
      </c>
      <c r="B99" s="79" t="str">
        <f t="shared" si="19"/>
        <v>Y</v>
      </c>
      <c r="C99" s="79" t="s">
        <v>45</v>
      </c>
      <c r="D99" s="166" t="s">
        <v>1112</v>
      </c>
      <c r="E99" s="82" t="s">
        <v>1113</v>
      </c>
      <c r="F99" s="13" t="s">
        <v>1114</v>
      </c>
      <c r="G99" s="79" t="s">
        <v>1001</v>
      </c>
      <c r="H99" s="232">
        <v>200</v>
      </c>
      <c r="I99" s="21"/>
      <c r="J99" s="102" t="s">
        <v>50</v>
      </c>
      <c r="K99" s="102" t="s">
        <v>482</v>
      </c>
      <c r="L99" s="102" t="s">
        <v>51</v>
      </c>
      <c r="M99" s="102" t="s">
        <v>22</v>
      </c>
      <c r="N99" s="102" t="s">
        <v>21</v>
      </c>
      <c r="O99" s="125" t="s">
        <v>816</v>
      </c>
      <c r="P99" s="102" t="s">
        <v>23</v>
      </c>
      <c r="Q99" s="102" t="s">
        <v>952</v>
      </c>
      <c r="R99" s="102" t="s">
        <v>51</v>
      </c>
      <c r="S99" s="184"/>
      <c r="T99" s="44" t="s">
        <v>520</v>
      </c>
      <c r="U99" s="34" t="s">
        <v>55</v>
      </c>
      <c r="V99" s="234" t="s">
        <v>2143</v>
      </c>
      <c r="W99" s="34" t="s">
        <v>954</v>
      </c>
      <c r="X99" s="102" t="s">
        <v>1154</v>
      </c>
      <c r="Y99" s="211" t="s">
        <v>1155</v>
      </c>
      <c r="Z99" s="34" t="s">
        <v>955</v>
      </c>
      <c r="AA99" s="222" t="s">
        <v>2123</v>
      </c>
      <c r="AB99" s="34" t="s">
        <v>488</v>
      </c>
      <c r="AC99" s="46" t="s">
        <v>489</v>
      </c>
      <c r="AD99" s="46" t="s">
        <v>490</v>
      </c>
      <c r="AE99" s="34" t="s">
        <v>491</v>
      </c>
      <c r="AF99" s="34" t="s">
        <v>492</v>
      </c>
      <c r="AG99" s="34" t="s">
        <v>493</v>
      </c>
      <c r="AH99" s="34" t="s">
        <v>494</v>
      </c>
      <c r="AI99" s="34" t="s">
        <v>495</v>
      </c>
    </row>
    <row r="100" spans="1:35" ht="201.6" x14ac:dyDescent="0.3">
      <c r="A100" s="131">
        <v>99</v>
      </c>
      <c r="B100" s="79" t="str">
        <f t="shared" si="19"/>
        <v>Y</v>
      </c>
      <c r="C100" s="79" t="s">
        <v>45</v>
      </c>
      <c r="D100" s="240" t="s">
        <v>1115</v>
      </c>
      <c r="E100" s="82" t="s">
        <v>1116</v>
      </c>
      <c r="F100" s="13" t="s">
        <v>1117</v>
      </c>
      <c r="G100" s="79" t="s">
        <v>1001</v>
      </c>
      <c r="H100" s="232">
        <v>200</v>
      </c>
      <c r="I100" s="21"/>
      <c r="J100" s="102" t="s">
        <v>50</v>
      </c>
      <c r="K100" s="102" t="s">
        <v>482</v>
      </c>
      <c r="L100" s="102" t="s">
        <v>51</v>
      </c>
      <c r="M100" s="102" t="s">
        <v>22</v>
      </c>
      <c r="N100" s="102" t="s">
        <v>21</v>
      </c>
      <c r="O100" s="125" t="s">
        <v>816</v>
      </c>
      <c r="P100" s="102" t="s">
        <v>23</v>
      </c>
      <c r="Q100" s="102" t="s">
        <v>952</v>
      </c>
      <c r="R100" s="102" t="s">
        <v>51</v>
      </c>
      <c r="S100" s="184"/>
      <c r="T100" s="44" t="s">
        <v>171</v>
      </c>
      <c r="U100" s="34" t="s">
        <v>55</v>
      </c>
      <c r="V100" s="234" t="s">
        <v>2143</v>
      </c>
      <c r="W100" s="34" t="s">
        <v>954</v>
      </c>
      <c r="X100" s="102" t="s">
        <v>964</v>
      </c>
      <c r="Y100" s="211" t="s">
        <v>1159</v>
      </c>
      <c r="Z100" s="34" t="s">
        <v>955</v>
      </c>
      <c r="AA100" s="222" t="s">
        <v>2123</v>
      </c>
      <c r="AB100" s="34" t="s">
        <v>488</v>
      </c>
      <c r="AC100" s="46" t="s">
        <v>489</v>
      </c>
      <c r="AD100" s="46" t="s">
        <v>490</v>
      </c>
      <c r="AE100" s="34" t="s">
        <v>491</v>
      </c>
      <c r="AF100" s="34" t="s">
        <v>492</v>
      </c>
      <c r="AG100" s="34" t="s">
        <v>493</v>
      </c>
      <c r="AH100" s="34" t="s">
        <v>494</v>
      </c>
      <c r="AI100" s="34" t="s">
        <v>495</v>
      </c>
    </row>
    <row r="101" spans="1:35" ht="201.6" x14ac:dyDescent="0.3">
      <c r="A101" s="131">
        <v>100</v>
      </c>
      <c r="B101" s="79" t="str">
        <f t="shared" ref="B101:B103" si="20">C101</f>
        <v>Y</v>
      </c>
      <c r="C101" s="79" t="s">
        <v>45</v>
      </c>
      <c r="D101" s="240" t="s">
        <v>1118</v>
      </c>
      <c r="E101" s="82" t="s">
        <v>1119</v>
      </c>
      <c r="F101" s="13" t="s">
        <v>1120</v>
      </c>
      <c r="G101" s="79" t="s">
        <v>1001</v>
      </c>
      <c r="H101" s="232">
        <v>200</v>
      </c>
      <c r="I101" s="21"/>
      <c r="J101" s="102" t="s">
        <v>50</v>
      </c>
      <c r="K101" s="102" t="s">
        <v>482</v>
      </c>
      <c r="L101" s="102" t="s">
        <v>51</v>
      </c>
      <c r="M101" s="102" t="s">
        <v>22</v>
      </c>
      <c r="N101" s="102" t="s">
        <v>21</v>
      </c>
      <c r="O101" s="125" t="s">
        <v>816</v>
      </c>
      <c r="P101" s="102" t="s">
        <v>23</v>
      </c>
      <c r="Q101" s="102" t="s">
        <v>952</v>
      </c>
      <c r="R101" s="102" t="s">
        <v>51</v>
      </c>
      <c r="S101" s="184"/>
      <c r="T101" s="44" t="s">
        <v>484</v>
      </c>
      <c r="U101" s="34" t="s">
        <v>55</v>
      </c>
      <c r="V101" s="234" t="s">
        <v>2144</v>
      </c>
      <c r="W101" s="34" t="s">
        <v>954</v>
      </c>
      <c r="X101" s="102" t="s">
        <v>486</v>
      </c>
      <c r="Y101" s="128">
        <v>200061812481</v>
      </c>
      <c r="Z101" s="34" t="s">
        <v>955</v>
      </c>
      <c r="AA101" s="222" t="s">
        <v>2123</v>
      </c>
      <c r="AB101" s="34" t="s">
        <v>488</v>
      </c>
      <c r="AC101" s="46" t="s">
        <v>489</v>
      </c>
      <c r="AD101" s="46" t="s">
        <v>490</v>
      </c>
      <c r="AE101" s="34" t="s">
        <v>491</v>
      </c>
      <c r="AF101" s="34" t="s">
        <v>492</v>
      </c>
      <c r="AG101" s="34" t="s">
        <v>493</v>
      </c>
      <c r="AH101" s="34" t="s">
        <v>494</v>
      </c>
      <c r="AI101" s="34" t="s">
        <v>495</v>
      </c>
    </row>
    <row r="102" spans="1:35" ht="201.6" x14ac:dyDescent="0.3">
      <c r="A102" s="131">
        <v>101</v>
      </c>
      <c r="B102" s="79" t="str">
        <f t="shared" si="20"/>
        <v>Y</v>
      </c>
      <c r="C102" s="79" t="s">
        <v>45</v>
      </c>
      <c r="D102" s="240" t="s">
        <v>1121</v>
      </c>
      <c r="E102" s="82" t="s">
        <v>1122</v>
      </c>
      <c r="F102" s="13" t="s">
        <v>1123</v>
      </c>
      <c r="G102" s="79" t="s">
        <v>1001</v>
      </c>
      <c r="H102" s="232">
        <v>200</v>
      </c>
      <c r="I102" s="21"/>
      <c r="J102" s="102" t="s">
        <v>50</v>
      </c>
      <c r="K102" s="102" t="s">
        <v>482</v>
      </c>
      <c r="L102" s="102" t="s">
        <v>51</v>
      </c>
      <c r="M102" s="102" t="s">
        <v>22</v>
      </c>
      <c r="N102" s="102" t="s">
        <v>21</v>
      </c>
      <c r="O102" s="125" t="s">
        <v>816</v>
      </c>
      <c r="P102" s="102" t="s">
        <v>23</v>
      </c>
      <c r="Q102" s="102" t="s">
        <v>952</v>
      </c>
      <c r="R102" s="102" t="s">
        <v>51</v>
      </c>
      <c r="S102" s="184"/>
      <c r="T102" s="44" t="s">
        <v>484</v>
      </c>
      <c r="U102" s="34" t="s">
        <v>55</v>
      </c>
      <c r="V102" s="234" t="s">
        <v>2144</v>
      </c>
      <c r="W102" s="34" t="s">
        <v>954</v>
      </c>
      <c r="X102" s="102" t="s">
        <v>517</v>
      </c>
      <c r="Y102" s="211" t="s">
        <v>1998</v>
      </c>
      <c r="Z102" s="34" t="s">
        <v>955</v>
      </c>
      <c r="AA102" s="222" t="s">
        <v>2123</v>
      </c>
      <c r="AB102" s="34" t="s">
        <v>488</v>
      </c>
      <c r="AC102" s="46" t="s">
        <v>489</v>
      </c>
      <c r="AD102" s="46" t="s">
        <v>490</v>
      </c>
      <c r="AE102" s="34" t="s">
        <v>491</v>
      </c>
      <c r="AF102" s="34" t="s">
        <v>492</v>
      </c>
      <c r="AG102" s="34" t="s">
        <v>493</v>
      </c>
      <c r="AH102" s="34" t="s">
        <v>494</v>
      </c>
      <c r="AI102" s="34" t="s">
        <v>495</v>
      </c>
    </row>
    <row r="103" spans="1:35" ht="201.6" x14ac:dyDescent="0.3">
      <c r="A103" s="131">
        <v>102</v>
      </c>
      <c r="B103" s="79" t="str">
        <f t="shared" si="20"/>
        <v>Y</v>
      </c>
      <c r="C103" s="79" t="s">
        <v>45</v>
      </c>
      <c r="D103" s="240" t="s">
        <v>1124</v>
      </c>
      <c r="E103" s="82" t="s">
        <v>1125</v>
      </c>
      <c r="F103" s="13" t="s">
        <v>1126</v>
      </c>
      <c r="G103" s="79" t="s">
        <v>1001</v>
      </c>
      <c r="H103" s="232">
        <v>200</v>
      </c>
      <c r="I103" s="21"/>
      <c r="J103" s="102" t="s">
        <v>50</v>
      </c>
      <c r="K103" s="102" t="s">
        <v>482</v>
      </c>
      <c r="L103" s="102" t="s">
        <v>51</v>
      </c>
      <c r="M103" s="102" t="s">
        <v>22</v>
      </c>
      <c r="N103" s="102" t="s">
        <v>21</v>
      </c>
      <c r="O103" s="125" t="s">
        <v>816</v>
      </c>
      <c r="P103" s="102" t="s">
        <v>23</v>
      </c>
      <c r="Q103" s="102" t="s">
        <v>952</v>
      </c>
      <c r="R103" s="102" t="s">
        <v>51</v>
      </c>
      <c r="S103" s="184"/>
      <c r="T103" s="44" t="s">
        <v>520</v>
      </c>
      <c r="U103" s="34" t="s">
        <v>55</v>
      </c>
      <c r="V103" s="234" t="s">
        <v>2144</v>
      </c>
      <c r="W103" s="34" t="s">
        <v>954</v>
      </c>
      <c r="X103" s="102" t="s">
        <v>1154</v>
      </c>
      <c r="Y103" s="211" t="s">
        <v>1155</v>
      </c>
      <c r="Z103" s="34" t="s">
        <v>955</v>
      </c>
      <c r="AA103" s="222" t="s">
        <v>2123</v>
      </c>
      <c r="AB103" s="34" t="s">
        <v>488</v>
      </c>
      <c r="AC103" s="46" t="s">
        <v>489</v>
      </c>
      <c r="AD103" s="46" t="s">
        <v>490</v>
      </c>
      <c r="AE103" s="34" t="s">
        <v>491</v>
      </c>
      <c r="AF103" s="34" t="s">
        <v>492</v>
      </c>
      <c r="AG103" s="34" t="s">
        <v>493</v>
      </c>
      <c r="AH103" s="34" t="s">
        <v>494</v>
      </c>
      <c r="AI103" s="34" t="s">
        <v>495</v>
      </c>
    </row>
    <row r="104" spans="1:35" ht="201.6" x14ac:dyDescent="0.3">
      <c r="A104" s="131">
        <v>103</v>
      </c>
      <c r="B104" s="79" t="str">
        <f t="shared" ref="B104" si="21">C104</f>
        <v>Y</v>
      </c>
      <c r="C104" s="79" t="s">
        <v>45</v>
      </c>
      <c r="D104" s="240" t="s">
        <v>1127</v>
      </c>
      <c r="E104" s="82" t="s">
        <v>1128</v>
      </c>
      <c r="F104" s="13" t="s">
        <v>1129</v>
      </c>
      <c r="G104" s="79" t="s">
        <v>1001</v>
      </c>
      <c r="H104" s="232">
        <v>200</v>
      </c>
      <c r="I104" s="21"/>
      <c r="J104" s="102" t="s">
        <v>50</v>
      </c>
      <c r="K104" s="102" t="s">
        <v>482</v>
      </c>
      <c r="L104" s="102" t="s">
        <v>51</v>
      </c>
      <c r="M104" s="102" t="s">
        <v>22</v>
      </c>
      <c r="N104" s="102" t="s">
        <v>21</v>
      </c>
      <c r="O104" s="125" t="s">
        <v>816</v>
      </c>
      <c r="P104" s="102" t="s">
        <v>23</v>
      </c>
      <c r="Q104" s="102" t="s">
        <v>952</v>
      </c>
      <c r="R104" s="102" t="s">
        <v>51</v>
      </c>
      <c r="S104" s="184"/>
      <c r="T104" s="44" t="s">
        <v>171</v>
      </c>
      <c r="U104" s="34" t="s">
        <v>55</v>
      </c>
      <c r="V104" s="234" t="s">
        <v>2144</v>
      </c>
      <c r="W104" s="34" t="s">
        <v>954</v>
      </c>
      <c r="X104" s="102" t="s">
        <v>964</v>
      </c>
      <c r="Y104" s="211" t="s">
        <v>1159</v>
      </c>
      <c r="Z104" s="34" t="s">
        <v>955</v>
      </c>
      <c r="AA104" s="222" t="s">
        <v>2123</v>
      </c>
      <c r="AB104" s="34" t="s">
        <v>488</v>
      </c>
      <c r="AC104" s="46" t="s">
        <v>489</v>
      </c>
      <c r="AD104" s="46" t="s">
        <v>490</v>
      </c>
      <c r="AE104" s="34" t="s">
        <v>491</v>
      </c>
      <c r="AF104" s="34" t="s">
        <v>492</v>
      </c>
      <c r="AG104" s="34" t="s">
        <v>493</v>
      </c>
      <c r="AH104" s="34" t="s">
        <v>494</v>
      </c>
      <c r="AI104" s="34" t="s">
        <v>495</v>
      </c>
    </row>
    <row r="105" spans="1:35" ht="201.6" x14ac:dyDescent="0.3">
      <c r="A105" s="131">
        <v>104</v>
      </c>
      <c r="B105" s="79" t="str">
        <f t="shared" ref="B105:B110" si="22">C105</f>
        <v>Y</v>
      </c>
      <c r="C105" s="79" t="s">
        <v>45</v>
      </c>
      <c r="D105" s="240" t="s">
        <v>2145</v>
      </c>
      <c r="E105" s="82" t="s">
        <v>2151</v>
      </c>
      <c r="F105" s="13" t="s">
        <v>1130</v>
      </c>
      <c r="G105" s="79" t="s">
        <v>1001</v>
      </c>
      <c r="H105" s="232">
        <v>200</v>
      </c>
      <c r="I105" s="21"/>
      <c r="J105" s="102" t="s">
        <v>50</v>
      </c>
      <c r="K105" s="102" t="s">
        <v>482</v>
      </c>
      <c r="L105" s="102" t="s">
        <v>51</v>
      </c>
      <c r="M105" s="102" t="s">
        <v>22</v>
      </c>
      <c r="N105" s="102" t="s">
        <v>21</v>
      </c>
      <c r="O105" s="125" t="s">
        <v>816</v>
      </c>
      <c r="P105" s="102" t="s">
        <v>23</v>
      </c>
      <c r="Q105" s="102" t="s">
        <v>952</v>
      </c>
      <c r="R105" s="102" t="s">
        <v>51</v>
      </c>
      <c r="S105" s="184"/>
      <c r="T105" s="44" t="s">
        <v>484</v>
      </c>
      <c r="U105" s="34" t="s">
        <v>55</v>
      </c>
      <c r="V105" s="239" t="s">
        <v>953</v>
      </c>
      <c r="W105" s="34" t="s">
        <v>954</v>
      </c>
      <c r="X105" s="102" t="s">
        <v>486</v>
      </c>
      <c r="Y105" s="235" t="s">
        <v>2142</v>
      </c>
      <c r="Z105" s="34" t="s">
        <v>955</v>
      </c>
      <c r="AA105" s="222" t="s">
        <v>2123</v>
      </c>
      <c r="AB105" s="34" t="s">
        <v>488</v>
      </c>
      <c r="AC105" s="46" t="s">
        <v>489</v>
      </c>
      <c r="AD105" s="46" t="s">
        <v>490</v>
      </c>
      <c r="AE105" s="34" t="s">
        <v>491</v>
      </c>
      <c r="AF105" s="34" t="s">
        <v>492</v>
      </c>
      <c r="AG105" s="34" t="s">
        <v>493</v>
      </c>
      <c r="AH105" s="34" t="s">
        <v>494</v>
      </c>
      <c r="AI105" s="34" t="s">
        <v>495</v>
      </c>
    </row>
    <row r="106" spans="1:35" ht="201.6" x14ac:dyDescent="0.3">
      <c r="A106" s="131">
        <v>105</v>
      </c>
      <c r="B106" s="79" t="str">
        <f t="shared" si="22"/>
        <v>Y</v>
      </c>
      <c r="C106" s="79" t="s">
        <v>45</v>
      </c>
      <c r="D106" s="240" t="s">
        <v>2146</v>
      </c>
      <c r="E106" s="82" t="s">
        <v>2152</v>
      </c>
      <c r="F106" s="13" t="s">
        <v>1130</v>
      </c>
      <c r="G106" s="79" t="s">
        <v>1001</v>
      </c>
      <c r="H106" s="232">
        <v>200</v>
      </c>
      <c r="I106" s="21"/>
      <c r="J106" s="102" t="s">
        <v>50</v>
      </c>
      <c r="K106" s="102" t="s">
        <v>482</v>
      </c>
      <c r="L106" s="102" t="s">
        <v>51</v>
      </c>
      <c r="M106" s="102" t="s">
        <v>22</v>
      </c>
      <c r="N106" s="102" t="s">
        <v>21</v>
      </c>
      <c r="O106" s="125" t="s">
        <v>816</v>
      </c>
      <c r="P106" s="102" t="s">
        <v>23</v>
      </c>
      <c r="Q106" s="102" t="s">
        <v>952</v>
      </c>
      <c r="R106" s="102" t="s">
        <v>51</v>
      </c>
      <c r="S106" s="184"/>
      <c r="T106" s="44" t="s">
        <v>484</v>
      </c>
      <c r="U106" s="34" t="s">
        <v>55</v>
      </c>
      <c r="V106" s="239" t="s">
        <v>953</v>
      </c>
      <c r="W106" s="34" t="s">
        <v>954</v>
      </c>
      <c r="X106" s="102" t="s">
        <v>517</v>
      </c>
      <c r="Y106" s="235" t="s">
        <v>2157</v>
      </c>
      <c r="Z106" s="34" t="s">
        <v>955</v>
      </c>
      <c r="AA106" s="222" t="s">
        <v>2123</v>
      </c>
      <c r="AB106" s="34" t="s">
        <v>488</v>
      </c>
      <c r="AC106" s="46" t="s">
        <v>489</v>
      </c>
      <c r="AD106" s="46" t="s">
        <v>490</v>
      </c>
      <c r="AE106" s="34" t="s">
        <v>491</v>
      </c>
      <c r="AF106" s="34" t="s">
        <v>492</v>
      </c>
      <c r="AG106" s="34" t="s">
        <v>493</v>
      </c>
      <c r="AH106" s="34" t="s">
        <v>494</v>
      </c>
      <c r="AI106" s="34" t="s">
        <v>495</v>
      </c>
    </row>
    <row r="107" spans="1:35" ht="201.6" x14ac:dyDescent="0.3">
      <c r="A107" s="131">
        <v>106</v>
      </c>
      <c r="B107" s="79" t="str">
        <f t="shared" si="22"/>
        <v>Y</v>
      </c>
      <c r="C107" s="79" t="s">
        <v>45</v>
      </c>
      <c r="D107" s="240" t="s">
        <v>2147</v>
      </c>
      <c r="E107" s="82" t="s">
        <v>2153</v>
      </c>
      <c r="F107" s="13" t="s">
        <v>1131</v>
      </c>
      <c r="G107" s="79" t="s">
        <v>1001</v>
      </c>
      <c r="H107" s="232">
        <v>200</v>
      </c>
      <c r="I107" s="21"/>
      <c r="J107" s="102" t="s">
        <v>50</v>
      </c>
      <c r="K107" s="102" t="s">
        <v>482</v>
      </c>
      <c r="L107" s="102" t="s">
        <v>51</v>
      </c>
      <c r="M107" s="102" t="s">
        <v>22</v>
      </c>
      <c r="N107" s="102" t="s">
        <v>21</v>
      </c>
      <c r="O107" s="125" t="s">
        <v>816</v>
      </c>
      <c r="P107" s="102" t="s">
        <v>23</v>
      </c>
      <c r="Q107" s="102" t="s">
        <v>952</v>
      </c>
      <c r="R107" s="102" t="s">
        <v>51</v>
      </c>
      <c r="S107" s="184"/>
      <c r="T107" s="44" t="s">
        <v>484</v>
      </c>
      <c r="U107" s="34" t="s">
        <v>55</v>
      </c>
      <c r="V107" s="239" t="s">
        <v>953</v>
      </c>
      <c r="W107" s="34" t="s">
        <v>954</v>
      </c>
      <c r="X107" s="102" t="s">
        <v>486</v>
      </c>
      <c r="Y107" s="235" t="s">
        <v>2143</v>
      </c>
      <c r="Z107" s="34" t="s">
        <v>955</v>
      </c>
      <c r="AA107" s="222" t="s">
        <v>2123</v>
      </c>
      <c r="AB107" s="34" t="s">
        <v>488</v>
      </c>
      <c r="AC107" s="46" t="s">
        <v>489</v>
      </c>
      <c r="AD107" s="46" t="s">
        <v>490</v>
      </c>
      <c r="AE107" s="34" t="s">
        <v>491</v>
      </c>
      <c r="AF107" s="34" t="s">
        <v>492</v>
      </c>
      <c r="AG107" s="34" t="s">
        <v>493</v>
      </c>
      <c r="AH107" s="34" t="s">
        <v>494</v>
      </c>
      <c r="AI107" s="34" t="s">
        <v>495</v>
      </c>
    </row>
    <row r="108" spans="1:35" ht="201.6" x14ac:dyDescent="0.3">
      <c r="A108" s="131">
        <v>107</v>
      </c>
      <c r="B108" s="79" t="str">
        <f t="shared" si="22"/>
        <v>Y</v>
      </c>
      <c r="C108" s="79" t="s">
        <v>45</v>
      </c>
      <c r="D108" s="240" t="s">
        <v>2148</v>
      </c>
      <c r="E108" s="82" t="s">
        <v>2154</v>
      </c>
      <c r="F108" s="13" t="s">
        <v>1131</v>
      </c>
      <c r="G108" s="79" t="s">
        <v>1001</v>
      </c>
      <c r="H108" s="232">
        <v>200</v>
      </c>
      <c r="I108" s="21"/>
      <c r="J108" s="102" t="s">
        <v>50</v>
      </c>
      <c r="K108" s="102" t="s">
        <v>482</v>
      </c>
      <c r="L108" s="102" t="s">
        <v>51</v>
      </c>
      <c r="M108" s="102" t="s">
        <v>22</v>
      </c>
      <c r="N108" s="102" t="s">
        <v>21</v>
      </c>
      <c r="O108" s="125" t="s">
        <v>816</v>
      </c>
      <c r="P108" s="102" t="s">
        <v>23</v>
      </c>
      <c r="Q108" s="102" t="s">
        <v>952</v>
      </c>
      <c r="R108" s="102" t="s">
        <v>51</v>
      </c>
      <c r="S108" s="184"/>
      <c r="T108" s="44" t="s">
        <v>484</v>
      </c>
      <c r="U108" s="34" t="s">
        <v>55</v>
      </c>
      <c r="V108" s="239" t="s">
        <v>953</v>
      </c>
      <c r="W108" s="34" t="s">
        <v>954</v>
      </c>
      <c r="X108" s="102" t="s">
        <v>517</v>
      </c>
      <c r="Y108" s="235" t="s">
        <v>2158</v>
      </c>
      <c r="Z108" s="34" t="s">
        <v>955</v>
      </c>
      <c r="AA108" s="222" t="s">
        <v>2123</v>
      </c>
      <c r="AB108" s="34" t="s">
        <v>488</v>
      </c>
      <c r="AC108" s="46" t="s">
        <v>489</v>
      </c>
      <c r="AD108" s="46" t="s">
        <v>490</v>
      </c>
      <c r="AE108" s="34" t="s">
        <v>491</v>
      </c>
      <c r="AF108" s="34" t="s">
        <v>492</v>
      </c>
      <c r="AG108" s="34" t="s">
        <v>493</v>
      </c>
      <c r="AH108" s="34" t="s">
        <v>494</v>
      </c>
      <c r="AI108" s="34" t="s">
        <v>495</v>
      </c>
    </row>
    <row r="109" spans="1:35" ht="201.6" x14ac:dyDescent="0.3">
      <c r="A109" s="131">
        <v>108</v>
      </c>
      <c r="B109" s="79" t="str">
        <f t="shared" si="22"/>
        <v>Y</v>
      </c>
      <c r="C109" s="79" t="s">
        <v>45</v>
      </c>
      <c r="D109" s="240" t="s">
        <v>2149</v>
      </c>
      <c r="E109" s="82" t="s">
        <v>2155</v>
      </c>
      <c r="F109" s="13" t="s">
        <v>1132</v>
      </c>
      <c r="G109" s="79" t="s">
        <v>1001</v>
      </c>
      <c r="H109" s="232">
        <v>200</v>
      </c>
      <c r="I109" s="21"/>
      <c r="J109" s="102" t="s">
        <v>50</v>
      </c>
      <c r="K109" s="102" t="s">
        <v>482</v>
      </c>
      <c r="L109" s="102" t="s">
        <v>51</v>
      </c>
      <c r="M109" s="102" t="s">
        <v>22</v>
      </c>
      <c r="N109" s="102" t="s">
        <v>21</v>
      </c>
      <c r="O109" s="125" t="s">
        <v>816</v>
      </c>
      <c r="P109" s="102" t="s">
        <v>23</v>
      </c>
      <c r="Q109" s="102" t="s">
        <v>952</v>
      </c>
      <c r="R109" s="102" t="s">
        <v>51</v>
      </c>
      <c r="S109" s="184"/>
      <c r="T109" s="44" t="s">
        <v>484</v>
      </c>
      <c r="U109" s="34" t="s">
        <v>55</v>
      </c>
      <c r="V109" s="239" t="s">
        <v>953</v>
      </c>
      <c r="W109" s="34" t="s">
        <v>954</v>
      </c>
      <c r="X109" s="102" t="s">
        <v>486</v>
      </c>
      <c r="Y109" s="235" t="s">
        <v>2144</v>
      </c>
      <c r="Z109" s="34" t="s">
        <v>955</v>
      </c>
      <c r="AA109" s="222" t="s">
        <v>2123</v>
      </c>
      <c r="AB109" s="34" t="s">
        <v>488</v>
      </c>
      <c r="AC109" s="46" t="s">
        <v>489</v>
      </c>
      <c r="AD109" s="46" t="s">
        <v>490</v>
      </c>
      <c r="AE109" s="34" t="s">
        <v>491</v>
      </c>
      <c r="AF109" s="34" t="s">
        <v>492</v>
      </c>
      <c r="AG109" s="34" t="s">
        <v>493</v>
      </c>
      <c r="AH109" s="34" t="s">
        <v>494</v>
      </c>
      <c r="AI109" s="34" t="s">
        <v>495</v>
      </c>
    </row>
    <row r="110" spans="1:35" ht="201.6" x14ac:dyDescent="0.3">
      <c r="A110" s="131">
        <v>109</v>
      </c>
      <c r="B110" s="79" t="str">
        <f t="shared" si="22"/>
        <v>Y</v>
      </c>
      <c r="C110" s="79" t="s">
        <v>45</v>
      </c>
      <c r="D110" s="240" t="s">
        <v>2150</v>
      </c>
      <c r="E110" s="82" t="s">
        <v>2156</v>
      </c>
      <c r="F110" s="13" t="s">
        <v>1132</v>
      </c>
      <c r="G110" s="79" t="s">
        <v>1001</v>
      </c>
      <c r="H110" s="232">
        <v>200</v>
      </c>
      <c r="I110" s="21"/>
      <c r="J110" s="102" t="s">
        <v>50</v>
      </c>
      <c r="K110" s="102" t="s">
        <v>482</v>
      </c>
      <c r="L110" s="102" t="s">
        <v>51</v>
      </c>
      <c r="M110" s="102" t="s">
        <v>22</v>
      </c>
      <c r="N110" s="102" t="s">
        <v>21</v>
      </c>
      <c r="O110" s="125" t="s">
        <v>816</v>
      </c>
      <c r="P110" s="102" t="s">
        <v>23</v>
      </c>
      <c r="Q110" s="102" t="s">
        <v>952</v>
      </c>
      <c r="R110" s="102" t="s">
        <v>51</v>
      </c>
      <c r="S110" s="184"/>
      <c r="T110" s="44" t="s">
        <v>484</v>
      </c>
      <c r="U110" s="34" t="s">
        <v>55</v>
      </c>
      <c r="V110" s="239" t="s">
        <v>953</v>
      </c>
      <c r="W110" s="34" t="s">
        <v>954</v>
      </c>
      <c r="X110" s="102" t="s">
        <v>517</v>
      </c>
      <c r="Y110" s="235" t="s">
        <v>2159</v>
      </c>
      <c r="Z110" s="34" t="s">
        <v>955</v>
      </c>
      <c r="AA110" s="222" t="s">
        <v>2123</v>
      </c>
      <c r="AB110" s="34" t="s">
        <v>488</v>
      </c>
      <c r="AC110" s="46" t="s">
        <v>489</v>
      </c>
      <c r="AD110" s="46" t="s">
        <v>490</v>
      </c>
      <c r="AE110" s="34" t="s">
        <v>491</v>
      </c>
      <c r="AF110" s="34" t="s">
        <v>492</v>
      </c>
      <c r="AG110" s="34" t="s">
        <v>493</v>
      </c>
      <c r="AH110" s="34" t="s">
        <v>494</v>
      </c>
      <c r="AI110" s="34" t="s">
        <v>495</v>
      </c>
    </row>
    <row r="111" spans="1:35" ht="57.6" x14ac:dyDescent="0.3">
      <c r="A111" s="131">
        <v>110</v>
      </c>
      <c r="B111" s="79" t="str">
        <f t="shared" ref="B111:B114" si="23">C111</f>
        <v>Y</v>
      </c>
      <c r="C111" s="79" t="s">
        <v>45</v>
      </c>
      <c r="D111" s="166" t="s">
        <v>1133</v>
      </c>
      <c r="E111" s="82" t="s">
        <v>1134</v>
      </c>
      <c r="F111" s="13" t="s">
        <v>1135</v>
      </c>
      <c r="G111" s="79" t="s">
        <v>564</v>
      </c>
      <c r="H111" s="168">
        <v>403</v>
      </c>
      <c r="I111" s="131" t="s">
        <v>1974</v>
      </c>
      <c r="J111" s="102" t="s">
        <v>50</v>
      </c>
      <c r="K111" s="102" t="s">
        <v>482</v>
      </c>
      <c r="L111" s="102" t="s">
        <v>51</v>
      </c>
      <c r="M111" s="102" t="s">
        <v>22</v>
      </c>
      <c r="N111" s="102" t="s">
        <v>21</v>
      </c>
      <c r="O111" s="125" t="s">
        <v>816</v>
      </c>
      <c r="P111" s="102" t="s">
        <v>23</v>
      </c>
      <c r="Q111" s="102" t="s">
        <v>952</v>
      </c>
      <c r="R111" s="102" t="s">
        <v>51</v>
      </c>
      <c r="S111" s="223" t="s">
        <v>2276</v>
      </c>
      <c r="T111" s="44" t="s">
        <v>484</v>
      </c>
      <c r="U111" s="34" t="s">
        <v>55</v>
      </c>
      <c r="V111" s="34" t="s">
        <v>953</v>
      </c>
      <c r="W111" s="34" t="s">
        <v>954</v>
      </c>
      <c r="X111" s="102" t="s">
        <v>486</v>
      </c>
      <c r="Y111" s="128">
        <v>200061812481</v>
      </c>
      <c r="Z111" s="34" t="s">
        <v>955</v>
      </c>
      <c r="AA111" s="212" t="s">
        <v>2007</v>
      </c>
      <c r="AB111" s="34" t="s">
        <v>488</v>
      </c>
      <c r="AC111" s="46" t="s">
        <v>489</v>
      </c>
      <c r="AD111" s="46" t="s">
        <v>490</v>
      </c>
      <c r="AE111" s="34" t="s">
        <v>491</v>
      </c>
      <c r="AF111" s="34" t="s">
        <v>492</v>
      </c>
      <c r="AG111" s="34" t="s">
        <v>493</v>
      </c>
      <c r="AH111" s="34" t="s">
        <v>494</v>
      </c>
      <c r="AI111" s="34" t="s">
        <v>495</v>
      </c>
    </row>
    <row r="112" spans="1:35" ht="57.6" x14ac:dyDescent="0.3">
      <c r="A112" s="131">
        <v>111</v>
      </c>
      <c r="B112" s="79" t="str">
        <f t="shared" si="23"/>
        <v>Y</v>
      </c>
      <c r="C112" s="79" t="s">
        <v>45</v>
      </c>
      <c r="D112" s="166" t="s">
        <v>1136</v>
      </c>
      <c r="E112" s="82" t="s">
        <v>1137</v>
      </c>
      <c r="F112" s="13" t="s">
        <v>626</v>
      </c>
      <c r="G112" s="79" t="s">
        <v>564</v>
      </c>
      <c r="H112" s="168">
        <v>403</v>
      </c>
      <c r="I112" s="131" t="s">
        <v>1974</v>
      </c>
      <c r="J112" s="102" t="s">
        <v>50</v>
      </c>
      <c r="K112" s="102" t="s">
        <v>482</v>
      </c>
      <c r="L112" s="102" t="s">
        <v>51</v>
      </c>
      <c r="M112" s="102" t="s">
        <v>22</v>
      </c>
      <c r="N112" s="102" t="s">
        <v>21</v>
      </c>
      <c r="O112" s="125" t="s">
        <v>816</v>
      </c>
      <c r="P112" s="102" t="s">
        <v>23</v>
      </c>
      <c r="Q112" s="102" t="s">
        <v>952</v>
      </c>
      <c r="R112" s="102" t="s">
        <v>51</v>
      </c>
      <c r="S112" s="223" t="s">
        <v>2276</v>
      </c>
      <c r="T112" s="44" t="s">
        <v>484</v>
      </c>
      <c r="U112" s="34" t="s">
        <v>55</v>
      </c>
      <c r="V112" s="34" t="s">
        <v>953</v>
      </c>
      <c r="W112" s="34" t="s">
        <v>954</v>
      </c>
      <c r="X112" s="102" t="s">
        <v>517</v>
      </c>
      <c r="Y112" s="211" t="s">
        <v>1998</v>
      </c>
      <c r="Z112" s="34" t="s">
        <v>955</v>
      </c>
      <c r="AA112" s="212" t="s">
        <v>2008</v>
      </c>
      <c r="AB112" s="34" t="s">
        <v>488</v>
      </c>
      <c r="AC112" s="46" t="s">
        <v>489</v>
      </c>
      <c r="AD112" s="46" t="s">
        <v>490</v>
      </c>
      <c r="AE112" s="34" t="s">
        <v>491</v>
      </c>
      <c r="AF112" s="34" t="s">
        <v>492</v>
      </c>
      <c r="AG112" s="34" t="s">
        <v>493</v>
      </c>
      <c r="AH112" s="34" t="s">
        <v>494</v>
      </c>
      <c r="AI112" s="34" t="s">
        <v>495</v>
      </c>
    </row>
    <row r="113" spans="1:35" ht="57.6" x14ac:dyDescent="0.3">
      <c r="A113" s="131">
        <v>112</v>
      </c>
      <c r="B113" s="79" t="str">
        <f t="shared" si="23"/>
        <v>Y</v>
      </c>
      <c r="C113" s="79" t="s">
        <v>45</v>
      </c>
      <c r="D113" s="166" t="s">
        <v>1138</v>
      </c>
      <c r="E113" s="82" t="s">
        <v>1139</v>
      </c>
      <c r="F113" s="13" t="s">
        <v>629</v>
      </c>
      <c r="G113" s="79" t="s">
        <v>1140</v>
      </c>
      <c r="H113" s="168">
        <v>403</v>
      </c>
      <c r="I113" s="131" t="s">
        <v>1974</v>
      </c>
      <c r="J113" s="102" t="s">
        <v>50</v>
      </c>
      <c r="K113" s="102" t="s">
        <v>482</v>
      </c>
      <c r="L113" s="102" t="s">
        <v>51</v>
      </c>
      <c r="M113" s="102" t="s">
        <v>22</v>
      </c>
      <c r="N113" s="102" t="s">
        <v>21</v>
      </c>
      <c r="O113" s="125" t="s">
        <v>816</v>
      </c>
      <c r="P113" s="102" t="s">
        <v>23</v>
      </c>
      <c r="Q113" s="102" t="s">
        <v>952</v>
      </c>
      <c r="R113" s="102" t="s">
        <v>51</v>
      </c>
      <c r="S113" s="223" t="s">
        <v>2276</v>
      </c>
      <c r="T113" s="44" t="s">
        <v>520</v>
      </c>
      <c r="U113" s="34" t="s">
        <v>55</v>
      </c>
      <c r="V113" s="34" t="s">
        <v>953</v>
      </c>
      <c r="W113" s="34" t="s">
        <v>954</v>
      </c>
      <c r="X113" s="102" t="s">
        <v>1154</v>
      </c>
      <c r="Y113" s="211" t="s">
        <v>1155</v>
      </c>
      <c r="Z113" s="34" t="s">
        <v>955</v>
      </c>
      <c r="AA113" s="212" t="s">
        <v>2009</v>
      </c>
      <c r="AB113" s="34" t="s">
        <v>488</v>
      </c>
      <c r="AC113" s="46" t="s">
        <v>489</v>
      </c>
      <c r="AD113" s="46" t="s">
        <v>490</v>
      </c>
      <c r="AE113" s="34" t="s">
        <v>491</v>
      </c>
      <c r="AF113" s="34" t="s">
        <v>492</v>
      </c>
      <c r="AG113" s="34" t="s">
        <v>493</v>
      </c>
      <c r="AH113" s="34" t="s">
        <v>494</v>
      </c>
      <c r="AI113" s="34" t="s">
        <v>495</v>
      </c>
    </row>
    <row r="114" spans="1:35" ht="57.6" x14ac:dyDescent="0.3">
      <c r="A114" s="131">
        <v>113</v>
      </c>
      <c r="B114" s="79" t="str">
        <f t="shared" si="23"/>
        <v>Y</v>
      </c>
      <c r="C114" s="79" t="s">
        <v>45</v>
      </c>
      <c r="D114" s="166" t="s">
        <v>1141</v>
      </c>
      <c r="E114" s="82" t="s">
        <v>1142</v>
      </c>
      <c r="F114" s="13" t="s">
        <v>632</v>
      </c>
      <c r="G114" s="79" t="s">
        <v>1143</v>
      </c>
      <c r="H114" s="168">
        <v>403</v>
      </c>
      <c r="I114" s="131" t="s">
        <v>1974</v>
      </c>
      <c r="J114" s="102" t="s">
        <v>50</v>
      </c>
      <c r="K114" s="102" t="s">
        <v>482</v>
      </c>
      <c r="L114" s="102" t="s">
        <v>51</v>
      </c>
      <c r="M114" s="102" t="s">
        <v>22</v>
      </c>
      <c r="N114" s="102" t="s">
        <v>21</v>
      </c>
      <c r="O114" s="125" t="s">
        <v>816</v>
      </c>
      <c r="P114" s="102" t="s">
        <v>23</v>
      </c>
      <c r="Q114" s="102" t="s">
        <v>952</v>
      </c>
      <c r="R114" s="102" t="s">
        <v>51</v>
      </c>
      <c r="S114" s="223" t="s">
        <v>2276</v>
      </c>
      <c r="T114" s="44" t="s">
        <v>171</v>
      </c>
      <c r="U114" s="34" t="s">
        <v>55</v>
      </c>
      <c r="V114" s="34" t="s">
        <v>953</v>
      </c>
      <c r="W114" s="34" t="s">
        <v>954</v>
      </c>
      <c r="X114" s="102" t="s">
        <v>964</v>
      </c>
      <c r="Y114" s="211" t="s">
        <v>1159</v>
      </c>
      <c r="Z114" s="34" t="s">
        <v>955</v>
      </c>
      <c r="AA114" s="212" t="s">
        <v>2010</v>
      </c>
      <c r="AB114" s="34" t="s">
        <v>488</v>
      </c>
      <c r="AC114" s="46" t="s">
        <v>489</v>
      </c>
      <c r="AD114" s="46" t="s">
        <v>490</v>
      </c>
      <c r="AE114" s="34" t="s">
        <v>491</v>
      </c>
      <c r="AF114" s="34" t="s">
        <v>492</v>
      </c>
      <c r="AG114" s="34" t="s">
        <v>493</v>
      </c>
      <c r="AH114" s="34" t="s">
        <v>494</v>
      </c>
      <c r="AI114" s="34" t="s">
        <v>495</v>
      </c>
    </row>
    <row r="115" spans="1:35" ht="201.6" x14ac:dyDescent="0.3">
      <c r="A115" s="131">
        <v>114</v>
      </c>
      <c r="B115" s="79" t="str">
        <f t="shared" ref="B115:B118" si="24">C115</f>
        <v>Y</v>
      </c>
      <c r="C115" s="79" t="s">
        <v>45</v>
      </c>
      <c r="D115" s="124" t="s">
        <v>1144</v>
      </c>
      <c r="E115" s="82" t="s">
        <v>1145</v>
      </c>
      <c r="F115" s="13" t="s">
        <v>1146</v>
      </c>
      <c r="G115" s="79" t="s">
        <v>1001</v>
      </c>
      <c r="H115" s="168">
        <v>200</v>
      </c>
      <c r="I115" s="21"/>
      <c r="J115" s="102" t="s">
        <v>50</v>
      </c>
      <c r="K115" s="102" t="s">
        <v>482</v>
      </c>
      <c r="L115" s="102" t="s">
        <v>51</v>
      </c>
      <c r="M115" s="102" t="s">
        <v>22</v>
      </c>
      <c r="N115" s="102" t="s">
        <v>21</v>
      </c>
      <c r="O115" s="125" t="s">
        <v>816</v>
      </c>
      <c r="P115" s="102" t="s">
        <v>23</v>
      </c>
      <c r="Q115" s="102" t="s">
        <v>952</v>
      </c>
      <c r="R115" s="102" t="s">
        <v>51</v>
      </c>
      <c r="S115" s="223"/>
      <c r="T115" s="44" t="s">
        <v>484</v>
      </c>
      <c r="U115" s="34" t="s">
        <v>55</v>
      </c>
      <c r="V115" s="220" t="s">
        <v>1147</v>
      </c>
      <c r="W115" s="34" t="s">
        <v>954</v>
      </c>
      <c r="X115" s="102" t="s">
        <v>486</v>
      </c>
      <c r="Y115" s="128">
        <v>200061812481</v>
      </c>
      <c r="Z115" s="34" t="s">
        <v>955</v>
      </c>
      <c r="AA115" s="212" t="s">
        <v>2007</v>
      </c>
      <c r="AB115" s="34" t="s">
        <v>488</v>
      </c>
      <c r="AC115" s="46" t="s">
        <v>489</v>
      </c>
      <c r="AD115" s="46" t="s">
        <v>490</v>
      </c>
      <c r="AE115" s="34" t="s">
        <v>491</v>
      </c>
      <c r="AF115" s="34" t="s">
        <v>492</v>
      </c>
      <c r="AG115" s="34" t="s">
        <v>493</v>
      </c>
      <c r="AH115" s="34" t="s">
        <v>494</v>
      </c>
      <c r="AI115" s="34" t="s">
        <v>495</v>
      </c>
    </row>
    <row r="116" spans="1:35" ht="201.6" x14ac:dyDescent="0.3">
      <c r="A116" s="131">
        <v>115</v>
      </c>
      <c r="B116" s="79" t="str">
        <f t="shared" si="24"/>
        <v>Y</v>
      </c>
      <c r="C116" s="79" t="s">
        <v>45</v>
      </c>
      <c r="D116" s="124" t="s">
        <v>1148</v>
      </c>
      <c r="E116" s="82" t="s">
        <v>1149</v>
      </c>
      <c r="F116" s="13" t="s">
        <v>1150</v>
      </c>
      <c r="G116" s="79" t="s">
        <v>1001</v>
      </c>
      <c r="H116" s="168">
        <v>200</v>
      </c>
      <c r="I116" s="21"/>
      <c r="J116" s="102" t="s">
        <v>50</v>
      </c>
      <c r="K116" s="102" t="s">
        <v>482</v>
      </c>
      <c r="L116" s="102" t="s">
        <v>51</v>
      </c>
      <c r="M116" s="102" t="s">
        <v>22</v>
      </c>
      <c r="N116" s="102" t="s">
        <v>21</v>
      </c>
      <c r="O116" s="125" t="s">
        <v>816</v>
      </c>
      <c r="P116" s="102" t="s">
        <v>23</v>
      </c>
      <c r="Q116" s="102" t="s">
        <v>952</v>
      </c>
      <c r="R116" s="102" t="s">
        <v>51</v>
      </c>
      <c r="S116" s="223"/>
      <c r="T116" s="44" t="s">
        <v>484</v>
      </c>
      <c r="U116" s="34" t="s">
        <v>55</v>
      </c>
      <c r="V116" s="220" t="s">
        <v>1147</v>
      </c>
      <c r="W116" s="34" t="s">
        <v>954</v>
      </c>
      <c r="X116" s="102" t="s">
        <v>517</v>
      </c>
      <c r="Y116" s="211" t="s">
        <v>1998</v>
      </c>
      <c r="Z116" s="34" t="s">
        <v>955</v>
      </c>
      <c r="AA116" s="212" t="s">
        <v>2008</v>
      </c>
      <c r="AB116" s="34" t="s">
        <v>488</v>
      </c>
      <c r="AC116" s="46" t="s">
        <v>489</v>
      </c>
      <c r="AD116" s="46" t="s">
        <v>490</v>
      </c>
      <c r="AE116" s="34" t="s">
        <v>491</v>
      </c>
      <c r="AF116" s="34" t="s">
        <v>492</v>
      </c>
      <c r="AG116" s="34" t="s">
        <v>493</v>
      </c>
      <c r="AH116" s="34" t="s">
        <v>494</v>
      </c>
      <c r="AI116" s="34" t="s">
        <v>495</v>
      </c>
    </row>
    <row r="117" spans="1:35" ht="201.6" x14ac:dyDescent="0.3">
      <c r="A117" s="131">
        <v>116</v>
      </c>
      <c r="B117" s="79" t="str">
        <f t="shared" si="24"/>
        <v>Y</v>
      </c>
      <c r="C117" s="79" t="s">
        <v>45</v>
      </c>
      <c r="D117" s="124" t="s">
        <v>1151</v>
      </c>
      <c r="E117" s="82" t="s">
        <v>1152</v>
      </c>
      <c r="F117" s="13" t="s">
        <v>1153</v>
      </c>
      <c r="G117" s="79" t="s">
        <v>1001</v>
      </c>
      <c r="H117" s="168">
        <v>200</v>
      </c>
      <c r="I117" s="21"/>
      <c r="J117" s="102" t="s">
        <v>50</v>
      </c>
      <c r="K117" s="102" t="s">
        <v>482</v>
      </c>
      <c r="L117" s="102" t="s">
        <v>51</v>
      </c>
      <c r="M117" s="102" t="s">
        <v>22</v>
      </c>
      <c r="N117" s="102" t="s">
        <v>21</v>
      </c>
      <c r="O117" s="125" t="s">
        <v>816</v>
      </c>
      <c r="P117" s="102" t="s">
        <v>23</v>
      </c>
      <c r="Q117" s="102" t="s">
        <v>952</v>
      </c>
      <c r="R117" s="102" t="s">
        <v>51</v>
      </c>
      <c r="S117" s="223"/>
      <c r="T117" s="44" t="s">
        <v>520</v>
      </c>
      <c r="U117" s="34" t="s">
        <v>55</v>
      </c>
      <c r="V117" s="220" t="s">
        <v>1147</v>
      </c>
      <c r="W117" s="34" t="s">
        <v>954</v>
      </c>
      <c r="X117" s="102" t="s">
        <v>1154</v>
      </c>
      <c r="Y117" s="211" t="s">
        <v>1155</v>
      </c>
      <c r="Z117" s="34" t="s">
        <v>955</v>
      </c>
      <c r="AA117" s="212" t="s">
        <v>2009</v>
      </c>
      <c r="AB117" s="34" t="s">
        <v>488</v>
      </c>
      <c r="AC117" s="46" t="s">
        <v>489</v>
      </c>
      <c r="AD117" s="46" t="s">
        <v>490</v>
      </c>
      <c r="AE117" s="34" t="s">
        <v>491</v>
      </c>
      <c r="AF117" s="34" t="s">
        <v>492</v>
      </c>
      <c r="AG117" s="34" t="s">
        <v>493</v>
      </c>
      <c r="AH117" s="34" t="s">
        <v>494</v>
      </c>
      <c r="AI117" s="34" t="s">
        <v>495</v>
      </c>
    </row>
    <row r="118" spans="1:35" ht="201.6" x14ac:dyDescent="0.3">
      <c r="A118" s="131">
        <v>117</v>
      </c>
      <c r="B118" s="79" t="str">
        <f t="shared" si="24"/>
        <v>Y</v>
      </c>
      <c r="C118" s="79" t="s">
        <v>45</v>
      </c>
      <c r="D118" s="124" t="s">
        <v>1156</v>
      </c>
      <c r="E118" s="82" t="s">
        <v>1157</v>
      </c>
      <c r="F118" s="13" t="s">
        <v>1158</v>
      </c>
      <c r="G118" s="79" t="s">
        <v>1001</v>
      </c>
      <c r="H118" s="168">
        <v>200</v>
      </c>
      <c r="I118" s="21"/>
      <c r="J118" s="102" t="s">
        <v>50</v>
      </c>
      <c r="K118" s="102" t="s">
        <v>482</v>
      </c>
      <c r="L118" s="102" t="s">
        <v>51</v>
      </c>
      <c r="M118" s="102" t="s">
        <v>22</v>
      </c>
      <c r="N118" s="102" t="s">
        <v>21</v>
      </c>
      <c r="O118" s="125" t="s">
        <v>816</v>
      </c>
      <c r="P118" s="102" t="s">
        <v>23</v>
      </c>
      <c r="Q118" s="102" t="s">
        <v>952</v>
      </c>
      <c r="R118" s="102" t="s">
        <v>51</v>
      </c>
      <c r="S118" s="223"/>
      <c r="T118" s="44" t="s">
        <v>171</v>
      </c>
      <c r="U118" s="34" t="s">
        <v>55</v>
      </c>
      <c r="V118" s="220" t="s">
        <v>1147</v>
      </c>
      <c r="W118" s="34" t="s">
        <v>954</v>
      </c>
      <c r="X118" s="102" t="s">
        <v>964</v>
      </c>
      <c r="Y118" s="211" t="s">
        <v>1159</v>
      </c>
      <c r="Z118" s="34" t="s">
        <v>955</v>
      </c>
      <c r="AA118" s="212" t="s">
        <v>2010</v>
      </c>
      <c r="AB118" s="34" t="s">
        <v>488</v>
      </c>
      <c r="AC118" s="46" t="s">
        <v>489</v>
      </c>
      <c r="AD118" s="46" t="s">
        <v>490</v>
      </c>
      <c r="AE118" s="34" t="s">
        <v>491</v>
      </c>
      <c r="AF118" s="34" t="s">
        <v>492</v>
      </c>
      <c r="AG118" s="34" t="s">
        <v>493</v>
      </c>
      <c r="AH118" s="34" t="s">
        <v>494</v>
      </c>
      <c r="AI118" s="34" t="s">
        <v>495</v>
      </c>
    </row>
    <row r="119" spans="1:35" ht="201.6" x14ac:dyDescent="0.3">
      <c r="A119" s="131">
        <v>118</v>
      </c>
      <c r="B119" s="79" t="str">
        <f t="shared" ref="B119:B122" si="25">C119</f>
        <v>Y</v>
      </c>
      <c r="C119" s="79" t="s">
        <v>45</v>
      </c>
      <c r="D119" s="240" t="s">
        <v>1160</v>
      </c>
      <c r="E119" s="82" t="s">
        <v>1161</v>
      </c>
      <c r="F119" s="13" t="s">
        <v>635</v>
      </c>
      <c r="G119" s="79" t="s">
        <v>1001</v>
      </c>
      <c r="H119" s="168">
        <v>200</v>
      </c>
      <c r="I119" s="21"/>
      <c r="J119" s="102" t="s">
        <v>50</v>
      </c>
      <c r="K119" s="102" t="s">
        <v>482</v>
      </c>
      <c r="L119" s="102" t="s">
        <v>51</v>
      </c>
      <c r="M119" s="102" t="s">
        <v>22</v>
      </c>
      <c r="N119" s="102" t="s">
        <v>21</v>
      </c>
      <c r="O119" s="125" t="s">
        <v>816</v>
      </c>
      <c r="P119" s="102" t="s">
        <v>23</v>
      </c>
      <c r="Q119" s="102" t="s">
        <v>952</v>
      </c>
      <c r="R119" s="102" t="s">
        <v>51</v>
      </c>
      <c r="S119" s="223"/>
      <c r="T119" s="44" t="s">
        <v>484</v>
      </c>
      <c r="U119" s="34" t="s">
        <v>55</v>
      </c>
      <c r="V119" s="220" t="s">
        <v>953</v>
      </c>
      <c r="W119" s="34" t="s">
        <v>954</v>
      </c>
      <c r="X119" s="102" t="s">
        <v>486</v>
      </c>
      <c r="Y119" s="211" t="s">
        <v>2160</v>
      </c>
      <c r="Z119" s="34" t="s">
        <v>955</v>
      </c>
      <c r="AA119" s="212" t="s">
        <v>2007</v>
      </c>
      <c r="AB119" s="34" t="s">
        <v>488</v>
      </c>
      <c r="AC119" s="46" t="s">
        <v>489</v>
      </c>
      <c r="AD119" s="46" t="s">
        <v>490</v>
      </c>
      <c r="AE119" s="34" t="s">
        <v>491</v>
      </c>
      <c r="AF119" s="34" t="s">
        <v>492</v>
      </c>
      <c r="AG119" s="34" t="s">
        <v>493</v>
      </c>
      <c r="AH119" s="34" t="s">
        <v>494</v>
      </c>
      <c r="AI119" s="34" t="s">
        <v>495</v>
      </c>
    </row>
    <row r="120" spans="1:35" ht="201.6" x14ac:dyDescent="0.3">
      <c r="A120" s="131">
        <v>119</v>
      </c>
      <c r="B120" s="79" t="str">
        <f t="shared" si="25"/>
        <v>Y</v>
      </c>
      <c r="C120" s="79" t="s">
        <v>45</v>
      </c>
      <c r="D120" s="240" t="s">
        <v>1162</v>
      </c>
      <c r="E120" s="82" t="s">
        <v>1163</v>
      </c>
      <c r="F120" s="13" t="s">
        <v>638</v>
      </c>
      <c r="G120" s="79" t="s">
        <v>1001</v>
      </c>
      <c r="H120" s="168">
        <v>200</v>
      </c>
      <c r="I120" s="21"/>
      <c r="J120" s="102" t="s">
        <v>50</v>
      </c>
      <c r="K120" s="102" t="s">
        <v>482</v>
      </c>
      <c r="L120" s="102" t="s">
        <v>51</v>
      </c>
      <c r="M120" s="102" t="s">
        <v>22</v>
      </c>
      <c r="N120" s="102" t="s">
        <v>21</v>
      </c>
      <c r="O120" s="125" t="s">
        <v>816</v>
      </c>
      <c r="P120" s="102" t="s">
        <v>23</v>
      </c>
      <c r="Q120" s="102" t="s">
        <v>952</v>
      </c>
      <c r="R120" s="102" t="s">
        <v>51</v>
      </c>
      <c r="S120" s="223"/>
      <c r="T120" s="44" t="s">
        <v>484</v>
      </c>
      <c r="U120" s="34" t="s">
        <v>55</v>
      </c>
      <c r="V120" s="220" t="s">
        <v>953</v>
      </c>
      <c r="W120" s="34" t="s">
        <v>954</v>
      </c>
      <c r="X120" s="102" t="s">
        <v>517</v>
      </c>
      <c r="Y120" s="211" t="s">
        <v>2161</v>
      </c>
      <c r="Z120" s="34" t="s">
        <v>955</v>
      </c>
      <c r="AA120" s="212" t="s">
        <v>2008</v>
      </c>
      <c r="AB120" s="34" t="s">
        <v>488</v>
      </c>
      <c r="AC120" s="46" t="s">
        <v>489</v>
      </c>
      <c r="AD120" s="46" t="s">
        <v>490</v>
      </c>
      <c r="AE120" s="34" t="s">
        <v>491</v>
      </c>
      <c r="AF120" s="34" t="s">
        <v>492</v>
      </c>
      <c r="AG120" s="34" t="s">
        <v>493</v>
      </c>
      <c r="AH120" s="34" t="s">
        <v>494</v>
      </c>
      <c r="AI120" s="34" t="s">
        <v>495</v>
      </c>
    </row>
    <row r="121" spans="1:35" ht="201.6" x14ac:dyDescent="0.3">
      <c r="A121" s="131">
        <v>120</v>
      </c>
      <c r="B121" s="79" t="str">
        <f t="shared" si="25"/>
        <v>Y</v>
      </c>
      <c r="C121" s="79" t="s">
        <v>45</v>
      </c>
      <c r="D121" s="240" t="s">
        <v>1164</v>
      </c>
      <c r="E121" s="82" t="s">
        <v>1165</v>
      </c>
      <c r="F121" s="13" t="s">
        <v>641</v>
      </c>
      <c r="G121" s="79" t="s">
        <v>1001</v>
      </c>
      <c r="H121" s="168">
        <v>200</v>
      </c>
      <c r="I121" s="21"/>
      <c r="J121" s="102" t="s">
        <v>50</v>
      </c>
      <c r="K121" s="102" t="s">
        <v>482</v>
      </c>
      <c r="L121" s="102" t="s">
        <v>51</v>
      </c>
      <c r="M121" s="102" t="s">
        <v>22</v>
      </c>
      <c r="N121" s="102" t="s">
        <v>21</v>
      </c>
      <c r="O121" s="125" t="s">
        <v>816</v>
      </c>
      <c r="P121" s="102" t="s">
        <v>23</v>
      </c>
      <c r="Q121" s="102" t="s">
        <v>952</v>
      </c>
      <c r="R121" s="102" t="s">
        <v>51</v>
      </c>
      <c r="S121" s="223"/>
      <c r="T121" s="44" t="s">
        <v>520</v>
      </c>
      <c r="U121" s="34" t="s">
        <v>55</v>
      </c>
      <c r="V121" s="220" t="s">
        <v>953</v>
      </c>
      <c r="W121" s="34" t="s">
        <v>954</v>
      </c>
      <c r="X121" s="102" t="s">
        <v>2163</v>
      </c>
      <c r="Y121" s="211" t="s">
        <v>2162</v>
      </c>
      <c r="Z121" s="34" t="s">
        <v>955</v>
      </c>
      <c r="AA121" s="212" t="s">
        <v>2164</v>
      </c>
      <c r="AB121" s="34" t="s">
        <v>488</v>
      </c>
      <c r="AC121" s="46" t="s">
        <v>489</v>
      </c>
      <c r="AD121" s="46" t="s">
        <v>490</v>
      </c>
      <c r="AE121" s="34" t="s">
        <v>491</v>
      </c>
      <c r="AF121" s="34" t="s">
        <v>492</v>
      </c>
      <c r="AG121" s="34" t="s">
        <v>493</v>
      </c>
      <c r="AH121" s="34" t="s">
        <v>494</v>
      </c>
      <c r="AI121" s="34" t="s">
        <v>495</v>
      </c>
    </row>
    <row r="122" spans="1:35" ht="201.6" x14ac:dyDescent="0.3">
      <c r="A122" s="131">
        <v>121</v>
      </c>
      <c r="B122" s="79" t="str">
        <f t="shared" si="25"/>
        <v>Y</v>
      </c>
      <c r="C122" s="79" t="s">
        <v>45</v>
      </c>
      <c r="D122" s="240" t="s">
        <v>1166</v>
      </c>
      <c r="E122" s="82" t="s">
        <v>1167</v>
      </c>
      <c r="F122" s="13" t="s">
        <v>644</v>
      </c>
      <c r="G122" s="79" t="s">
        <v>1001</v>
      </c>
      <c r="H122" s="168">
        <v>200</v>
      </c>
      <c r="I122" s="21"/>
      <c r="J122" s="102" t="s">
        <v>50</v>
      </c>
      <c r="K122" s="102" t="s">
        <v>482</v>
      </c>
      <c r="L122" s="102" t="s">
        <v>51</v>
      </c>
      <c r="M122" s="102" t="s">
        <v>22</v>
      </c>
      <c r="N122" s="102" t="s">
        <v>21</v>
      </c>
      <c r="O122" s="125" t="s">
        <v>816</v>
      </c>
      <c r="P122" s="102" t="s">
        <v>23</v>
      </c>
      <c r="Q122" s="102" t="s">
        <v>952</v>
      </c>
      <c r="R122" s="102" t="s">
        <v>51</v>
      </c>
      <c r="S122" s="223"/>
      <c r="T122" s="44" t="s">
        <v>171</v>
      </c>
      <c r="U122" s="34" t="s">
        <v>55</v>
      </c>
      <c r="V122" s="220" t="s">
        <v>953</v>
      </c>
      <c r="W122" s="34" t="s">
        <v>954</v>
      </c>
      <c r="X122" s="102" t="s">
        <v>2163</v>
      </c>
      <c r="Y122" s="211" t="s">
        <v>2162</v>
      </c>
      <c r="Z122" s="34" t="s">
        <v>955</v>
      </c>
      <c r="AA122" s="212" t="s">
        <v>2164</v>
      </c>
      <c r="AB122" s="34" t="s">
        <v>488</v>
      </c>
      <c r="AC122" s="46" t="s">
        <v>489</v>
      </c>
      <c r="AD122" s="46" t="s">
        <v>490</v>
      </c>
      <c r="AE122" s="34" t="s">
        <v>491</v>
      </c>
      <c r="AF122" s="34" t="s">
        <v>492</v>
      </c>
      <c r="AG122" s="34" t="s">
        <v>493</v>
      </c>
      <c r="AH122" s="34" t="s">
        <v>494</v>
      </c>
      <c r="AI122" s="34" t="s">
        <v>495</v>
      </c>
    </row>
    <row r="123" spans="1:35" ht="43.2" x14ac:dyDescent="0.3">
      <c r="A123" s="131">
        <v>122</v>
      </c>
      <c r="B123" s="79" t="str">
        <f t="shared" ref="B123:B126" si="26">C123</f>
        <v>Y</v>
      </c>
      <c r="C123" s="79" t="s">
        <v>45</v>
      </c>
      <c r="D123" s="166" t="s">
        <v>1168</v>
      </c>
      <c r="E123" s="82" t="s">
        <v>1169</v>
      </c>
      <c r="F123" s="13" t="s">
        <v>648</v>
      </c>
      <c r="G123" s="79" t="s">
        <v>1170</v>
      </c>
      <c r="H123" s="168">
        <v>200</v>
      </c>
      <c r="I123" s="21"/>
      <c r="J123" s="102" t="s">
        <v>50</v>
      </c>
      <c r="K123" s="102" t="s">
        <v>482</v>
      </c>
      <c r="L123" s="102" t="s">
        <v>51</v>
      </c>
      <c r="M123" s="102" t="s">
        <v>22</v>
      </c>
      <c r="N123" s="102" t="s">
        <v>21</v>
      </c>
      <c r="O123" s="125" t="s">
        <v>816</v>
      </c>
      <c r="P123" s="102" t="s">
        <v>23</v>
      </c>
      <c r="Q123" s="102" t="s">
        <v>952</v>
      </c>
      <c r="R123" s="102" t="s">
        <v>51</v>
      </c>
      <c r="S123" s="34"/>
      <c r="T123" s="44" t="s">
        <v>484</v>
      </c>
      <c r="U123" s="34" t="s">
        <v>55</v>
      </c>
      <c r="V123" s="34" t="s">
        <v>953</v>
      </c>
      <c r="W123" s="34" t="s">
        <v>954</v>
      </c>
      <c r="X123" s="102" t="s">
        <v>486</v>
      </c>
      <c r="Y123" s="128">
        <v>200061812481</v>
      </c>
      <c r="Z123" s="34" t="s">
        <v>955</v>
      </c>
      <c r="AA123" s="212" t="s">
        <v>2007</v>
      </c>
      <c r="AB123" s="34" t="s">
        <v>488</v>
      </c>
      <c r="AC123" s="46" t="s">
        <v>489</v>
      </c>
      <c r="AD123" s="46" t="s">
        <v>490</v>
      </c>
      <c r="AE123" s="34" t="s">
        <v>491</v>
      </c>
      <c r="AF123" s="34" t="s">
        <v>492</v>
      </c>
      <c r="AG123" s="34" t="s">
        <v>493</v>
      </c>
      <c r="AH123" s="34" t="s">
        <v>494</v>
      </c>
      <c r="AI123" s="34" t="s">
        <v>495</v>
      </c>
    </row>
    <row r="124" spans="1:35" ht="43.2" x14ac:dyDescent="0.3">
      <c r="A124" s="131">
        <v>123</v>
      </c>
      <c r="B124" s="79" t="str">
        <f t="shared" si="26"/>
        <v>Y</v>
      </c>
      <c r="C124" s="79" t="s">
        <v>45</v>
      </c>
      <c r="D124" s="166" t="s">
        <v>1171</v>
      </c>
      <c r="E124" s="82" t="s">
        <v>1172</v>
      </c>
      <c r="F124" s="13" t="s">
        <v>652</v>
      </c>
      <c r="G124" s="79" t="s">
        <v>1170</v>
      </c>
      <c r="H124" s="168">
        <v>200</v>
      </c>
      <c r="I124" s="21"/>
      <c r="J124" s="102" t="s">
        <v>50</v>
      </c>
      <c r="K124" s="102" t="s">
        <v>482</v>
      </c>
      <c r="L124" s="102" t="s">
        <v>51</v>
      </c>
      <c r="M124" s="102" t="s">
        <v>22</v>
      </c>
      <c r="N124" s="102" t="s">
        <v>21</v>
      </c>
      <c r="O124" s="125" t="s">
        <v>816</v>
      </c>
      <c r="P124" s="102" t="s">
        <v>23</v>
      </c>
      <c r="Q124" s="102" t="s">
        <v>952</v>
      </c>
      <c r="R124" s="102" t="s">
        <v>51</v>
      </c>
      <c r="S124" s="34"/>
      <c r="T124" s="44" t="s">
        <v>484</v>
      </c>
      <c r="U124" s="34" t="s">
        <v>55</v>
      </c>
      <c r="V124" s="34" t="s">
        <v>953</v>
      </c>
      <c r="W124" s="34" t="s">
        <v>954</v>
      </c>
      <c r="X124" s="102" t="s">
        <v>517</v>
      </c>
      <c r="Y124" s="211" t="s">
        <v>1998</v>
      </c>
      <c r="Z124" s="34" t="s">
        <v>955</v>
      </c>
      <c r="AA124" s="212" t="s">
        <v>2008</v>
      </c>
      <c r="AB124" s="34" t="s">
        <v>488</v>
      </c>
      <c r="AC124" s="46" t="s">
        <v>489</v>
      </c>
      <c r="AD124" s="46" t="s">
        <v>490</v>
      </c>
      <c r="AE124" s="34" t="s">
        <v>491</v>
      </c>
      <c r="AF124" s="34" t="s">
        <v>492</v>
      </c>
      <c r="AG124" s="34" t="s">
        <v>493</v>
      </c>
      <c r="AH124" s="34" t="s">
        <v>494</v>
      </c>
      <c r="AI124" s="34" t="s">
        <v>495</v>
      </c>
    </row>
    <row r="125" spans="1:35" ht="43.2" x14ac:dyDescent="0.3">
      <c r="A125" s="131">
        <v>124</v>
      </c>
      <c r="B125" s="79" t="str">
        <f t="shared" si="26"/>
        <v>Y</v>
      </c>
      <c r="C125" s="79" t="s">
        <v>45</v>
      </c>
      <c r="D125" s="240" t="s">
        <v>1173</v>
      </c>
      <c r="E125" s="82" t="s">
        <v>1174</v>
      </c>
      <c r="F125" s="13" t="s">
        <v>655</v>
      </c>
      <c r="G125" s="79" t="s">
        <v>1170</v>
      </c>
      <c r="H125" s="168">
        <v>200</v>
      </c>
      <c r="I125" s="21"/>
      <c r="J125" s="102" t="s">
        <v>50</v>
      </c>
      <c r="K125" s="102" t="s">
        <v>482</v>
      </c>
      <c r="L125" s="102" t="s">
        <v>51</v>
      </c>
      <c r="M125" s="102" t="s">
        <v>22</v>
      </c>
      <c r="N125" s="102" t="s">
        <v>21</v>
      </c>
      <c r="O125" s="125" t="s">
        <v>816</v>
      </c>
      <c r="P125" s="102" t="s">
        <v>23</v>
      </c>
      <c r="Q125" s="102" t="s">
        <v>952</v>
      </c>
      <c r="R125" s="102" t="s">
        <v>51</v>
      </c>
      <c r="S125" s="34"/>
      <c r="T125" s="44" t="s">
        <v>520</v>
      </c>
      <c r="U125" s="34" t="s">
        <v>55</v>
      </c>
      <c r="V125" s="34" t="s">
        <v>953</v>
      </c>
      <c r="W125" s="34" t="s">
        <v>954</v>
      </c>
      <c r="X125" s="102" t="s">
        <v>1154</v>
      </c>
      <c r="Y125" s="211" t="s">
        <v>1155</v>
      </c>
      <c r="Z125" s="34" t="s">
        <v>955</v>
      </c>
      <c r="AA125" s="212" t="s">
        <v>2009</v>
      </c>
      <c r="AB125" s="34" t="s">
        <v>488</v>
      </c>
      <c r="AC125" s="46" t="s">
        <v>489</v>
      </c>
      <c r="AD125" s="46" t="s">
        <v>490</v>
      </c>
      <c r="AE125" s="34" t="s">
        <v>491</v>
      </c>
      <c r="AF125" s="34" t="s">
        <v>492</v>
      </c>
      <c r="AG125" s="34" t="s">
        <v>493</v>
      </c>
      <c r="AH125" s="34" t="s">
        <v>494</v>
      </c>
      <c r="AI125" s="34" t="s">
        <v>495</v>
      </c>
    </row>
    <row r="126" spans="1:35" ht="57.6" x14ac:dyDescent="0.3">
      <c r="A126" s="131">
        <v>125</v>
      </c>
      <c r="B126" s="79" t="str">
        <f t="shared" si="26"/>
        <v>Y</v>
      </c>
      <c r="C126" s="79" t="s">
        <v>45</v>
      </c>
      <c r="D126" s="240" t="s">
        <v>1175</v>
      </c>
      <c r="E126" s="82" t="s">
        <v>1176</v>
      </c>
      <c r="F126" s="13" t="s">
        <v>658</v>
      </c>
      <c r="G126" s="79" t="s">
        <v>1170</v>
      </c>
      <c r="H126" s="168">
        <v>200</v>
      </c>
      <c r="I126" s="21"/>
      <c r="J126" s="102" t="s">
        <v>50</v>
      </c>
      <c r="K126" s="102" t="s">
        <v>482</v>
      </c>
      <c r="L126" s="102" t="s">
        <v>51</v>
      </c>
      <c r="M126" s="102" t="s">
        <v>22</v>
      </c>
      <c r="N126" s="102" t="s">
        <v>21</v>
      </c>
      <c r="O126" s="125" t="s">
        <v>816</v>
      </c>
      <c r="P126" s="102" t="s">
        <v>23</v>
      </c>
      <c r="Q126" s="102" t="s">
        <v>952</v>
      </c>
      <c r="R126" s="102" t="s">
        <v>51</v>
      </c>
      <c r="S126" s="34"/>
      <c r="T126" s="44" t="s">
        <v>171</v>
      </c>
      <c r="U126" s="34" t="s">
        <v>55</v>
      </c>
      <c r="V126" s="34" t="s">
        <v>953</v>
      </c>
      <c r="W126" s="34" t="s">
        <v>954</v>
      </c>
      <c r="X126" s="102" t="s">
        <v>964</v>
      </c>
      <c r="Y126" s="211" t="s">
        <v>1159</v>
      </c>
      <c r="Z126" s="34" t="s">
        <v>955</v>
      </c>
      <c r="AA126" s="212" t="s">
        <v>2010</v>
      </c>
      <c r="AB126" s="34" t="s">
        <v>488</v>
      </c>
      <c r="AC126" s="46" t="s">
        <v>489</v>
      </c>
      <c r="AD126" s="46" t="s">
        <v>490</v>
      </c>
      <c r="AE126" s="34" t="s">
        <v>491</v>
      </c>
      <c r="AF126" s="34" t="s">
        <v>492</v>
      </c>
      <c r="AG126" s="34" t="s">
        <v>493</v>
      </c>
      <c r="AH126" s="34" t="s">
        <v>494</v>
      </c>
      <c r="AI126" s="34" t="s">
        <v>495</v>
      </c>
    </row>
    <row r="127" spans="1:35" ht="57.6" x14ac:dyDescent="0.3">
      <c r="A127" s="131">
        <v>126</v>
      </c>
      <c r="B127" s="79" t="str">
        <f t="shared" ref="B127:B130" si="27">C127</f>
        <v>Y</v>
      </c>
      <c r="C127" s="79" t="s">
        <v>45</v>
      </c>
      <c r="D127" s="240" t="s">
        <v>1177</v>
      </c>
      <c r="E127" s="82" t="s">
        <v>1178</v>
      </c>
      <c r="F127" s="13" t="s">
        <v>661</v>
      </c>
      <c r="G127" s="79" t="s">
        <v>564</v>
      </c>
      <c r="H127" s="168">
        <v>400</v>
      </c>
      <c r="I127" s="131" t="s">
        <v>2166</v>
      </c>
      <c r="J127" s="102" t="s">
        <v>50</v>
      </c>
      <c r="K127" s="102" t="s">
        <v>482</v>
      </c>
      <c r="L127" s="102" t="s">
        <v>51</v>
      </c>
      <c r="M127" s="102" t="s">
        <v>22</v>
      </c>
      <c r="N127" s="102" t="s">
        <v>21</v>
      </c>
      <c r="O127" s="125" t="s">
        <v>816</v>
      </c>
      <c r="P127" s="102" t="s">
        <v>23</v>
      </c>
      <c r="Q127" s="102" t="s">
        <v>952</v>
      </c>
      <c r="R127" s="102" t="s">
        <v>51</v>
      </c>
      <c r="S127" s="34"/>
      <c r="T127" s="44" t="s">
        <v>484</v>
      </c>
      <c r="U127" s="34" t="s">
        <v>55</v>
      </c>
      <c r="V127" s="34" t="s">
        <v>953</v>
      </c>
      <c r="W127" s="34" t="s">
        <v>954</v>
      </c>
      <c r="X127" s="102" t="s">
        <v>2165</v>
      </c>
      <c r="Y127" s="128">
        <v>200061812481</v>
      </c>
      <c r="Z127" s="34" t="s">
        <v>955</v>
      </c>
      <c r="AA127" s="212" t="s">
        <v>2007</v>
      </c>
      <c r="AB127" s="34" t="s">
        <v>488</v>
      </c>
      <c r="AC127" s="46" t="s">
        <v>489</v>
      </c>
      <c r="AD127" s="46" t="s">
        <v>490</v>
      </c>
      <c r="AE127" s="34" t="s">
        <v>491</v>
      </c>
      <c r="AF127" s="34" t="s">
        <v>492</v>
      </c>
      <c r="AG127" s="34" t="s">
        <v>493</v>
      </c>
      <c r="AH127" s="34" t="s">
        <v>494</v>
      </c>
      <c r="AI127" s="34" t="s">
        <v>495</v>
      </c>
    </row>
    <row r="128" spans="1:35" ht="57.6" x14ac:dyDescent="0.3">
      <c r="A128" s="131">
        <v>127</v>
      </c>
      <c r="B128" s="79" t="str">
        <f t="shared" si="27"/>
        <v>Y</v>
      </c>
      <c r="C128" s="79" t="s">
        <v>45</v>
      </c>
      <c r="D128" s="240" t="s">
        <v>1179</v>
      </c>
      <c r="E128" s="82" t="s">
        <v>1180</v>
      </c>
      <c r="F128" s="13" t="s">
        <v>664</v>
      </c>
      <c r="G128" s="79" t="s">
        <v>564</v>
      </c>
      <c r="H128" s="168">
        <v>400</v>
      </c>
      <c r="I128" s="131" t="s">
        <v>2168</v>
      </c>
      <c r="J128" s="102" t="s">
        <v>50</v>
      </c>
      <c r="K128" s="102" t="s">
        <v>482</v>
      </c>
      <c r="L128" s="102" t="s">
        <v>51</v>
      </c>
      <c r="M128" s="102" t="s">
        <v>22</v>
      </c>
      <c r="N128" s="102" t="s">
        <v>21</v>
      </c>
      <c r="O128" s="125" t="s">
        <v>816</v>
      </c>
      <c r="P128" s="102" t="s">
        <v>23</v>
      </c>
      <c r="Q128" s="102" t="s">
        <v>952</v>
      </c>
      <c r="R128" s="102" t="s">
        <v>51</v>
      </c>
      <c r="S128" s="34"/>
      <c r="T128" s="44" t="s">
        <v>2167</v>
      </c>
      <c r="U128" s="34" t="s">
        <v>55</v>
      </c>
      <c r="V128" s="34" t="s">
        <v>953</v>
      </c>
      <c r="W128" s="34" t="s">
        <v>954</v>
      </c>
      <c r="X128" s="102" t="s">
        <v>517</v>
      </c>
      <c r="Y128" s="211" t="s">
        <v>1998</v>
      </c>
      <c r="Z128" s="34" t="s">
        <v>955</v>
      </c>
      <c r="AA128" s="212" t="s">
        <v>2008</v>
      </c>
      <c r="AB128" s="34" t="s">
        <v>488</v>
      </c>
      <c r="AC128" s="46" t="s">
        <v>489</v>
      </c>
      <c r="AD128" s="46" t="s">
        <v>490</v>
      </c>
      <c r="AE128" s="34" t="s">
        <v>491</v>
      </c>
      <c r="AF128" s="34" t="s">
        <v>492</v>
      </c>
      <c r="AG128" s="34" t="s">
        <v>493</v>
      </c>
      <c r="AH128" s="34" t="s">
        <v>494</v>
      </c>
      <c r="AI128" s="34" t="s">
        <v>495</v>
      </c>
    </row>
    <row r="129" spans="1:35" ht="57.6" x14ac:dyDescent="0.3">
      <c r="A129" s="131">
        <v>128</v>
      </c>
      <c r="B129" s="79" t="str">
        <f t="shared" si="27"/>
        <v>Y</v>
      </c>
      <c r="C129" s="79" t="s">
        <v>45</v>
      </c>
      <c r="D129" s="240" t="s">
        <v>1181</v>
      </c>
      <c r="E129" s="82" t="s">
        <v>1182</v>
      </c>
      <c r="F129" s="13" t="s">
        <v>667</v>
      </c>
      <c r="G129" s="79" t="s">
        <v>564</v>
      </c>
      <c r="H129" s="168">
        <v>400</v>
      </c>
      <c r="I129" s="131" t="s">
        <v>1968</v>
      </c>
      <c r="J129" s="102" t="s">
        <v>50</v>
      </c>
      <c r="K129" s="102" t="s">
        <v>482</v>
      </c>
      <c r="L129" s="102" t="s">
        <v>51</v>
      </c>
      <c r="M129" s="102" t="s">
        <v>22</v>
      </c>
      <c r="N129" s="102" t="s">
        <v>21</v>
      </c>
      <c r="O129" s="125" t="s">
        <v>816</v>
      </c>
      <c r="P129" s="102" t="s">
        <v>23</v>
      </c>
      <c r="Q129" s="102" t="s">
        <v>952</v>
      </c>
      <c r="R129" s="102" t="s">
        <v>51</v>
      </c>
      <c r="S129" s="34"/>
      <c r="T129" s="44" t="s">
        <v>520</v>
      </c>
      <c r="U129" s="34" t="s">
        <v>55</v>
      </c>
      <c r="V129" s="34" t="s">
        <v>953</v>
      </c>
      <c r="W129" s="34" t="s">
        <v>954</v>
      </c>
      <c r="X129" s="102" t="s">
        <v>1154</v>
      </c>
      <c r="Y129" s="211" t="s">
        <v>1963</v>
      </c>
      <c r="Z129" s="34" t="s">
        <v>955</v>
      </c>
      <c r="AA129" s="212" t="s">
        <v>2009</v>
      </c>
      <c r="AB129" s="34" t="s">
        <v>488</v>
      </c>
      <c r="AC129" s="46" t="s">
        <v>489</v>
      </c>
      <c r="AD129" s="46" t="s">
        <v>490</v>
      </c>
      <c r="AE129" s="34" t="s">
        <v>491</v>
      </c>
      <c r="AF129" s="34" t="s">
        <v>492</v>
      </c>
      <c r="AG129" s="34" t="s">
        <v>493</v>
      </c>
      <c r="AH129" s="34" t="s">
        <v>494</v>
      </c>
      <c r="AI129" s="34" t="s">
        <v>495</v>
      </c>
    </row>
    <row r="130" spans="1:35" ht="57.6" x14ac:dyDescent="0.3">
      <c r="A130" s="131">
        <v>129</v>
      </c>
      <c r="B130" s="79" t="str">
        <f t="shared" si="27"/>
        <v>Y</v>
      </c>
      <c r="C130" s="79" t="s">
        <v>45</v>
      </c>
      <c r="D130" s="166" t="s">
        <v>1183</v>
      </c>
      <c r="E130" s="82" t="s">
        <v>1184</v>
      </c>
      <c r="F130" s="13" t="s">
        <v>670</v>
      </c>
      <c r="G130" s="79" t="s">
        <v>564</v>
      </c>
      <c r="H130" s="168">
        <v>400</v>
      </c>
      <c r="I130" s="131" t="s">
        <v>1995</v>
      </c>
      <c r="J130" s="102" t="s">
        <v>50</v>
      </c>
      <c r="K130" s="102" t="s">
        <v>482</v>
      </c>
      <c r="L130" s="102" t="s">
        <v>51</v>
      </c>
      <c r="M130" s="102" t="s">
        <v>22</v>
      </c>
      <c r="N130" s="102" t="s">
        <v>21</v>
      </c>
      <c r="O130" s="125" t="s">
        <v>816</v>
      </c>
      <c r="P130" s="102" t="s">
        <v>23</v>
      </c>
      <c r="Q130" s="102" t="s">
        <v>952</v>
      </c>
      <c r="R130" s="102" t="s">
        <v>51</v>
      </c>
      <c r="S130" s="34"/>
      <c r="T130" s="44" t="s">
        <v>171</v>
      </c>
      <c r="U130" s="34" t="s">
        <v>55</v>
      </c>
      <c r="V130" s="34" t="s">
        <v>953</v>
      </c>
      <c r="W130" s="34" t="s">
        <v>954</v>
      </c>
      <c r="X130" s="102" t="s">
        <v>964</v>
      </c>
      <c r="Y130" s="211" t="s">
        <v>1159</v>
      </c>
      <c r="Z130" s="34" t="s">
        <v>955</v>
      </c>
      <c r="AA130" s="212" t="s">
        <v>1963</v>
      </c>
      <c r="AB130" s="34" t="s">
        <v>488</v>
      </c>
      <c r="AC130" s="46" t="s">
        <v>489</v>
      </c>
      <c r="AD130" s="46" t="s">
        <v>490</v>
      </c>
      <c r="AE130" s="34" t="s">
        <v>491</v>
      </c>
      <c r="AF130" s="34" t="s">
        <v>492</v>
      </c>
      <c r="AG130" s="34" t="s">
        <v>493</v>
      </c>
      <c r="AH130" s="34" t="s">
        <v>494</v>
      </c>
      <c r="AI130" s="34" t="s">
        <v>495</v>
      </c>
    </row>
    <row r="131" spans="1:35" ht="172.8" x14ac:dyDescent="0.3">
      <c r="A131" s="131">
        <v>130</v>
      </c>
      <c r="B131" s="161" t="str">
        <f t="shared" ref="B131" si="28">C131</f>
        <v>N</v>
      </c>
      <c r="C131" s="161" t="s">
        <v>113</v>
      </c>
      <c r="D131" s="162" t="s">
        <v>1185</v>
      </c>
      <c r="E131" s="180" t="s">
        <v>1186</v>
      </c>
      <c r="F131" s="178" t="s">
        <v>697</v>
      </c>
      <c r="G131" s="161" t="s">
        <v>1187</v>
      </c>
      <c r="H131" s="172">
        <v>200</v>
      </c>
      <c r="I131" s="183"/>
      <c r="J131" s="224" t="s">
        <v>50</v>
      </c>
      <c r="K131" s="224" t="s">
        <v>482</v>
      </c>
      <c r="L131" s="224" t="s">
        <v>51</v>
      </c>
      <c r="M131" s="224" t="s">
        <v>22</v>
      </c>
      <c r="N131" s="224" t="s">
        <v>21</v>
      </c>
      <c r="O131" s="241" t="s">
        <v>816</v>
      </c>
      <c r="P131" s="224" t="s">
        <v>23</v>
      </c>
      <c r="Q131" s="224" t="s">
        <v>952</v>
      </c>
      <c r="R131" s="224" t="s">
        <v>51</v>
      </c>
      <c r="S131" s="225"/>
      <c r="T131" s="226" t="s">
        <v>484</v>
      </c>
      <c r="U131" s="225" t="s">
        <v>55</v>
      </c>
      <c r="V131" s="225" t="s">
        <v>953</v>
      </c>
      <c r="W131" s="225" t="s">
        <v>954</v>
      </c>
      <c r="X131" s="224" t="s">
        <v>486</v>
      </c>
      <c r="Y131" s="227">
        <v>200061812481</v>
      </c>
      <c r="Z131" s="225" t="s">
        <v>955</v>
      </c>
      <c r="AA131" s="228" t="s">
        <v>2007</v>
      </c>
      <c r="AB131" s="225" t="s">
        <v>488</v>
      </c>
      <c r="AC131" s="229" t="s">
        <v>489</v>
      </c>
      <c r="AD131" s="229" t="s">
        <v>490</v>
      </c>
      <c r="AE131" s="225" t="s">
        <v>491</v>
      </c>
      <c r="AF131" s="225" t="s">
        <v>492</v>
      </c>
      <c r="AG131" s="225" t="s">
        <v>493</v>
      </c>
      <c r="AH131" s="225" t="s">
        <v>494</v>
      </c>
      <c r="AI131" s="225" t="s">
        <v>495</v>
      </c>
    </row>
    <row r="132" spans="1:35" ht="100.8" x14ac:dyDescent="0.3">
      <c r="A132" s="131">
        <v>131</v>
      </c>
      <c r="B132" s="161" t="str">
        <f t="shared" ref="B132:B135" si="29">C132</f>
        <v>N</v>
      </c>
      <c r="C132" s="161" t="s">
        <v>113</v>
      </c>
      <c r="D132" s="162" t="s">
        <v>1188</v>
      </c>
      <c r="E132" s="180" t="s">
        <v>1189</v>
      </c>
      <c r="F132" s="178" t="s">
        <v>707</v>
      </c>
      <c r="G132" s="161" t="s">
        <v>1190</v>
      </c>
      <c r="H132" s="183">
        <v>200</v>
      </c>
      <c r="I132" s="183"/>
      <c r="J132" s="161" t="s">
        <v>50</v>
      </c>
      <c r="K132" s="178" t="s">
        <v>482</v>
      </c>
      <c r="L132" s="178" t="s">
        <v>51</v>
      </c>
      <c r="M132" s="178" t="s">
        <v>22</v>
      </c>
      <c r="N132" s="178" t="s">
        <v>21</v>
      </c>
      <c r="O132" s="213" t="s">
        <v>816</v>
      </c>
      <c r="P132" s="178" t="s">
        <v>23</v>
      </c>
      <c r="Q132" s="178" t="s">
        <v>952</v>
      </c>
      <c r="R132" s="178" t="s">
        <v>51</v>
      </c>
      <c r="S132" s="178"/>
      <c r="T132" s="213" t="s">
        <v>484</v>
      </c>
      <c r="U132" s="178" t="s">
        <v>55</v>
      </c>
      <c r="V132" s="178" t="s">
        <v>953</v>
      </c>
      <c r="W132" s="178" t="s">
        <v>1191</v>
      </c>
      <c r="X132" s="178" t="s">
        <v>486</v>
      </c>
      <c r="Y132" s="214">
        <v>200061812481</v>
      </c>
      <c r="Z132" s="178" t="s">
        <v>955</v>
      </c>
      <c r="AA132" s="183">
        <v>1</v>
      </c>
      <c r="AB132" s="178" t="s">
        <v>488</v>
      </c>
      <c r="AC132" s="215" t="s">
        <v>489</v>
      </c>
      <c r="AD132" s="215" t="s">
        <v>490</v>
      </c>
      <c r="AE132" s="178" t="s">
        <v>491</v>
      </c>
      <c r="AF132" s="178" t="s">
        <v>492</v>
      </c>
      <c r="AG132" s="178" t="s">
        <v>493</v>
      </c>
      <c r="AH132" s="178" t="s">
        <v>494</v>
      </c>
      <c r="AI132" s="178" t="s">
        <v>495</v>
      </c>
    </row>
    <row r="133" spans="1:35" ht="57.6" x14ac:dyDescent="0.3">
      <c r="A133" s="131">
        <v>132</v>
      </c>
      <c r="B133" s="161" t="str">
        <f t="shared" si="29"/>
        <v>N</v>
      </c>
      <c r="C133" s="161" t="s">
        <v>113</v>
      </c>
      <c r="D133" s="162" t="s">
        <v>1192</v>
      </c>
      <c r="E133" s="180" t="s">
        <v>1193</v>
      </c>
      <c r="F133" s="178" t="s">
        <v>716</v>
      </c>
      <c r="G133" s="161" t="s">
        <v>717</v>
      </c>
      <c r="H133" s="183">
        <v>200</v>
      </c>
      <c r="I133" s="183"/>
      <c r="J133" s="161" t="s">
        <v>50</v>
      </c>
      <c r="K133" s="178" t="s">
        <v>482</v>
      </c>
      <c r="L133" s="178" t="s">
        <v>51</v>
      </c>
      <c r="M133" s="178" t="s">
        <v>22</v>
      </c>
      <c r="N133" s="178" t="s">
        <v>21</v>
      </c>
      <c r="O133" s="213" t="s">
        <v>816</v>
      </c>
      <c r="P133" s="178" t="s">
        <v>23</v>
      </c>
      <c r="Q133" s="178" t="s">
        <v>952</v>
      </c>
      <c r="R133" s="178" t="s">
        <v>51</v>
      </c>
      <c r="S133" s="178"/>
      <c r="T133" s="213" t="s">
        <v>484</v>
      </c>
      <c r="U133" s="178" t="s">
        <v>55</v>
      </c>
      <c r="V133" s="178" t="s">
        <v>953</v>
      </c>
      <c r="W133" s="178" t="s">
        <v>958</v>
      </c>
      <c r="X133" s="178" t="s">
        <v>517</v>
      </c>
      <c r="Y133" s="214">
        <v>500027172507</v>
      </c>
      <c r="Z133" s="178" t="s">
        <v>1194</v>
      </c>
      <c r="AA133" s="183">
        <v>1</v>
      </c>
      <c r="AB133" s="178" t="s">
        <v>488</v>
      </c>
      <c r="AC133" s="215" t="s">
        <v>489</v>
      </c>
      <c r="AD133" s="215" t="s">
        <v>490</v>
      </c>
      <c r="AE133" s="178" t="s">
        <v>491</v>
      </c>
      <c r="AF133" s="178" t="s">
        <v>492</v>
      </c>
      <c r="AG133" s="178" t="s">
        <v>493</v>
      </c>
      <c r="AH133" s="178" t="s">
        <v>494</v>
      </c>
      <c r="AI133" s="178" t="s">
        <v>495</v>
      </c>
    </row>
    <row r="134" spans="1:35" ht="57.6" x14ac:dyDescent="0.3">
      <c r="A134" s="131">
        <v>133</v>
      </c>
      <c r="B134" s="161" t="str">
        <f t="shared" si="29"/>
        <v>N</v>
      </c>
      <c r="C134" s="161" t="s">
        <v>113</v>
      </c>
      <c r="D134" s="162" t="s">
        <v>1195</v>
      </c>
      <c r="E134" s="180" t="s">
        <v>1196</v>
      </c>
      <c r="F134" s="178" t="s">
        <v>1197</v>
      </c>
      <c r="G134" s="161" t="s">
        <v>1198</v>
      </c>
      <c r="H134" s="172">
        <v>200</v>
      </c>
      <c r="I134" s="183"/>
      <c r="J134" s="224" t="s">
        <v>50</v>
      </c>
      <c r="K134" s="224" t="s">
        <v>482</v>
      </c>
      <c r="L134" s="224" t="s">
        <v>51</v>
      </c>
      <c r="M134" s="224" t="s">
        <v>22</v>
      </c>
      <c r="N134" s="224" t="s">
        <v>21</v>
      </c>
      <c r="O134" s="241" t="s">
        <v>816</v>
      </c>
      <c r="P134" s="224" t="s">
        <v>23</v>
      </c>
      <c r="Q134" s="224" t="s">
        <v>952</v>
      </c>
      <c r="R134" s="224" t="s">
        <v>51</v>
      </c>
      <c r="S134" s="225"/>
      <c r="T134" s="226" t="s">
        <v>484</v>
      </c>
      <c r="U134" s="225" t="s">
        <v>55</v>
      </c>
      <c r="V134" s="225" t="s">
        <v>953</v>
      </c>
      <c r="W134" s="225" t="s">
        <v>954</v>
      </c>
      <c r="X134" s="224" t="s">
        <v>486</v>
      </c>
      <c r="Y134" s="227">
        <v>200061812481</v>
      </c>
      <c r="Z134" s="225" t="s">
        <v>955</v>
      </c>
      <c r="AA134" s="228" t="s">
        <v>2007</v>
      </c>
      <c r="AB134" s="225" t="s">
        <v>488</v>
      </c>
      <c r="AC134" s="229" t="s">
        <v>489</v>
      </c>
      <c r="AD134" s="229" t="s">
        <v>490</v>
      </c>
      <c r="AE134" s="225" t="s">
        <v>491</v>
      </c>
      <c r="AF134" s="225" t="s">
        <v>492</v>
      </c>
      <c r="AG134" s="225" t="s">
        <v>493</v>
      </c>
      <c r="AH134" s="225" t="s">
        <v>494</v>
      </c>
      <c r="AI134" s="225" t="s">
        <v>495</v>
      </c>
    </row>
    <row r="135" spans="1:35" ht="57.6" x14ac:dyDescent="0.3">
      <c r="A135" s="131">
        <v>134</v>
      </c>
      <c r="B135" s="79" t="str">
        <f t="shared" si="29"/>
        <v>Y</v>
      </c>
      <c r="C135" s="79" t="s">
        <v>45</v>
      </c>
      <c r="D135" s="166" t="s">
        <v>1199</v>
      </c>
      <c r="E135" s="82" t="s">
        <v>1200</v>
      </c>
      <c r="F135" s="13" t="s">
        <v>1201</v>
      </c>
      <c r="G135" s="79" t="s">
        <v>1202</v>
      </c>
      <c r="H135" s="168">
        <v>200</v>
      </c>
      <c r="I135" s="15"/>
      <c r="J135" s="102" t="s">
        <v>50</v>
      </c>
      <c r="K135" s="102" t="s">
        <v>482</v>
      </c>
      <c r="L135" s="102" t="s">
        <v>51</v>
      </c>
      <c r="M135" s="102" t="s">
        <v>22</v>
      </c>
      <c r="N135" s="102" t="s">
        <v>21</v>
      </c>
      <c r="O135" s="125" t="s">
        <v>816</v>
      </c>
      <c r="P135" s="102" t="s">
        <v>23</v>
      </c>
      <c r="Q135" s="102" t="s">
        <v>952</v>
      </c>
      <c r="R135" s="102" t="s">
        <v>51</v>
      </c>
      <c r="S135" s="34"/>
      <c r="T135" s="44" t="s">
        <v>484</v>
      </c>
      <c r="U135" s="34" t="s">
        <v>55</v>
      </c>
      <c r="V135" s="34" t="s">
        <v>953</v>
      </c>
      <c r="W135" s="34" t="s">
        <v>954</v>
      </c>
      <c r="X135" s="102" t="s">
        <v>486</v>
      </c>
      <c r="Y135" s="128">
        <v>200061812481</v>
      </c>
      <c r="Z135" s="34" t="s">
        <v>955</v>
      </c>
      <c r="AA135" s="212" t="s">
        <v>2007</v>
      </c>
      <c r="AB135" s="34" t="s">
        <v>488</v>
      </c>
      <c r="AC135" s="46" t="s">
        <v>489</v>
      </c>
      <c r="AD135" s="46" t="s">
        <v>490</v>
      </c>
      <c r="AE135" s="34" t="s">
        <v>491</v>
      </c>
      <c r="AF135" s="34" t="s">
        <v>492</v>
      </c>
      <c r="AG135" s="34" t="s">
        <v>493</v>
      </c>
      <c r="AH135" s="34" t="s">
        <v>494</v>
      </c>
      <c r="AI135" s="34" t="s">
        <v>495</v>
      </c>
    </row>
    <row r="136" spans="1:35" ht="72" x14ac:dyDescent="0.3">
      <c r="A136" s="131">
        <v>135</v>
      </c>
      <c r="B136" s="161" t="str">
        <f t="shared" ref="B136" si="30">C136</f>
        <v>N</v>
      </c>
      <c r="C136" s="161" t="s">
        <v>113</v>
      </c>
      <c r="D136" s="162" t="s">
        <v>1203</v>
      </c>
      <c r="E136" s="180" t="s">
        <v>1204</v>
      </c>
      <c r="F136" s="178" t="s">
        <v>1205</v>
      </c>
      <c r="G136" s="161" t="s">
        <v>1206</v>
      </c>
      <c r="H136" s="172">
        <v>200</v>
      </c>
      <c r="I136" s="183"/>
      <c r="J136" s="224" t="s">
        <v>50</v>
      </c>
      <c r="K136" s="224" t="s">
        <v>482</v>
      </c>
      <c r="L136" s="224" t="s">
        <v>51</v>
      </c>
      <c r="M136" s="224" t="s">
        <v>22</v>
      </c>
      <c r="N136" s="224" t="s">
        <v>21</v>
      </c>
      <c r="O136" s="241" t="s">
        <v>816</v>
      </c>
      <c r="P136" s="224" t="s">
        <v>23</v>
      </c>
      <c r="Q136" s="224" t="s">
        <v>952</v>
      </c>
      <c r="R136" s="224" t="s">
        <v>51</v>
      </c>
      <c r="S136" s="225"/>
      <c r="T136" s="226" t="s">
        <v>484</v>
      </c>
      <c r="U136" s="225" t="s">
        <v>55</v>
      </c>
      <c r="V136" s="225" t="s">
        <v>953</v>
      </c>
      <c r="W136" s="225" t="s">
        <v>954</v>
      </c>
      <c r="X136" s="224" t="s">
        <v>486</v>
      </c>
      <c r="Y136" s="227">
        <v>200061812481</v>
      </c>
      <c r="Z136" s="225" t="s">
        <v>955</v>
      </c>
      <c r="AA136" s="228" t="s">
        <v>2007</v>
      </c>
      <c r="AB136" s="225" t="s">
        <v>488</v>
      </c>
      <c r="AC136" s="229" t="s">
        <v>489</v>
      </c>
      <c r="AD136" s="229" t="s">
        <v>490</v>
      </c>
      <c r="AE136" s="225" t="s">
        <v>491</v>
      </c>
      <c r="AF136" s="225" t="s">
        <v>492</v>
      </c>
      <c r="AG136" s="225" t="s">
        <v>493</v>
      </c>
      <c r="AH136" s="225" t="s">
        <v>494</v>
      </c>
      <c r="AI136" s="225" t="s">
        <v>495</v>
      </c>
    </row>
    <row r="137" spans="1:35" ht="57.6" x14ac:dyDescent="0.3">
      <c r="A137" s="131">
        <v>136</v>
      </c>
      <c r="B137" s="79" t="str">
        <f t="shared" ref="B137" si="31">C137</f>
        <v>Y</v>
      </c>
      <c r="C137" s="79" t="s">
        <v>45</v>
      </c>
      <c r="D137" s="166" t="s">
        <v>1207</v>
      </c>
      <c r="E137" s="82" t="s">
        <v>1208</v>
      </c>
      <c r="F137" s="13" t="s">
        <v>1209</v>
      </c>
      <c r="G137" s="79" t="s">
        <v>1210</v>
      </c>
      <c r="H137" s="168">
        <v>200</v>
      </c>
      <c r="I137" s="21"/>
      <c r="J137" s="102" t="s">
        <v>50</v>
      </c>
      <c r="K137" s="102" t="s">
        <v>482</v>
      </c>
      <c r="L137" s="102" t="s">
        <v>51</v>
      </c>
      <c r="M137" s="102" t="s">
        <v>22</v>
      </c>
      <c r="N137" s="102" t="s">
        <v>21</v>
      </c>
      <c r="O137" s="125" t="s">
        <v>816</v>
      </c>
      <c r="P137" s="102" t="s">
        <v>23</v>
      </c>
      <c r="Q137" s="102" t="s">
        <v>952</v>
      </c>
      <c r="R137" s="102" t="s">
        <v>51</v>
      </c>
      <c r="S137" s="34"/>
      <c r="T137" s="44" t="s">
        <v>484</v>
      </c>
      <c r="U137" s="34" t="s">
        <v>55</v>
      </c>
      <c r="V137" s="34" t="s">
        <v>953</v>
      </c>
      <c r="W137" s="34" t="s">
        <v>954</v>
      </c>
      <c r="X137" s="102" t="s">
        <v>486</v>
      </c>
      <c r="Y137" s="128">
        <v>200061812481</v>
      </c>
      <c r="Z137" s="34" t="s">
        <v>955</v>
      </c>
      <c r="AA137" s="212" t="s">
        <v>2007</v>
      </c>
      <c r="AB137" s="34" t="s">
        <v>488</v>
      </c>
      <c r="AC137" s="46" t="s">
        <v>489</v>
      </c>
      <c r="AD137" s="46" t="s">
        <v>490</v>
      </c>
      <c r="AE137" s="34" t="s">
        <v>491</v>
      </c>
      <c r="AF137" s="34" t="s">
        <v>492</v>
      </c>
      <c r="AG137" s="34" t="s">
        <v>493</v>
      </c>
      <c r="AH137" s="34" t="s">
        <v>494</v>
      </c>
      <c r="AI137" s="34" t="s">
        <v>495</v>
      </c>
    </row>
    <row r="138" spans="1:35" ht="72" x14ac:dyDescent="0.3">
      <c r="A138" s="131">
        <v>137</v>
      </c>
      <c r="B138" s="79" t="str">
        <f t="shared" ref="B138:B141" si="32">C138</f>
        <v>Y</v>
      </c>
      <c r="C138" s="79" t="s">
        <v>45</v>
      </c>
      <c r="D138" s="166" t="s">
        <v>1211</v>
      </c>
      <c r="E138" s="82" t="s">
        <v>1212</v>
      </c>
      <c r="F138" s="13" t="s">
        <v>1213</v>
      </c>
      <c r="G138" s="79" t="s">
        <v>1214</v>
      </c>
      <c r="H138" s="168">
        <v>200</v>
      </c>
      <c r="I138" s="21"/>
      <c r="J138" s="102" t="s">
        <v>50</v>
      </c>
      <c r="K138" s="102" t="s">
        <v>482</v>
      </c>
      <c r="L138" s="102" t="s">
        <v>51</v>
      </c>
      <c r="M138" s="102" t="s">
        <v>22</v>
      </c>
      <c r="N138" s="102" t="s">
        <v>21</v>
      </c>
      <c r="O138" s="125" t="s">
        <v>816</v>
      </c>
      <c r="P138" s="102" t="s">
        <v>23</v>
      </c>
      <c r="Q138" s="102" t="s">
        <v>952</v>
      </c>
      <c r="R138" s="102" t="s">
        <v>51</v>
      </c>
      <c r="S138" s="34"/>
      <c r="T138" s="44" t="s">
        <v>484</v>
      </c>
      <c r="U138" s="34" t="s">
        <v>55</v>
      </c>
      <c r="V138" s="34" t="s">
        <v>953</v>
      </c>
      <c r="W138" s="34" t="s">
        <v>954</v>
      </c>
      <c r="X138" s="102" t="s">
        <v>486</v>
      </c>
      <c r="Y138" s="128">
        <v>200061812481</v>
      </c>
      <c r="Z138" s="34" t="s">
        <v>955</v>
      </c>
      <c r="AA138" s="212" t="s">
        <v>2007</v>
      </c>
      <c r="AB138" s="34" t="s">
        <v>488</v>
      </c>
      <c r="AC138" s="46" t="s">
        <v>489</v>
      </c>
      <c r="AD138" s="46" t="s">
        <v>490</v>
      </c>
      <c r="AE138" s="34" t="s">
        <v>491</v>
      </c>
      <c r="AF138" s="34" t="s">
        <v>492</v>
      </c>
      <c r="AG138" s="34" t="s">
        <v>493</v>
      </c>
      <c r="AH138" s="34" t="s">
        <v>494</v>
      </c>
      <c r="AI138" s="34" t="s">
        <v>495</v>
      </c>
    </row>
    <row r="139" spans="1:35" ht="57.6" x14ac:dyDescent="0.3">
      <c r="A139" s="131">
        <v>138</v>
      </c>
      <c r="B139" s="161" t="str">
        <f t="shared" si="32"/>
        <v>N</v>
      </c>
      <c r="C139" s="161" t="s">
        <v>113</v>
      </c>
      <c r="D139" s="162" t="s">
        <v>1215</v>
      </c>
      <c r="E139" s="180" t="s">
        <v>1216</v>
      </c>
      <c r="F139" s="178" t="s">
        <v>1217</v>
      </c>
      <c r="G139" s="161" t="s">
        <v>1218</v>
      </c>
      <c r="H139" s="172">
        <v>200</v>
      </c>
      <c r="I139" s="183"/>
      <c r="J139" s="224" t="s">
        <v>50</v>
      </c>
      <c r="K139" s="224" t="s">
        <v>482</v>
      </c>
      <c r="L139" s="224" t="s">
        <v>51</v>
      </c>
      <c r="M139" s="224" t="s">
        <v>22</v>
      </c>
      <c r="N139" s="224" t="s">
        <v>21</v>
      </c>
      <c r="O139" s="241" t="s">
        <v>816</v>
      </c>
      <c r="P139" s="224" t="s">
        <v>23</v>
      </c>
      <c r="Q139" s="224" t="s">
        <v>952</v>
      </c>
      <c r="R139" s="224" t="s">
        <v>51</v>
      </c>
      <c r="S139" s="225"/>
      <c r="T139" s="226" t="s">
        <v>484</v>
      </c>
      <c r="U139" s="225" t="s">
        <v>55</v>
      </c>
      <c r="V139" s="225" t="s">
        <v>953</v>
      </c>
      <c r="W139" s="225" t="s">
        <v>954</v>
      </c>
      <c r="X139" s="224" t="s">
        <v>486</v>
      </c>
      <c r="Y139" s="227">
        <v>200061812481</v>
      </c>
      <c r="Z139" s="225" t="s">
        <v>955</v>
      </c>
      <c r="AA139" s="228" t="s">
        <v>2007</v>
      </c>
      <c r="AB139" s="225" t="s">
        <v>488</v>
      </c>
      <c r="AC139" s="229" t="s">
        <v>489</v>
      </c>
      <c r="AD139" s="229" t="s">
        <v>490</v>
      </c>
      <c r="AE139" s="225" t="s">
        <v>491</v>
      </c>
      <c r="AF139" s="225" t="s">
        <v>492</v>
      </c>
      <c r="AG139" s="225" t="s">
        <v>493</v>
      </c>
      <c r="AH139" s="225" t="s">
        <v>494</v>
      </c>
      <c r="AI139" s="225" t="s">
        <v>495</v>
      </c>
    </row>
    <row r="140" spans="1:35" ht="72" x14ac:dyDescent="0.3">
      <c r="A140" s="131">
        <v>139</v>
      </c>
      <c r="B140" s="161" t="str">
        <f t="shared" ref="B140" si="33">C140</f>
        <v>N</v>
      </c>
      <c r="C140" s="161" t="s">
        <v>113</v>
      </c>
      <c r="D140" s="162" t="s">
        <v>1219</v>
      </c>
      <c r="E140" s="180" t="s">
        <v>1220</v>
      </c>
      <c r="F140" s="178" t="s">
        <v>1221</v>
      </c>
      <c r="G140" s="161" t="s">
        <v>1222</v>
      </c>
      <c r="H140" s="172">
        <v>403</v>
      </c>
      <c r="I140" s="183"/>
      <c r="J140" s="224" t="s">
        <v>50</v>
      </c>
      <c r="K140" s="224" t="s">
        <v>482</v>
      </c>
      <c r="L140" s="224" t="s">
        <v>51</v>
      </c>
      <c r="M140" s="224" t="s">
        <v>22</v>
      </c>
      <c r="N140" s="224" t="s">
        <v>21</v>
      </c>
      <c r="O140" s="242" t="s">
        <v>1372</v>
      </c>
      <c r="P140" s="224" t="s">
        <v>23</v>
      </c>
      <c r="Q140" s="224" t="s">
        <v>952</v>
      </c>
      <c r="R140" s="224" t="s">
        <v>51</v>
      </c>
      <c r="S140" s="225"/>
      <c r="T140" s="226" t="s">
        <v>484</v>
      </c>
      <c r="U140" s="225" t="s">
        <v>55</v>
      </c>
      <c r="V140" s="225" t="s">
        <v>953</v>
      </c>
      <c r="W140" s="225" t="s">
        <v>954</v>
      </c>
      <c r="X140" s="224" t="s">
        <v>486</v>
      </c>
      <c r="Y140" s="227">
        <v>200061812481</v>
      </c>
      <c r="Z140" s="225" t="s">
        <v>955</v>
      </c>
      <c r="AA140" s="228" t="s">
        <v>2007</v>
      </c>
      <c r="AB140" s="225" t="s">
        <v>488</v>
      </c>
      <c r="AC140" s="229" t="s">
        <v>489</v>
      </c>
      <c r="AD140" s="229" t="s">
        <v>490</v>
      </c>
      <c r="AE140" s="225" t="s">
        <v>491</v>
      </c>
      <c r="AF140" s="225" t="s">
        <v>492</v>
      </c>
      <c r="AG140" s="225" t="s">
        <v>493</v>
      </c>
      <c r="AH140" s="225" t="s">
        <v>494</v>
      </c>
      <c r="AI140" s="225" t="s">
        <v>495</v>
      </c>
    </row>
    <row r="141" spans="1:35" ht="72" x14ac:dyDescent="0.3">
      <c r="A141" s="131">
        <v>140</v>
      </c>
      <c r="B141" s="161" t="str">
        <f t="shared" si="32"/>
        <v>N</v>
      </c>
      <c r="C141" s="161" t="s">
        <v>113</v>
      </c>
      <c r="D141" s="162" t="s">
        <v>1223</v>
      </c>
      <c r="E141" s="180" t="s">
        <v>1224</v>
      </c>
      <c r="F141" s="178" t="s">
        <v>1225</v>
      </c>
      <c r="G141" s="161" t="s">
        <v>1226</v>
      </c>
      <c r="H141" s="183">
        <v>200</v>
      </c>
      <c r="I141" s="183"/>
      <c r="J141" s="161" t="s">
        <v>50</v>
      </c>
      <c r="K141" s="178" t="s">
        <v>482</v>
      </c>
      <c r="L141" s="178" t="s">
        <v>51</v>
      </c>
      <c r="M141" s="178" t="s">
        <v>22</v>
      </c>
      <c r="N141" s="178" t="s">
        <v>21</v>
      </c>
      <c r="O141" s="213" t="s">
        <v>816</v>
      </c>
      <c r="P141" s="178" t="s">
        <v>23</v>
      </c>
      <c r="Q141" s="178" t="s">
        <v>952</v>
      </c>
      <c r="R141" s="178" t="s">
        <v>51</v>
      </c>
      <c r="S141" s="178" t="s">
        <v>1227</v>
      </c>
      <c r="T141" s="213" t="s">
        <v>484</v>
      </c>
      <c r="U141" s="178" t="s">
        <v>55</v>
      </c>
      <c r="V141" s="178" t="s">
        <v>953</v>
      </c>
      <c r="W141" s="178" t="s">
        <v>954</v>
      </c>
      <c r="X141" s="178" t="s">
        <v>486</v>
      </c>
      <c r="Y141" s="214">
        <v>200061812481</v>
      </c>
      <c r="Z141" s="178" t="s">
        <v>955</v>
      </c>
      <c r="AA141" s="183">
        <v>1</v>
      </c>
      <c r="AB141" s="178" t="s">
        <v>488</v>
      </c>
      <c r="AC141" s="215" t="s">
        <v>489</v>
      </c>
      <c r="AD141" s="215" t="s">
        <v>490</v>
      </c>
      <c r="AE141" s="178" t="s">
        <v>491</v>
      </c>
      <c r="AF141" s="178" t="s">
        <v>492</v>
      </c>
      <c r="AG141" s="178" t="s">
        <v>493</v>
      </c>
      <c r="AH141" s="178" t="s">
        <v>494</v>
      </c>
      <c r="AI141" s="178" t="s">
        <v>495</v>
      </c>
    </row>
    <row r="142" spans="1:35" ht="72" x14ac:dyDescent="0.3">
      <c r="A142" s="131">
        <v>141</v>
      </c>
      <c r="B142" s="79" t="str">
        <f t="shared" ref="B142" si="34">C142</f>
        <v>Y</v>
      </c>
      <c r="C142" s="79" t="s">
        <v>45</v>
      </c>
      <c r="D142" s="76" t="s">
        <v>2170</v>
      </c>
      <c r="E142" s="82" t="s">
        <v>2174</v>
      </c>
      <c r="F142" s="13" t="s">
        <v>759</v>
      </c>
      <c r="G142" s="79" t="s">
        <v>1228</v>
      </c>
      <c r="H142" s="168">
        <v>200</v>
      </c>
      <c r="I142" s="21"/>
      <c r="J142" s="102" t="s">
        <v>50</v>
      </c>
      <c r="K142" s="102" t="s">
        <v>482</v>
      </c>
      <c r="L142" s="102" t="s">
        <v>51</v>
      </c>
      <c r="M142" s="102" t="s">
        <v>22</v>
      </c>
      <c r="N142" s="102" t="s">
        <v>21</v>
      </c>
      <c r="O142" s="125" t="s">
        <v>816</v>
      </c>
      <c r="P142" s="102" t="s">
        <v>23</v>
      </c>
      <c r="Q142" s="102" t="s">
        <v>952</v>
      </c>
      <c r="R142" s="102" t="s">
        <v>51</v>
      </c>
      <c r="S142" s="34"/>
      <c r="T142" s="44" t="s">
        <v>484</v>
      </c>
      <c r="U142" s="34" t="s">
        <v>55</v>
      </c>
      <c r="V142" s="34" t="s">
        <v>953</v>
      </c>
      <c r="W142" s="34" t="s">
        <v>954</v>
      </c>
      <c r="X142" s="102" t="s">
        <v>486</v>
      </c>
      <c r="Y142" s="128">
        <v>200061812481</v>
      </c>
      <c r="Z142" s="34" t="s">
        <v>955</v>
      </c>
      <c r="AA142" s="212" t="s">
        <v>2007</v>
      </c>
      <c r="AB142" s="34" t="s">
        <v>488</v>
      </c>
      <c r="AC142" s="46" t="s">
        <v>489</v>
      </c>
      <c r="AD142" s="46" t="s">
        <v>490</v>
      </c>
      <c r="AE142" s="34" t="s">
        <v>491</v>
      </c>
      <c r="AF142" s="34" t="s">
        <v>492</v>
      </c>
      <c r="AG142" s="34" t="s">
        <v>493</v>
      </c>
      <c r="AH142" s="34" t="s">
        <v>494</v>
      </c>
      <c r="AI142" s="34" t="s">
        <v>495</v>
      </c>
    </row>
    <row r="143" spans="1:35" ht="72" x14ac:dyDescent="0.3">
      <c r="A143" s="131">
        <v>142</v>
      </c>
      <c r="B143" s="79" t="str">
        <f t="shared" ref="B143:B145" si="35">C143</f>
        <v>Y</v>
      </c>
      <c r="C143" s="79" t="s">
        <v>45</v>
      </c>
      <c r="D143" s="76" t="s">
        <v>2171</v>
      </c>
      <c r="E143" s="82" t="s">
        <v>2175</v>
      </c>
      <c r="F143" s="13" t="s">
        <v>759</v>
      </c>
      <c r="G143" s="79" t="s">
        <v>1228</v>
      </c>
      <c r="H143" s="168">
        <v>200</v>
      </c>
      <c r="I143" s="21"/>
      <c r="J143" s="102" t="s">
        <v>50</v>
      </c>
      <c r="K143" s="102" t="s">
        <v>482</v>
      </c>
      <c r="L143" s="102" t="s">
        <v>51</v>
      </c>
      <c r="M143" s="102" t="s">
        <v>22</v>
      </c>
      <c r="N143" s="102" t="s">
        <v>21</v>
      </c>
      <c r="O143" s="125" t="s">
        <v>816</v>
      </c>
      <c r="P143" s="102" t="s">
        <v>23</v>
      </c>
      <c r="Q143" s="102" t="s">
        <v>952</v>
      </c>
      <c r="R143" s="102" t="s">
        <v>51</v>
      </c>
      <c r="S143" s="34"/>
      <c r="T143" s="44" t="s">
        <v>484</v>
      </c>
      <c r="U143" s="34" t="s">
        <v>55</v>
      </c>
      <c r="V143" s="34" t="s">
        <v>953</v>
      </c>
      <c r="W143" s="34" t="s">
        <v>954</v>
      </c>
      <c r="X143" s="102" t="s">
        <v>517</v>
      </c>
      <c r="Y143" s="211" t="s">
        <v>1998</v>
      </c>
      <c r="Z143" s="34" t="s">
        <v>955</v>
      </c>
      <c r="AA143" s="212" t="s">
        <v>2008</v>
      </c>
      <c r="AB143" s="34" t="s">
        <v>488</v>
      </c>
      <c r="AC143" s="46" t="s">
        <v>489</v>
      </c>
      <c r="AD143" s="46" t="s">
        <v>490</v>
      </c>
      <c r="AE143" s="34" t="s">
        <v>491</v>
      </c>
      <c r="AF143" s="34" t="s">
        <v>492</v>
      </c>
      <c r="AG143" s="34" t="s">
        <v>493</v>
      </c>
      <c r="AH143" s="34" t="s">
        <v>494</v>
      </c>
      <c r="AI143" s="34" t="s">
        <v>495</v>
      </c>
    </row>
    <row r="144" spans="1:35" ht="72" x14ac:dyDescent="0.3">
      <c r="A144" s="131">
        <v>143</v>
      </c>
      <c r="B144" s="79" t="str">
        <f t="shared" si="35"/>
        <v>Y</v>
      </c>
      <c r="C144" s="79" t="s">
        <v>45</v>
      </c>
      <c r="D144" s="76" t="s">
        <v>2172</v>
      </c>
      <c r="E144" s="82" t="s">
        <v>2176</v>
      </c>
      <c r="F144" s="13" t="s">
        <v>759</v>
      </c>
      <c r="G144" s="79" t="s">
        <v>1228</v>
      </c>
      <c r="H144" s="168">
        <v>200</v>
      </c>
      <c r="I144" s="21"/>
      <c r="J144" s="102" t="s">
        <v>50</v>
      </c>
      <c r="K144" s="102" t="s">
        <v>482</v>
      </c>
      <c r="L144" s="102" t="s">
        <v>51</v>
      </c>
      <c r="M144" s="102" t="s">
        <v>22</v>
      </c>
      <c r="N144" s="102" t="s">
        <v>21</v>
      </c>
      <c r="O144" s="125" t="s">
        <v>816</v>
      </c>
      <c r="P144" s="102" t="s">
        <v>23</v>
      </c>
      <c r="Q144" s="102" t="s">
        <v>952</v>
      </c>
      <c r="R144" s="102" t="s">
        <v>51</v>
      </c>
      <c r="S144" s="34"/>
      <c r="T144" s="44" t="s">
        <v>520</v>
      </c>
      <c r="U144" s="34" t="s">
        <v>55</v>
      </c>
      <c r="V144" s="34" t="s">
        <v>953</v>
      </c>
      <c r="W144" s="34" t="s">
        <v>954</v>
      </c>
      <c r="X144" s="102" t="s">
        <v>1154</v>
      </c>
      <c r="Y144" s="211" t="s">
        <v>1155</v>
      </c>
      <c r="Z144" s="34" t="s">
        <v>955</v>
      </c>
      <c r="AA144" s="212" t="s">
        <v>2009</v>
      </c>
      <c r="AB144" s="34" t="s">
        <v>488</v>
      </c>
      <c r="AC144" s="46" t="s">
        <v>489</v>
      </c>
      <c r="AD144" s="46" t="s">
        <v>490</v>
      </c>
      <c r="AE144" s="34" t="s">
        <v>491</v>
      </c>
      <c r="AF144" s="34" t="s">
        <v>492</v>
      </c>
      <c r="AG144" s="34" t="s">
        <v>493</v>
      </c>
      <c r="AH144" s="34" t="s">
        <v>494</v>
      </c>
      <c r="AI144" s="34" t="s">
        <v>495</v>
      </c>
    </row>
    <row r="145" spans="1:35" ht="72" x14ac:dyDescent="0.3">
      <c r="A145" s="131">
        <v>144</v>
      </c>
      <c r="B145" s="79" t="str">
        <f t="shared" si="35"/>
        <v>Y</v>
      </c>
      <c r="C145" s="79" t="s">
        <v>45</v>
      </c>
      <c r="D145" s="76" t="s">
        <v>2173</v>
      </c>
      <c r="E145" s="82" t="s">
        <v>2177</v>
      </c>
      <c r="F145" s="13" t="s">
        <v>759</v>
      </c>
      <c r="G145" s="79" t="s">
        <v>1228</v>
      </c>
      <c r="H145" s="168">
        <v>200</v>
      </c>
      <c r="I145" s="21"/>
      <c r="J145" s="102" t="s">
        <v>50</v>
      </c>
      <c r="K145" s="102" t="s">
        <v>482</v>
      </c>
      <c r="L145" s="102" t="s">
        <v>51</v>
      </c>
      <c r="M145" s="102" t="s">
        <v>22</v>
      </c>
      <c r="N145" s="102" t="s">
        <v>21</v>
      </c>
      <c r="O145" s="125" t="s">
        <v>816</v>
      </c>
      <c r="P145" s="102" t="s">
        <v>23</v>
      </c>
      <c r="Q145" s="102" t="s">
        <v>952</v>
      </c>
      <c r="R145" s="102" t="s">
        <v>51</v>
      </c>
      <c r="S145" s="34"/>
      <c r="T145" s="44" t="s">
        <v>171</v>
      </c>
      <c r="U145" s="34" t="s">
        <v>55</v>
      </c>
      <c r="V145" s="34" t="s">
        <v>953</v>
      </c>
      <c r="W145" s="34" t="s">
        <v>954</v>
      </c>
      <c r="X145" s="102" t="s">
        <v>964</v>
      </c>
      <c r="Y145" s="211" t="s">
        <v>1159</v>
      </c>
      <c r="Z145" s="34" t="s">
        <v>955</v>
      </c>
      <c r="AA145" s="212" t="s">
        <v>2010</v>
      </c>
      <c r="AB145" s="34" t="s">
        <v>488</v>
      </c>
      <c r="AC145" s="46" t="s">
        <v>489</v>
      </c>
      <c r="AD145" s="46" t="s">
        <v>490</v>
      </c>
      <c r="AE145" s="34" t="s">
        <v>491</v>
      </c>
      <c r="AF145" s="34" t="s">
        <v>492</v>
      </c>
      <c r="AG145" s="34" t="s">
        <v>493</v>
      </c>
      <c r="AH145" s="34" t="s">
        <v>494</v>
      </c>
      <c r="AI145" s="34" t="s">
        <v>495</v>
      </c>
    </row>
    <row r="146" spans="1:35" ht="72" x14ac:dyDescent="0.3">
      <c r="A146" s="131">
        <v>145</v>
      </c>
      <c r="B146" s="161" t="str">
        <f t="shared" ref="B146" si="36">C146</f>
        <v>N</v>
      </c>
      <c r="C146" s="161" t="s">
        <v>113</v>
      </c>
      <c r="D146" s="162" t="s">
        <v>1229</v>
      </c>
      <c r="E146" s="180" t="s">
        <v>2182</v>
      </c>
      <c r="F146" s="178" t="s">
        <v>1230</v>
      </c>
      <c r="G146" s="161" t="s">
        <v>1231</v>
      </c>
      <c r="H146" s="172">
        <v>400</v>
      </c>
      <c r="I146" s="183"/>
      <c r="J146" s="224" t="s">
        <v>50</v>
      </c>
      <c r="K146" s="224" t="s">
        <v>482</v>
      </c>
      <c r="L146" s="224" t="s">
        <v>51</v>
      </c>
      <c r="M146" s="224" t="s">
        <v>22</v>
      </c>
      <c r="N146" s="224" t="s">
        <v>21</v>
      </c>
      <c r="O146" s="241" t="s">
        <v>816</v>
      </c>
      <c r="P146" s="224" t="s">
        <v>23</v>
      </c>
      <c r="Q146" s="224" t="s">
        <v>952</v>
      </c>
      <c r="R146" s="224" t="s">
        <v>51</v>
      </c>
      <c r="S146" s="225" t="s">
        <v>2183</v>
      </c>
      <c r="T146" s="226" t="s">
        <v>484</v>
      </c>
      <c r="U146" s="225" t="s">
        <v>55</v>
      </c>
      <c r="V146" s="243" t="s">
        <v>1232</v>
      </c>
      <c r="W146" s="225" t="s">
        <v>954</v>
      </c>
      <c r="X146" s="224" t="s">
        <v>486</v>
      </c>
      <c r="Y146" s="227">
        <v>200061812481</v>
      </c>
      <c r="Z146" s="225" t="s">
        <v>955</v>
      </c>
      <c r="AA146" s="228" t="s">
        <v>2007</v>
      </c>
      <c r="AB146" s="225" t="s">
        <v>488</v>
      </c>
      <c r="AC146" s="229" t="s">
        <v>489</v>
      </c>
      <c r="AD146" s="229" t="s">
        <v>490</v>
      </c>
      <c r="AE146" s="225" t="s">
        <v>491</v>
      </c>
      <c r="AF146" s="225" t="s">
        <v>492</v>
      </c>
      <c r="AG146" s="225" t="s">
        <v>493</v>
      </c>
      <c r="AH146" s="225" t="s">
        <v>494</v>
      </c>
      <c r="AI146" s="225" t="s">
        <v>495</v>
      </c>
    </row>
    <row r="147" spans="1:35" ht="72" x14ac:dyDescent="0.3">
      <c r="A147" s="131">
        <v>146</v>
      </c>
      <c r="B147" s="161" t="str">
        <f t="shared" ref="B147:B149" si="37">C147</f>
        <v>N</v>
      </c>
      <c r="C147" s="161" t="s">
        <v>113</v>
      </c>
      <c r="D147" s="162" t="s">
        <v>1364</v>
      </c>
      <c r="E147" s="180" t="s">
        <v>1365</v>
      </c>
      <c r="F147" s="178" t="s">
        <v>1230</v>
      </c>
      <c r="G147" s="161" t="s">
        <v>1231</v>
      </c>
      <c r="H147" s="172">
        <v>400</v>
      </c>
      <c r="I147" s="183"/>
      <c r="J147" s="224" t="s">
        <v>50</v>
      </c>
      <c r="K147" s="224" t="s">
        <v>482</v>
      </c>
      <c r="L147" s="224" t="s">
        <v>51</v>
      </c>
      <c r="M147" s="224" t="s">
        <v>22</v>
      </c>
      <c r="N147" s="224" t="s">
        <v>21</v>
      </c>
      <c r="O147" s="241" t="s">
        <v>816</v>
      </c>
      <c r="P147" s="224" t="s">
        <v>23</v>
      </c>
      <c r="Q147" s="224" t="s">
        <v>952</v>
      </c>
      <c r="R147" s="224" t="s">
        <v>51</v>
      </c>
      <c r="S147" s="225" t="s">
        <v>2183</v>
      </c>
      <c r="T147" s="226" t="s">
        <v>484</v>
      </c>
      <c r="U147" s="225" t="s">
        <v>55</v>
      </c>
      <c r="V147" s="243" t="s">
        <v>1232</v>
      </c>
      <c r="W147" s="225" t="s">
        <v>954</v>
      </c>
      <c r="X147" s="224" t="s">
        <v>517</v>
      </c>
      <c r="Y147" s="230" t="s">
        <v>1998</v>
      </c>
      <c r="Z147" s="225" t="s">
        <v>955</v>
      </c>
      <c r="AA147" s="228" t="s">
        <v>2008</v>
      </c>
      <c r="AB147" s="225" t="s">
        <v>488</v>
      </c>
      <c r="AC147" s="229" t="s">
        <v>489</v>
      </c>
      <c r="AD147" s="229" t="s">
        <v>490</v>
      </c>
      <c r="AE147" s="225" t="s">
        <v>491</v>
      </c>
      <c r="AF147" s="225" t="s">
        <v>492</v>
      </c>
      <c r="AG147" s="225" t="s">
        <v>493</v>
      </c>
      <c r="AH147" s="225" t="s">
        <v>494</v>
      </c>
      <c r="AI147" s="225" t="s">
        <v>495</v>
      </c>
    </row>
    <row r="148" spans="1:35" ht="72" x14ac:dyDescent="0.3">
      <c r="A148" s="131">
        <v>147</v>
      </c>
      <c r="B148" s="161" t="str">
        <f t="shared" si="37"/>
        <v>N</v>
      </c>
      <c r="C148" s="161" t="s">
        <v>113</v>
      </c>
      <c r="D148" s="162" t="s">
        <v>1366</v>
      </c>
      <c r="E148" s="180" t="s">
        <v>1367</v>
      </c>
      <c r="F148" s="178" t="s">
        <v>1230</v>
      </c>
      <c r="G148" s="161" t="s">
        <v>1231</v>
      </c>
      <c r="H148" s="172">
        <v>400</v>
      </c>
      <c r="I148" s="183"/>
      <c r="J148" s="224" t="s">
        <v>50</v>
      </c>
      <c r="K148" s="224" t="s">
        <v>482</v>
      </c>
      <c r="L148" s="224" t="s">
        <v>51</v>
      </c>
      <c r="M148" s="224" t="s">
        <v>22</v>
      </c>
      <c r="N148" s="224" t="s">
        <v>21</v>
      </c>
      <c r="O148" s="241" t="s">
        <v>816</v>
      </c>
      <c r="P148" s="224" t="s">
        <v>23</v>
      </c>
      <c r="Q148" s="224" t="s">
        <v>952</v>
      </c>
      <c r="R148" s="224" t="s">
        <v>51</v>
      </c>
      <c r="S148" s="225" t="s">
        <v>2183</v>
      </c>
      <c r="T148" s="226" t="s">
        <v>520</v>
      </c>
      <c r="U148" s="225" t="s">
        <v>55</v>
      </c>
      <c r="V148" s="243" t="s">
        <v>1232</v>
      </c>
      <c r="W148" s="225" t="s">
        <v>954</v>
      </c>
      <c r="X148" s="224" t="s">
        <v>1154</v>
      </c>
      <c r="Y148" s="230" t="s">
        <v>1155</v>
      </c>
      <c r="Z148" s="225" t="s">
        <v>955</v>
      </c>
      <c r="AA148" s="228" t="s">
        <v>2009</v>
      </c>
      <c r="AB148" s="225" t="s">
        <v>488</v>
      </c>
      <c r="AC148" s="229" t="s">
        <v>489</v>
      </c>
      <c r="AD148" s="229" t="s">
        <v>490</v>
      </c>
      <c r="AE148" s="225" t="s">
        <v>491</v>
      </c>
      <c r="AF148" s="225" t="s">
        <v>492</v>
      </c>
      <c r="AG148" s="225" t="s">
        <v>493</v>
      </c>
      <c r="AH148" s="225" t="s">
        <v>494</v>
      </c>
      <c r="AI148" s="225" t="s">
        <v>495</v>
      </c>
    </row>
    <row r="149" spans="1:35" ht="72" x14ac:dyDescent="0.3">
      <c r="A149" s="131">
        <v>148</v>
      </c>
      <c r="B149" s="161" t="str">
        <f t="shared" si="37"/>
        <v>N</v>
      </c>
      <c r="C149" s="161" t="s">
        <v>113</v>
      </c>
      <c r="D149" s="162" t="s">
        <v>1368</v>
      </c>
      <c r="E149" s="180" t="s">
        <v>1369</v>
      </c>
      <c r="F149" s="178" t="s">
        <v>1230</v>
      </c>
      <c r="G149" s="161" t="s">
        <v>1231</v>
      </c>
      <c r="H149" s="172">
        <v>400</v>
      </c>
      <c r="I149" s="183"/>
      <c r="J149" s="224" t="s">
        <v>50</v>
      </c>
      <c r="K149" s="224" t="s">
        <v>482</v>
      </c>
      <c r="L149" s="224" t="s">
        <v>51</v>
      </c>
      <c r="M149" s="224" t="s">
        <v>22</v>
      </c>
      <c r="N149" s="224" t="s">
        <v>21</v>
      </c>
      <c r="O149" s="241" t="s">
        <v>816</v>
      </c>
      <c r="P149" s="224" t="s">
        <v>23</v>
      </c>
      <c r="Q149" s="224" t="s">
        <v>952</v>
      </c>
      <c r="R149" s="224" t="s">
        <v>51</v>
      </c>
      <c r="S149" s="225" t="s">
        <v>2183</v>
      </c>
      <c r="T149" s="226" t="s">
        <v>171</v>
      </c>
      <c r="U149" s="225" t="s">
        <v>55</v>
      </c>
      <c r="V149" s="243" t="s">
        <v>1232</v>
      </c>
      <c r="W149" s="225" t="s">
        <v>954</v>
      </c>
      <c r="X149" s="224" t="s">
        <v>964</v>
      </c>
      <c r="Y149" s="230" t="s">
        <v>1159</v>
      </c>
      <c r="Z149" s="225" t="s">
        <v>955</v>
      </c>
      <c r="AA149" s="228" t="s">
        <v>2010</v>
      </c>
      <c r="AB149" s="225" t="s">
        <v>488</v>
      </c>
      <c r="AC149" s="229" t="s">
        <v>489</v>
      </c>
      <c r="AD149" s="229" t="s">
        <v>490</v>
      </c>
      <c r="AE149" s="225" t="s">
        <v>491</v>
      </c>
      <c r="AF149" s="225" t="s">
        <v>492</v>
      </c>
      <c r="AG149" s="225" t="s">
        <v>493</v>
      </c>
      <c r="AH149" s="225" t="s">
        <v>494</v>
      </c>
      <c r="AI149" s="225" t="s">
        <v>495</v>
      </c>
    </row>
    <row r="150" spans="1:35" ht="43.2" x14ac:dyDescent="0.3">
      <c r="A150" s="131">
        <v>149</v>
      </c>
      <c r="B150" s="79" t="str">
        <f t="shared" ref="B150:B156" si="38">C150</f>
        <v>Y</v>
      </c>
      <c r="C150" s="79" t="s">
        <v>45</v>
      </c>
      <c r="D150" s="166" t="s">
        <v>2178</v>
      </c>
      <c r="E150" s="82" t="s">
        <v>2180</v>
      </c>
      <c r="F150" s="13" t="s">
        <v>720</v>
      </c>
      <c r="G150" s="79" t="s">
        <v>721</v>
      </c>
      <c r="H150" s="168">
        <v>200</v>
      </c>
      <c r="I150" s="21"/>
      <c r="J150" s="102" t="s">
        <v>50</v>
      </c>
      <c r="K150" s="102" t="s">
        <v>482</v>
      </c>
      <c r="L150" s="102" t="s">
        <v>51</v>
      </c>
      <c r="M150" s="102" t="s">
        <v>22</v>
      </c>
      <c r="N150" s="102" t="s">
        <v>21</v>
      </c>
      <c r="O150" s="125" t="s">
        <v>816</v>
      </c>
      <c r="P150" s="102" t="s">
        <v>23</v>
      </c>
      <c r="Q150" s="102" t="s">
        <v>952</v>
      </c>
      <c r="R150" s="102" t="s">
        <v>51</v>
      </c>
      <c r="S150" s="13"/>
      <c r="T150" s="44" t="s">
        <v>484</v>
      </c>
      <c r="U150" s="34" t="s">
        <v>55</v>
      </c>
      <c r="V150" s="13" t="s">
        <v>953</v>
      </c>
      <c r="W150" s="34" t="s">
        <v>954</v>
      </c>
      <c r="X150" s="102" t="s">
        <v>486</v>
      </c>
      <c r="Y150" s="128">
        <v>200061812481</v>
      </c>
      <c r="Z150" s="34" t="s">
        <v>955</v>
      </c>
      <c r="AA150" s="212" t="s">
        <v>2007</v>
      </c>
      <c r="AB150" s="34" t="s">
        <v>488</v>
      </c>
      <c r="AC150" s="46" t="s">
        <v>489</v>
      </c>
      <c r="AD150" s="46" t="s">
        <v>490</v>
      </c>
      <c r="AE150" s="34" t="s">
        <v>491</v>
      </c>
      <c r="AF150" s="34" t="s">
        <v>492</v>
      </c>
      <c r="AG150" s="34" t="s">
        <v>493</v>
      </c>
      <c r="AH150" s="34" t="s">
        <v>494</v>
      </c>
      <c r="AI150" s="34" t="s">
        <v>495</v>
      </c>
    </row>
    <row r="151" spans="1:35" ht="43.2" x14ac:dyDescent="0.3">
      <c r="A151" s="131">
        <v>150</v>
      </c>
      <c r="B151" s="79" t="str">
        <f t="shared" si="38"/>
        <v>Y</v>
      </c>
      <c r="C151" s="79" t="s">
        <v>45</v>
      </c>
      <c r="D151" s="166" t="s">
        <v>2179</v>
      </c>
      <c r="E151" s="82" t="s">
        <v>2181</v>
      </c>
      <c r="F151" s="13" t="s">
        <v>720</v>
      </c>
      <c r="G151" s="79" t="s">
        <v>721</v>
      </c>
      <c r="H151" s="168">
        <v>200</v>
      </c>
      <c r="I151" s="21"/>
      <c r="J151" s="102" t="s">
        <v>50</v>
      </c>
      <c r="K151" s="102" t="s">
        <v>482</v>
      </c>
      <c r="L151" s="102" t="s">
        <v>51</v>
      </c>
      <c r="M151" s="102" t="s">
        <v>22</v>
      </c>
      <c r="N151" s="102" t="s">
        <v>21</v>
      </c>
      <c r="O151" s="125" t="s">
        <v>816</v>
      </c>
      <c r="P151" s="102" t="s">
        <v>23</v>
      </c>
      <c r="Q151" s="102" t="s">
        <v>952</v>
      </c>
      <c r="R151" s="102" t="s">
        <v>51</v>
      </c>
      <c r="S151" s="13"/>
      <c r="T151" s="44" t="s">
        <v>484</v>
      </c>
      <c r="U151" s="34" t="s">
        <v>55</v>
      </c>
      <c r="V151" s="13" t="s">
        <v>953</v>
      </c>
      <c r="W151" s="34" t="s">
        <v>954</v>
      </c>
      <c r="X151" s="102" t="s">
        <v>517</v>
      </c>
      <c r="Y151" s="211" t="s">
        <v>1998</v>
      </c>
      <c r="Z151" s="34" t="s">
        <v>955</v>
      </c>
      <c r="AA151" s="212" t="s">
        <v>2008</v>
      </c>
      <c r="AB151" s="34" t="s">
        <v>488</v>
      </c>
      <c r="AC151" s="46" t="s">
        <v>489</v>
      </c>
      <c r="AD151" s="46" t="s">
        <v>490</v>
      </c>
      <c r="AE151" s="34" t="s">
        <v>491</v>
      </c>
      <c r="AF151" s="34" t="s">
        <v>492</v>
      </c>
      <c r="AG151" s="34" t="s">
        <v>493</v>
      </c>
      <c r="AH151" s="34" t="s">
        <v>494</v>
      </c>
      <c r="AI151" s="34" t="s">
        <v>495</v>
      </c>
    </row>
    <row r="152" spans="1:35" ht="43.2" x14ac:dyDescent="0.3">
      <c r="A152" s="131">
        <v>151</v>
      </c>
      <c r="B152" s="79" t="str">
        <f t="shared" si="38"/>
        <v>Y</v>
      </c>
      <c r="C152" s="79" t="s">
        <v>45</v>
      </c>
      <c r="D152" s="166" t="s">
        <v>1233</v>
      </c>
      <c r="E152" s="82" t="s">
        <v>1234</v>
      </c>
      <c r="F152" s="13" t="s">
        <v>726</v>
      </c>
      <c r="G152" s="79" t="s">
        <v>721</v>
      </c>
      <c r="H152" s="168">
        <v>200</v>
      </c>
      <c r="I152" s="21"/>
      <c r="J152" s="102" t="s">
        <v>50</v>
      </c>
      <c r="K152" s="102" t="s">
        <v>482</v>
      </c>
      <c r="L152" s="102" t="s">
        <v>51</v>
      </c>
      <c r="M152" s="102" t="s">
        <v>22</v>
      </c>
      <c r="N152" s="102" t="s">
        <v>21</v>
      </c>
      <c r="O152" s="125" t="s">
        <v>816</v>
      </c>
      <c r="P152" s="102" t="s">
        <v>23</v>
      </c>
      <c r="Q152" s="102" t="s">
        <v>952</v>
      </c>
      <c r="R152" s="102" t="s">
        <v>51</v>
      </c>
      <c r="S152" s="13"/>
      <c r="T152" s="44" t="s">
        <v>520</v>
      </c>
      <c r="U152" s="34" t="s">
        <v>55</v>
      </c>
      <c r="V152" s="13" t="s">
        <v>953</v>
      </c>
      <c r="W152" s="34" t="s">
        <v>954</v>
      </c>
      <c r="X152" s="102" t="s">
        <v>1154</v>
      </c>
      <c r="Y152" s="211" t="s">
        <v>1155</v>
      </c>
      <c r="Z152" s="34" t="s">
        <v>955</v>
      </c>
      <c r="AA152" s="212" t="s">
        <v>2009</v>
      </c>
      <c r="AB152" s="34" t="s">
        <v>488</v>
      </c>
      <c r="AC152" s="46" t="s">
        <v>489</v>
      </c>
      <c r="AD152" s="46" t="s">
        <v>490</v>
      </c>
      <c r="AE152" s="34" t="s">
        <v>491</v>
      </c>
      <c r="AF152" s="34" t="s">
        <v>492</v>
      </c>
      <c r="AG152" s="34" t="s">
        <v>493</v>
      </c>
      <c r="AH152" s="34" t="s">
        <v>494</v>
      </c>
      <c r="AI152" s="34" t="s">
        <v>495</v>
      </c>
    </row>
    <row r="153" spans="1:35" ht="43.2" x14ac:dyDescent="0.3">
      <c r="A153" s="131">
        <v>152</v>
      </c>
      <c r="B153" s="79" t="str">
        <f t="shared" si="38"/>
        <v>Y</v>
      </c>
      <c r="C153" s="79" t="s">
        <v>45</v>
      </c>
      <c r="D153" s="166" t="s">
        <v>1235</v>
      </c>
      <c r="E153" s="82" t="s">
        <v>1236</v>
      </c>
      <c r="F153" s="13" t="s">
        <v>729</v>
      </c>
      <c r="G153" s="79" t="s">
        <v>721</v>
      </c>
      <c r="H153" s="168">
        <v>200</v>
      </c>
      <c r="I153" s="21"/>
      <c r="J153" s="102" t="s">
        <v>50</v>
      </c>
      <c r="K153" s="102" t="s">
        <v>482</v>
      </c>
      <c r="L153" s="102" t="s">
        <v>51</v>
      </c>
      <c r="M153" s="102" t="s">
        <v>22</v>
      </c>
      <c r="N153" s="102" t="s">
        <v>21</v>
      </c>
      <c r="O153" s="125" t="s">
        <v>816</v>
      </c>
      <c r="P153" s="102" t="s">
        <v>23</v>
      </c>
      <c r="Q153" s="102" t="s">
        <v>952</v>
      </c>
      <c r="R153" s="102" t="s">
        <v>51</v>
      </c>
      <c r="S153" s="13"/>
      <c r="T153" s="44" t="s">
        <v>171</v>
      </c>
      <c r="U153" s="34" t="s">
        <v>55</v>
      </c>
      <c r="V153" s="13" t="s">
        <v>953</v>
      </c>
      <c r="W153" s="34" t="s">
        <v>954</v>
      </c>
      <c r="X153" s="102" t="s">
        <v>964</v>
      </c>
      <c r="Y153" s="211" t="s">
        <v>1159</v>
      </c>
      <c r="Z153" s="34" t="s">
        <v>955</v>
      </c>
      <c r="AA153" s="212" t="s">
        <v>2010</v>
      </c>
      <c r="AB153" s="34" t="s">
        <v>488</v>
      </c>
      <c r="AC153" s="46" t="s">
        <v>489</v>
      </c>
      <c r="AD153" s="46" t="s">
        <v>490</v>
      </c>
      <c r="AE153" s="34" t="s">
        <v>491</v>
      </c>
      <c r="AF153" s="34" t="s">
        <v>492</v>
      </c>
      <c r="AG153" s="34" t="s">
        <v>493</v>
      </c>
      <c r="AH153" s="34" t="s">
        <v>494</v>
      </c>
      <c r="AI153" s="34" t="s">
        <v>495</v>
      </c>
    </row>
    <row r="154" spans="1:35" ht="43.2" x14ac:dyDescent="0.3">
      <c r="A154" s="131">
        <v>153</v>
      </c>
      <c r="B154" s="79" t="str">
        <f t="shared" si="38"/>
        <v>Y</v>
      </c>
      <c r="C154" s="79" t="s">
        <v>45</v>
      </c>
      <c r="D154" s="166" t="s">
        <v>2184</v>
      </c>
      <c r="E154" s="82" t="s">
        <v>2186</v>
      </c>
      <c r="F154" s="13" t="s">
        <v>720</v>
      </c>
      <c r="G154" s="79" t="s">
        <v>734</v>
      </c>
      <c r="H154" s="168">
        <v>200</v>
      </c>
      <c r="I154" s="21"/>
      <c r="J154" s="102" t="s">
        <v>50</v>
      </c>
      <c r="K154" s="102" t="s">
        <v>482</v>
      </c>
      <c r="L154" s="102" t="s">
        <v>51</v>
      </c>
      <c r="M154" s="102" t="s">
        <v>22</v>
      </c>
      <c r="N154" s="102" t="s">
        <v>21</v>
      </c>
      <c r="O154" s="125" t="s">
        <v>816</v>
      </c>
      <c r="P154" s="102" t="s">
        <v>23</v>
      </c>
      <c r="Q154" s="102" t="s">
        <v>952</v>
      </c>
      <c r="R154" s="102" t="s">
        <v>51</v>
      </c>
      <c r="S154" s="13"/>
      <c r="T154" s="44" t="s">
        <v>484</v>
      </c>
      <c r="U154" s="34" t="s">
        <v>55</v>
      </c>
      <c r="V154" s="13" t="s">
        <v>953</v>
      </c>
      <c r="W154" s="34" t="s">
        <v>954</v>
      </c>
      <c r="X154" s="102" t="s">
        <v>486</v>
      </c>
      <c r="Y154" s="128">
        <v>200061812481</v>
      </c>
      <c r="Z154" s="34" t="s">
        <v>955</v>
      </c>
      <c r="AA154" s="212" t="s">
        <v>2007</v>
      </c>
      <c r="AB154" s="34" t="s">
        <v>488</v>
      </c>
      <c r="AC154" s="46" t="s">
        <v>489</v>
      </c>
      <c r="AD154" s="46" t="s">
        <v>490</v>
      </c>
      <c r="AE154" s="34" t="s">
        <v>491</v>
      </c>
      <c r="AF154" s="34" t="s">
        <v>492</v>
      </c>
      <c r="AG154" s="34" t="s">
        <v>493</v>
      </c>
      <c r="AH154" s="34" t="s">
        <v>494</v>
      </c>
      <c r="AI154" s="34" t="s">
        <v>495</v>
      </c>
    </row>
    <row r="155" spans="1:35" ht="43.2" x14ac:dyDescent="0.3">
      <c r="A155" s="131">
        <v>154</v>
      </c>
      <c r="B155" s="79" t="str">
        <f t="shared" ref="B155" si="39">C155</f>
        <v>Y</v>
      </c>
      <c r="C155" s="79" t="s">
        <v>45</v>
      </c>
      <c r="D155" s="166" t="s">
        <v>2185</v>
      </c>
      <c r="E155" s="82" t="s">
        <v>2187</v>
      </c>
      <c r="F155" s="13" t="s">
        <v>720</v>
      </c>
      <c r="G155" s="79" t="s">
        <v>734</v>
      </c>
      <c r="H155" s="168">
        <v>200</v>
      </c>
      <c r="I155" s="21"/>
      <c r="J155" s="102" t="s">
        <v>50</v>
      </c>
      <c r="K155" s="102" t="s">
        <v>482</v>
      </c>
      <c r="L155" s="102" t="s">
        <v>51</v>
      </c>
      <c r="M155" s="102" t="s">
        <v>22</v>
      </c>
      <c r="N155" s="102" t="s">
        <v>21</v>
      </c>
      <c r="O155" s="125" t="s">
        <v>816</v>
      </c>
      <c r="P155" s="102" t="s">
        <v>23</v>
      </c>
      <c r="Q155" s="102" t="s">
        <v>952</v>
      </c>
      <c r="R155" s="102" t="s">
        <v>51</v>
      </c>
      <c r="S155" s="13"/>
      <c r="T155" s="44" t="s">
        <v>484</v>
      </c>
      <c r="U155" s="34" t="s">
        <v>55</v>
      </c>
      <c r="V155" s="13" t="s">
        <v>953</v>
      </c>
      <c r="W155" s="34" t="s">
        <v>954</v>
      </c>
      <c r="X155" s="102" t="s">
        <v>517</v>
      </c>
      <c r="Y155" s="211" t="s">
        <v>1998</v>
      </c>
      <c r="Z155" s="34" t="s">
        <v>955</v>
      </c>
      <c r="AA155" s="212" t="s">
        <v>2008</v>
      </c>
      <c r="AB155" s="34" t="s">
        <v>488</v>
      </c>
      <c r="AC155" s="46" t="s">
        <v>489</v>
      </c>
      <c r="AD155" s="46" t="s">
        <v>490</v>
      </c>
      <c r="AE155" s="34" t="s">
        <v>491</v>
      </c>
      <c r="AF155" s="34" t="s">
        <v>492</v>
      </c>
      <c r="AG155" s="34" t="s">
        <v>493</v>
      </c>
      <c r="AH155" s="34" t="s">
        <v>494</v>
      </c>
      <c r="AI155" s="34" t="s">
        <v>495</v>
      </c>
    </row>
    <row r="156" spans="1:35" ht="43.2" x14ac:dyDescent="0.3">
      <c r="A156" s="131">
        <v>155</v>
      </c>
      <c r="B156" s="79" t="str">
        <f t="shared" si="38"/>
        <v>Y</v>
      </c>
      <c r="C156" s="79" t="s">
        <v>45</v>
      </c>
      <c r="D156" s="166" t="s">
        <v>1237</v>
      </c>
      <c r="E156" s="82" t="s">
        <v>1238</v>
      </c>
      <c r="F156" s="13" t="s">
        <v>726</v>
      </c>
      <c r="G156" s="79" t="s">
        <v>734</v>
      </c>
      <c r="H156" s="168">
        <v>200</v>
      </c>
      <c r="I156" s="21"/>
      <c r="J156" s="102" t="s">
        <v>50</v>
      </c>
      <c r="K156" s="102" t="s">
        <v>482</v>
      </c>
      <c r="L156" s="102" t="s">
        <v>51</v>
      </c>
      <c r="M156" s="102" t="s">
        <v>22</v>
      </c>
      <c r="N156" s="102" t="s">
        <v>21</v>
      </c>
      <c r="O156" s="125" t="s">
        <v>816</v>
      </c>
      <c r="P156" s="102" t="s">
        <v>23</v>
      </c>
      <c r="Q156" s="102" t="s">
        <v>952</v>
      </c>
      <c r="R156" s="102" t="s">
        <v>51</v>
      </c>
      <c r="S156" s="13"/>
      <c r="T156" s="44" t="s">
        <v>520</v>
      </c>
      <c r="U156" s="34" t="s">
        <v>55</v>
      </c>
      <c r="V156" s="13" t="s">
        <v>953</v>
      </c>
      <c r="W156" s="34" t="s">
        <v>954</v>
      </c>
      <c r="X156" s="102" t="s">
        <v>1154</v>
      </c>
      <c r="Y156" s="211" t="s">
        <v>1155</v>
      </c>
      <c r="Z156" s="34" t="s">
        <v>955</v>
      </c>
      <c r="AA156" s="212" t="s">
        <v>2009</v>
      </c>
      <c r="AB156" s="34" t="s">
        <v>488</v>
      </c>
      <c r="AC156" s="46" t="s">
        <v>489</v>
      </c>
      <c r="AD156" s="46" t="s">
        <v>490</v>
      </c>
      <c r="AE156" s="34" t="s">
        <v>491</v>
      </c>
      <c r="AF156" s="34" t="s">
        <v>492</v>
      </c>
      <c r="AG156" s="34" t="s">
        <v>493</v>
      </c>
      <c r="AH156" s="34" t="s">
        <v>494</v>
      </c>
      <c r="AI156" s="34" t="s">
        <v>495</v>
      </c>
    </row>
    <row r="157" spans="1:35" ht="43.2" x14ac:dyDescent="0.3">
      <c r="A157" s="131">
        <v>156</v>
      </c>
      <c r="B157" s="79" t="str">
        <f t="shared" ref="B157" si="40">C157</f>
        <v>Y</v>
      </c>
      <c r="C157" s="79" t="s">
        <v>45</v>
      </c>
      <c r="D157" s="166" t="s">
        <v>1239</v>
      </c>
      <c r="E157" s="82" t="s">
        <v>1240</v>
      </c>
      <c r="F157" s="13" t="s">
        <v>729</v>
      </c>
      <c r="G157" s="79" t="s">
        <v>734</v>
      </c>
      <c r="H157" s="168">
        <v>200</v>
      </c>
      <c r="I157" s="21"/>
      <c r="J157" s="102" t="s">
        <v>50</v>
      </c>
      <c r="K157" s="102" t="s">
        <v>482</v>
      </c>
      <c r="L157" s="102" t="s">
        <v>51</v>
      </c>
      <c r="M157" s="102" t="s">
        <v>22</v>
      </c>
      <c r="N157" s="102" t="s">
        <v>21</v>
      </c>
      <c r="O157" s="125" t="s">
        <v>816</v>
      </c>
      <c r="P157" s="102" t="s">
        <v>23</v>
      </c>
      <c r="Q157" s="102" t="s">
        <v>952</v>
      </c>
      <c r="R157" s="102" t="s">
        <v>51</v>
      </c>
      <c r="S157" s="13"/>
      <c r="T157" s="44" t="s">
        <v>171</v>
      </c>
      <c r="U157" s="34" t="s">
        <v>55</v>
      </c>
      <c r="V157" s="13" t="s">
        <v>953</v>
      </c>
      <c r="W157" s="34" t="s">
        <v>954</v>
      </c>
      <c r="X157" s="102" t="s">
        <v>964</v>
      </c>
      <c r="Y157" s="211" t="s">
        <v>1159</v>
      </c>
      <c r="Z157" s="34" t="s">
        <v>955</v>
      </c>
      <c r="AA157" s="212" t="s">
        <v>2010</v>
      </c>
      <c r="AB157" s="34" t="s">
        <v>488</v>
      </c>
      <c r="AC157" s="46" t="s">
        <v>489</v>
      </c>
      <c r="AD157" s="46" t="s">
        <v>490</v>
      </c>
      <c r="AE157" s="34" t="s">
        <v>491</v>
      </c>
      <c r="AF157" s="34" t="s">
        <v>492</v>
      </c>
      <c r="AG157" s="34" t="s">
        <v>493</v>
      </c>
      <c r="AH157" s="34" t="s">
        <v>494</v>
      </c>
      <c r="AI157" s="34" t="s">
        <v>495</v>
      </c>
    </row>
    <row r="158" spans="1:35" ht="43.2" x14ac:dyDescent="0.3">
      <c r="A158" s="131">
        <v>157</v>
      </c>
      <c r="B158" s="79" t="str">
        <f t="shared" ref="B158:B231" si="41">C158</f>
        <v>Y</v>
      </c>
      <c r="C158" s="79" t="s">
        <v>45</v>
      </c>
      <c r="D158" s="166" t="s">
        <v>2188</v>
      </c>
      <c r="E158" s="82" t="s">
        <v>2190</v>
      </c>
      <c r="F158" s="13" t="s">
        <v>720</v>
      </c>
      <c r="G158" s="79" t="s">
        <v>741</v>
      </c>
      <c r="H158" s="168">
        <v>200</v>
      </c>
      <c r="I158" s="21"/>
      <c r="J158" s="102" t="s">
        <v>50</v>
      </c>
      <c r="K158" s="102" t="s">
        <v>482</v>
      </c>
      <c r="L158" s="102" t="s">
        <v>51</v>
      </c>
      <c r="M158" s="102" t="s">
        <v>22</v>
      </c>
      <c r="N158" s="102" t="s">
        <v>21</v>
      </c>
      <c r="O158" s="125" t="s">
        <v>816</v>
      </c>
      <c r="P158" s="102" t="s">
        <v>23</v>
      </c>
      <c r="Q158" s="102" t="s">
        <v>952</v>
      </c>
      <c r="R158" s="102" t="s">
        <v>51</v>
      </c>
      <c r="S158" s="13"/>
      <c r="T158" s="44" t="s">
        <v>484</v>
      </c>
      <c r="U158" s="34" t="s">
        <v>55</v>
      </c>
      <c r="V158" s="13" t="s">
        <v>953</v>
      </c>
      <c r="W158" s="34" t="s">
        <v>954</v>
      </c>
      <c r="X158" s="102" t="s">
        <v>486</v>
      </c>
      <c r="Y158" s="128">
        <v>200061812481</v>
      </c>
      <c r="Z158" s="34" t="s">
        <v>955</v>
      </c>
      <c r="AA158" s="212" t="s">
        <v>2007</v>
      </c>
      <c r="AB158" s="34" t="s">
        <v>488</v>
      </c>
      <c r="AC158" s="46" t="s">
        <v>489</v>
      </c>
      <c r="AD158" s="46" t="s">
        <v>490</v>
      </c>
      <c r="AE158" s="34" t="s">
        <v>491</v>
      </c>
      <c r="AF158" s="34" t="s">
        <v>492</v>
      </c>
      <c r="AG158" s="34" t="s">
        <v>493</v>
      </c>
      <c r="AH158" s="34" t="s">
        <v>494</v>
      </c>
      <c r="AI158" s="34" t="s">
        <v>495</v>
      </c>
    </row>
    <row r="159" spans="1:35" ht="43.2" x14ac:dyDescent="0.3">
      <c r="A159" s="131">
        <v>158</v>
      </c>
      <c r="B159" s="79" t="str">
        <f t="shared" ref="B159" si="42">C159</f>
        <v>Y</v>
      </c>
      <c r="C159" s="79" t="s">
        <v>45</v>
      </c>
      <c r="D159" s="166" t="s">
        <v>2189</v>
      </c>
      <c r="E159" s="82" t="s">
        <v>2248</v>
      </c>
      <c r="F159" s="13" t="s">
        <v>720</v>
      </c>
      <c r="G159" s="79" t="s">
        <v>741</v>
      </c>
      <c r="H159" s="168">
        <v>200</v>
      </c>
      <c r="I159" s="21"/>
      <c r="J159" s="102" t="s">
        <v>50</v>
      </c>
      <c r="K159" s="102" t="s">
        <v>482</v>
      </c>
      <c r="L159" s="102" t="s">
        <v>51</v>
      </c>
      <c r="M159" s="102" t="s">
        <v>22</v>
      </c>
      <c r="N159" s="102" t="s">
        <v>21</v>
      </c>
      <c r="O159" s="125" t="s">
        <v>816</v>
      </c>
      <c r="P159" s="102" t="s">
        <v>23</v>
      </c>
      <c r="Q159" s="102" t="s">
        <v>952</v>
      </c>
      <c r="R159" s="102" t="s">
        <v>51</v>
      </c>
      <c r="S159" s="13"/>
      <c r="T159" s="44" t="s">
        <v>484</v>
      </c>
      <c r="U159" s="34" t="s">
        <v>55</v>
      </c>
      <c r="V159" s="13" t="s">
        <v>953</v>
      </c>
      <c r="W159" s="34" t="s">
        <v>954</v>
      </c>
      <c r="X159" s="102" t="s">
        <v>517</v>
      </c>
      <c r="Y159" s="211" t="s">
        <v>1998</v>
      </c>
      <c r="Z159" s="34" t="s">
        <v>955</v>
      </c>
      <c r="AA159" s="212" t="s">
        <v>2008</v>
      </c>
      <c r="AB159" s="34" t="s">
        <v>488</v>
      </c>
      <c r="AC159" s="46" t="s">
        <v>489</v>
      </c>
      <c r="AD159" s="46" t="s">
        <v>490</v>
      </c>
      <c r="AE159" s="34" t="s">
        <v>491</v>
      </c>
      <c r="AF159" s="34" t="s">
        <v>492</v>
      </c>
      <c r="AG159" s="34" t="s">
        <v>493</v>
      </c>
      <c r="AH159" s="34" t="s">
        <v>494</v>
      </c>
      <c r="AI159" s="34" t="s">
        <v>495</v>
      </c>
    </row>
    <row r="160" spans="1:35" ht="43.2" x14ac:dyDescent="0.3">
      <c r="A160" s="131">
        <v>159</v>
      </c>
      <c r="B160" s="79" t="str">
        <f t="shared" ref="B160" si="43">C160</f>
        <v>Y</v>
      </c>
      <c r="C160" s="79" t="s">
        <v>45</v>
      </c>
      <c r="D160" s="166" t="s">
        <v>1241</v>
      </c>
      <c r="E160" s="82" t="s">
        <v>1242</v>
      </c>
      <c r="F160" s="13" t="s">
        <v>726</v>
      </c>
      <c r="G160" s="79" t="s">
        <v>741</v>
      </c>
      <c r="H160" s="168">
        <v>200</v>
      </c>
      <c r="I160" s="21"/>
      <c r="J160" s="102" t="s">
        <v>50</v>
      </c>
      <c r="K160" s="102" t="s">
        <v>482</v>
      </c>
      <c r="L160" s="102" t="s">
        <v>51</v>
      </c>
      <c r="M160" s="102" t="s">
        <v>22</v>
      </c>
      <c r="N160" s="102" t="s">
        <v>21</v>
      </c>
      <c r="O160" s="125" t="s">
        <v>816</v>
      </c>
      <c r="P160" s="102" t="s">
        <v>23</v>
      </c>
      <c r="Q160" s="102" t="s">
        <v>952</v>
      </c>
      <c r="R160" s="102" t="s">
        <v>51</v>
      </c>
      <c r="S160" s="13"/>
      <c r="T160" s="44" t="s">
        <v>520</v>
      </c>
      <c r="U160" s="34" t="s">
        <v>55</v>
      </c>
      <c r="V160" s="13" t="s">
        <v>953</v>
      </c>
      <c r="W160" s="34" t="s">
        <v>954</v>
      </c>
      <c r="X160" s="102" t="s">
        <v>1154</v>
      </c>
      <c r="Y160" s="211" t="s">
        <v>1155</v>
      </c>
      <c r="Z160" s="34" t="s">
        <v>955</v>
      </c>
      <c r="AA160" s="212" t="s">
        <v>2009</v>
      </c>
      <c r="AB160" s="34" t="s">
        <v>488</v>
      </c>
      <c r="AC160" s="46" t="s">
        <v>489</v>
      </c>
      <c r="AD160" s="46" t="s">
        <v>490</v>
      </c>
      <c r="AE160" s="34" t="s">
        <v>491</v>
      </c>
      <c r="AF160" s="34" t="s">
        <v>492</v>
      </c>
      <c r="AG160" s="34" t="s">
        <v>493</v>
      </c>
      <c r="AH160" s="34" t="s">
        <v>494</v>
      </c>
      <c r="AI160" s="34" t="s">
        <v>495</v>
      </c>
    </row>
    <row r="161" spans="1:35" ht="43.2" x14ac:dyDescent="0.3">
      <c r="A161" s="131">
        <v>160</v>
      </c>
      <c r="B161" s="79" t="str">
        <f t="shared" ref="B161:B166" si="44">C161</f>
        <v>Y</v>
      </c>
      <c r="C161" s="79" t="s">
        <v>45</v>
      </c>
      <c r="D161" s="166" t="s">
        <v>1243</v>
      </c>
      <c r="E161" s="82" t="s">
        <v>1244</v>
      </c>
      <c r="F161" s="13" t="s">
        <v>729</v>
      </c>
      <c r="G161" s="79" t="s">
        <v>741</v>
      </c>
      <c r="H161" s="168">
        <v>200</v>
      </c>
      <c r="I161" s="21"/>
      <c r="J161" s="102" t="s">
        <v>50</v>
      </c>
      <c r="K161" s="102" t="s">
        <v>482</v>
      </c>
      <c r="L161" s="102" t="s">
        <v>51</v>
      </c>
      <c r="M161" s="102" t="s">
        <v>22</v>
      </c>
      <c r="N161" s="102" t="s">
        <v>21</v>
      </c>
      <c r="O161" s="125" t="s">
        <v>816</v>
      </c>
      <c r="P161" s="102" t="s">
        <v>23</v>
      </c>
      <c r="Q161" s="102" t="s">
        <v>952</v>
      </c>
      <c r="R161" s="102" t="s">
        <v>51</v>
      </c>
      <c r="S161" s="13"/>
      <c r="T161" s="44" t="s">
        <v>171</v>
      </c>
      <c r="U161" s="34" t="s">
        <v>55</v>
      </c>
      <c r="V161" s="13" t="s">
        <v>953</v>
      </c>
      <c r="W161" s="34" t="s">
        <v>954</v>
      </c>
      <c r="X161" s="102" t="s">
        <v>964</v>
      </c>
      <c r="Y161" s="211" t="s">
        <v>1159</v>
      </c>
      <c r="Z161" s="34" t="s">
        <v>955</v>
      </c>
      <c r="AA161" s="212" t="s">
        <v>2010</v>
      </c>
      <c r="AB161" s="34" t="s">
        <v>488</v>
      </c>
      <c r="AC161" s="46" t="s">
        <v>489</v>
      </c>
      <c r="AD161" s="46" t="s">
        <v>490</v>
      </c>
      <c r="AE161" s="34" t="s">
        <v>491</v>
      </c>
      <c r="AF161" s="34" t="s">
        <v>492</v>
      </c>
      <c r="AG161" s="34" t="s">
        <v>493</v>
      </c>
      <c r="AH161" s="34" t="s">
        <v>494</v>
      </c>
      <c r="AI161" s="34" t="s">
        <v>495</v>
      </c>
    </row>
    <row r="162" spans="1:35" ht="43.2" x14ac:dyDescent="0.3">
      <c r="A162" s="131">
        <v>161</v>
      </c>
      <c r="B162" s="79" t="str">
        <f t="shared" si="44"/>
        <v>Y</v>
      </c>
      <c r="C162" s="79" t="s">
        <v>45</v>
      </c>
      <c r="D162" s="166" t="s">
        <v>2191</v>
      </c>
      <c r="E162" s="82" t="s">
        <v>2193</v>
      </c>
      <c r="F162" s="13" t="s">
        <v>720</v>
      </c>
      <c r="G162" s="79" t="s">
        <v>750</v>
      </c>
      <c r="H162" s="168">
        <v>200</v>
      </c>
      <c r="I162" s="21"/>
      <c r="J162" s="102" t="s">
        <v>50</v>
      </c>
      <c r="K162" s="102" t="s">
        <v>482</v>
      </c>
      <c r="L162" s="102" t="s">
        <v>51</v>
      </c>
      <c r="M162" s="102" t="s">
        <v>22</v>
      </c>
      <c r="N162" s="102" t="s">
        <v>21</v>
      </c>
      <c r="O162" s="125" t="s">
        <v>816</v>
      </c>
      <c r="P162" s="102" t="s">
        <v>23</v>
      </c>
      <c r="Q162" s="102" t="s">
        <v>952</v>
      </c>
      <c r="R162" s="102" t="s">
        <v>51</v>
      </c>
      <c r="S162" s="13"/>
      <c r="T162" s="44" t="s">
        <v>484</v>
      </c>
      <c r="U162" s="34" t="s">
        <v>55</v>
      </c>
      <c r="V162" s="13" t="s">
        <v>953</v>
      </c>
      <c r="W162" s="34" t="s">
        <v>954</v>
      </c>
      <c r="X162" s="102" t="s">
        <v>486</v>
      </c>
      <c r="Y162" s="128">
        <v>200061812481</v>
      </c>
      <c r="Z162" s="34" t="s">
        <v>955</v>
      </c>
      <c r="AA162" s="212" t="s">
        <v>2007</v>
      </c>
      <c r="AB162" s="34" t="s">
        <v>488</v>
      </c>
      <c r="AC162" s="46" t="s">
        <v>489</v>
      </c>
      <c r="AD162" s="46" t="s">
        <v>490</v>
      </c>
      <c r="AE162" s="34" t="s">
        <v>491</v>
      </c>
      <c r="AF162" s="34" t="s">
        <v>492</v>
      </c>
      <c r="AG162" s="34" t="s">
        <v>493</v>
      </c>
      <c r="AH162" s="34" t="s">
        <v>494</v>
      </c>
      <c r="AI162" s="34" t="s">
        <v>495</v>
      </c>
    </row>
    <row r="163" spans="1:35" ht="43.2" x14ac:dyDescent="0.3">
      <c r="A163" s="131">
        <v>162</v>
      </c>
      <c r="B163" s="79" t="str">
        <f t="shared" si="44"/>
        <v>Y</v>
      </c>
      <c r="C163" s="79" t="s">
        <v>45</v>
      </c>
      <c r="D163" s="166" t="s">
        <v>2192</v>
      </c>
      <c r="E163" s="82" t="s">
        <v>2194</v>
      </c>
      <c r="F163" s="13" t="s">
        <v>720</v>
      </c>
      <c r="G163" s="79" t="s">
        <v>750</v>
      </c>
      <c r="H163" s="168">
        <v>200</v>
      </c>
      <c r="I163" s="21"/>
      <c r="J163" s="102" t="s">
        <v>50</v>
      </c>
      <c r="K163" s="102" t="s">
        <v>482</v>
      </c>
      <c r="L163" s="102" t="s">
        <v>51</v>
      </c>
      <c r="M163" s="102" t="s">
        <v>22</v>
      </c>
      <c r="N163" s="102" t="s">
        <v>21</v>
      </c>
      <c r="O163" s="125" t="s">
        <v>816</v>
      </c>
      <c r="P163" s="102" t="s">
        <v>23</v>
      </c>
      <c r="Q163" s="102" t="s">
        <v>952</v>
      </c>
      <c r="R163" s="102" t="s">
        <v>51</v>
      </c>
      <c r="S163" s="13"/>
      <c r="T163" s="44" t="s">
        <v>484</v>
      </c>
      <c r="U163" s="34" t="s">
        <v>55</v>
      </c>
      <c r="V163" s="13" t="s">
        <v>953</v>
      </c>
      <c r="W163" s="34" t="s">
        <v>954</v>
      </c>
      <c r="X163" s="102" t="s">
        <v>517</v>
      </c>
      <c r="Y163" s="211" t="s">
        <v>1998</v>
      </c>
      <c r="Z163" s="34" t="s">
        <v>955</v>
      </c>
      <c r="AA163" s="212" t="s">
        <v>2008</v>
      </c>
      <c r="AB163" s="34" t="s">
        <v>488</v>
      </c>
      <c r="AC163" s="46" t="s">
        <v>489</v>
      </c>
      <c r="AD163" s="46" t="s">
        <v>490</v>
      </c>
      <c r="AE163" s="34" t="s">
        <v>491</v>
      </c>
      <c r="AF163" s="34" t="s">
        <v>492</v>
      </c>
      <c r="AG163" s="34" t="s">
        <v>493</v>
      </c>
      <c r="AH163" s="34" t="s">
        <v>494</v>
      </c>
      <c r="AI163" s="34" t="s">
        <v>495</v>
      </c>
    </row>
    <row r="164" spans="1:35" ht="43.2" x14ac:dyDescent="0.3">
      <c r="A164" s="131">
        <v>163</v>
      </c>
      <c r="B164" s="79" t="str">
        <f t="shared" si="44"/>
        <v>Y</v>
      </c>
      <c r="C164" s="79" t="s">
        <v>45</v>
      </c>
      <c r="D164" s="166" t="s">
        <v>1245</v>
      </c>
      <c r="E164" s="82" t="s">
        <v>1246</v>
      </c>
      <c r="F164" s="13" t="s">
        <v>726</v>
      </c>
      <c r="G164" s="79" t="s">
        <v>750</v>
      </c>
      <c r="H164" s="168">
        <v>200</v>
      </c>
      <c r="I164" s="15"/>
      <c r="J164" s="102" t="s">
        <v>50</v>
      </c>
      <c r="K164" s="102" t="s">
        <v>482</v>
      </c>
      <c r="L164" s="102" t="s">
        <v>51</v>
      </c>
      <c r="M164" s="102" t="s">
        <v>22</v>
      </c>
      <c r="N164" s="102" t="s">
        <v>21</v>
      </c>
      <c r="O164" s="125" t="s">
        <v>816</v>
      </c>
      <c r="P164" s="102" t="s">
        <v>23</v>
      </c>
      <c r="Q164" s="102" t="s">
        <v>952</v>
      </c>
      <c r="R164" s="102" t="s">
        <v>51</v>
      </c>
      <c r="S164" s="13"/>
      <c r="T164" s="44" t="s">
        <v>520</v>
      </c>
      <c r="U164" s="34" t="s">
        <v>55</v>
      </c>
      <c r="V164" s="13" t="s">
        <v>953</v>
      </c>
      <c r="W164" s="34" t="s">
        <v>954</v>
      </c>
      <c r="X164" s="102" t="s">
        <v>1154</v>
      </c>
      <c r="Y164" s="211" t="s">
        <v>1155</v>
      </c>
      <c r="Z164" s="34" t="s">
        <v>955</v>
      </c>
      <c r="AA164" s="212" t="s">
        <v>2009</v>
      </c>
      <c r="AB164" s="34" t="s">
        <v>488</v>
      </c>
      <c r="AC164" s="46" t="s">
        <v>489</v>
      </c>
      <c r="AD164" s="46" t="s">
        <v>490</v>
      </c>
      <c r="AE164" s="34" t="s">
        <v>491</v>
      </c>
      <c r="AF164" s="34" t="s">
        <v>492</v>
      </c>
      <c r="AG164" s="34" t="s">
        <v>493</v>
      </c>
      <c r="AH164" s="34" t="s">
        <v>494</v>
      </c>
      <c r="AI164" s="34" t="s">
        <v>495</v>
      </c>
    </row>
    <row r="165" spans="1:35" ht="43.2" x14ac:dyDescent="0.3">
      <c r="A165" s="131">
        <v>164</v>
      </c>
      <c r="B165" s="79" t="str">
        <f t="shared" si="44"/>
        <v>Y</v>
      </c>
      <c r="C165" s="79" t="s">
        <v>45</v>
      </c>
      <c r="D165" s="166" t="s">
        <v>1247</v>
      </c>
      <c r="E165" s="82" t="s">
        <v>1248</v>
      </c>
      <c r="F165" s="13" t="s">
        <v>729</v>
      </c>
      <c r="G165" s="79" t="s">
        <v>750</v>
      </c>
      <c r="H165" s="168">
        <v>200</v>
      </c>
      <c r="I165" s="15"/>
      <c r="J165" s="102" t="s">
        <v>50</v>
      </c>
      <c r="K165" s="102" t="s">
        <v>482</v>
      </c>
      <c r="L165" s="102" t="s">
        <v>51</v>
      </c>
      <c r="M165" s="102" t="s">
        <v>22</v>
      </c>
      <c r="N165" s="102" t="s">
        <v>21</v>
      </c>
      <c r="O165" s="125" t="s">
        <v>816</v>
      </c>
      <c r="P165" s="102" t="s">
        <v>23</v>
      </c>
      <c r="Q165" s="102" t="s">
        <v>952</v>
      </c>
      <c r="R165" s="102" t="s">
        <v>51</v>
      </c>
      <c r="S165" s="13"/>
      <c r="T165" s="44" t="s">
        <v>171</v>
      </c>
      <c r="U165" s="34" t="s">
        <v>55</v>
      </c>
      <c r="V165" s="13" t="s">
        <v>953</v>
      </c>
      <c r="W165" s="34" t="s">
        <v>954</v>
      </c>
      <c r="X165" s="102" t="s">
        <v>964</v>
      </c>
      <c r="Y165" s="211" t="s">
        <v>1159</v>
      </c>
      <c r="Z165" s="34" t="s">
        <v>955</v>
      </c>
      <c r="AA165" s="212" t="s">
        <v>2010</v>
      </c>
      <c r="AB165" s="34" t="s">
        <v>488</v>
      </c>
      <c r="AC165" s="46" t="s">
        <v>489</v>
      </c>
      <c r="AD165" s="46" t="s">
        <v>490</v>
      </c>
      <c r="AE165" s="34" t="s">
        <v>491</v>
      </c>
      <c r="AF165" s="34" t="s">
        <v>492</v>
      </c>
      <c r="AG165" s="34" t="s">
        <v>493</v>
      </c>
      <c r="AH165" s="34" t="s">
        <v>494</v>
      </c>
      <c r="AI165" s="34" t="s">
        <v>495</v>
      </c>
    </row>
    <row r="166" spans="1:35" ht="43.2" x14ac:dyDescent="0.3">
      <c r="A166" s="131">
        <v>165</v>
      </c>
      <c r="B166" s="79" t="str">
        <f t="shared" si="44"/>
        <v>Y</v>
      </c>
      <c r="C166" s="79" t="s">
        <v>45</v>
      </c>
      <c r="D166" s="166" t="s">
        <v>2195</v>
      </c>
      <c r="E166" s="82" t="s">
        <v>2199</v>
      </c>
      <c r="F166" s="13" t="s">
        <v>759</v>
      </c>
      <c r="G166" s="79" t="s">
        <v>1249</v>
      </c>
      <c r="H166" s="168">
        <v>200</v>
      </c>
      <c r="J166" s="102" t="s">
        <v>50</v>
      </c>
      <c r="K166" s="102" t="s">
        <v>482</v>
      </c>
      <c r="L166" s="102" t="s">
        <v>51</v>
      </c>
      <c r="M166" s="102" t="s">
        <v>22</v>
      </c>
      <c r="N166" s="102" t="s">
        <v>21</v>
      </c>
      <c r="O166" s="125" t="s">
        <v>816</v>
      </c>
      <c r="P166" s="102" t="s">
        <v>23</v>
      </c>
      <c r="Q166" s="102" t="s">
        <v>952</v>
      </c>
      <c r="R166" s="102" t="s">
        <v>51</v>
      </c>
      <c r="S166" s="13"/>
      <c r="T166" s="44" t="s">
        <v>484</v>
      </c>
      <c r="U166" s="34" t="s">
        <v>55</v>
      </c>
      <c r="V166" s="13" t="s">
        <v>953</v>
      </c>
      <c r="W166" s="34" t="s">
        <v>954</v>
      </c>
      <c r="X166" s="102" t="s">
        <v>486</v>
      </c>
      <c r="Y166" s="128">
        <v>200061812481</v>
      </c>
      <c r="Z166" s="34" t="s">
        <v>955</v>
      </c>
      <c r="AA166" s="212" t="s">
        <v>2007</v>
      </c>
      <c r="AB166" s="34" t="s">
        <v>488</v>
      </c>
      <c r="AC166" s="46" t="s">
        <v>489</v>
      </c>
      <c r="AD166" s="46" t="s">
        <v>490</v>
      </c>
      <c r="AE166" s="34" t="s">
        <v>491</v>
      </c>
      <c r="AF166" s="34" t="s">
        <v>492</v>
      </c>
      <c r="AG166" s="34" t="s">
        <v>493</v>
      </c>
      <c r="AH166" s="34" t="s">
        <v>494</v>
      </c>
      <c r="AI166" s="34" t="s">
        <v>495</v>
      </c>
    </row>
    <row r="167" spans="1:35" ht="43.2" x14ac:dyDescent="0.3">
      <c r="A167" s="131">
        <v>166</v>
      </c>
      <c r="B167" s="79" t="str">
        <f t="shared" ref="B167:B169" si="45">C167</f>
        <v>Y</v>
      </c>
      <c r="C167" s="79" t="s">
        <v>45</v>
      </c>
      <c r="D167" s="166" t="s">
        <v>2196</v>
      </c>
      <c r="E167" s="82" t="s">
        <v>2200</v>
      </c>
      <c r="F167" s="13" t="s">
        <v>759</v>
      </c>
      <c r="G167" s="79" t="s">
        <v>1249</v>
      </c>
      <c r="H167" s="168">
        <v>200</v>
      </c>
      <c r="J167" s="102" t="s">
        <v>50</v>
      </c>
      <c r="K167" s="102" t="s">
        <v>482</v>
      </c>
      <c r="L167" s="102" t="s">
        <v>51</v>
      </c>
      <c r="M167" s="102" t="s">
        <v>22</v>
      </c>
      <c r="N167" s="102" t="s">
        <v>21</v>
      </c>
      <c r="O167" s="125" t="s">
        <v>816</v>
      </c>
      <c r="P167" s="102" t="s">
        <v>23</v>
      </c>
      <c r="Q167" s="102" t="s">
        <v>952</v>
      </c>
      <c r="R167" s="102" t="s">
        <v>51</v>
      </c>
      <c r="S167" s="13"/>
      <c r="T167" s="44" t="s">
        <v>484</v>
      </c>
      <c r="U167" s="34" t="s">
        <v>55</v>
      </c>
      <c r="V167" s="13" t="s">
        <v>953</v>
      </c>
      <c r="W167" s="34" t="s">
        <v>954</v>
      </c>
      <c r="X167" s="102" t="s">
        <v>517</v>
      </c>
      <c r="Y167" s="211" t="s">
        <v>1998</v>
      </c>
      <c r="Z167" s="34" t="s">
        <v>955</v>
      </c>
      <c r="AA167" s="212" t="s">
        <v>2008</v>
      </c>
      <c r="AB167" s="34" t="s">
        <v>488</v>
      </c>
      <c r="AC167" s="46" t="s">
        <v>489</v>
      </c>
      <c r="AD167" s="46" t="s">
        <v>490</v>
      </c>
      <c r="AE167" s="34" t="s">
        <v>491</v>
      </c>
      <c r="AF167" s="34" t="s">
        <v>492</v>
      </c>
      <c r="AG167" s="34" t="s">
        <v>493</v>
      </c>
      <c r="AH167" s="34" t="s">
        <v>494</v>
      </c>
      <c r="AI167" s="34" t="s">
        <v>495</v>
      </c>
    </row>
    <row r="168" spans="1:35" ht="43.2" x14ac:dyDescent="0.3">
      <c r="A168" s="131">
        <v>167</v>
      </c>
      <c r="B168" s="79" t="str">
        <f t="shared" si="45"/>
        <v>Y</v>
      </c>
      <c r="C168" s="79" t="s">
        <v>45</v>
      </c>
      <c r="D168" s="166" t="s">
        <v>2197</v>
      </c>
      <c r="E168" s="82" t="s">
        <v>2201</v>
      </c>
      <c r="F168" s="13" t="s">
        <v>759</v>
      </c>
      <c r="G168" s="79" t="s">
        <v>1249</v>
      </c>
      <c r="H168" s="168">
        <v>200</v>
      </c>
      <c r="J168" s="102" t="s">
        <v>50</v>
      </c>
      <c r="K168" s="102" t="s">
        <v>482</v>
      </c>
      <c r="L168" s="102" t="s">
        <v>51</v>
      </c>
      <c r="M168" s="102" t="s">
        <v>22</v>
      </c>
      <c r="N168" s="102" t="s">
        <v>21</v>
      </c>
      <c r="O168" s="125" t="s">
        <v>816</v>
      </c>
      <c r="P168" s="102" t="s">
        <v>23</v>
      </c>
      <c r="Q168" s="102" t="s">
        <v>952</v>
      </c>
      <c r="R168" s="102" t="s">
        <v>51</v>
      </c>
      <c r="S168" s="13"/>
      <c r="T168" s="44" t="s">
        <v>520</v>
      </c>
      <c r="U168" s="34" t="s">
        <v>55</v>
      </c>
      <c r="V168" s="13" t="s">
        <v>953</v>
      </c>
      <c r="W168" s="34" t="s">
        <v>954</v>
      </c>
      <c r="X168" s="102" t="s">
        <v>1154</v>
      </c>
      <c r="Y168" s="211" t="s">
        <v>1155</v>
      </c>
      <c r="Z168" s="34" t="s">
        <v>955</v>
      </c>
      <c r="AA168" s="212" t="s">
        <v>2009</v>
      </c>
      <c r="AB168" s="34" t="s">
        <v>488</v>
      </c>
      <c r="AC168" s="46" t="s">
        <v>489</v>
      </c>
      <c r="AD168" s="46" t="s">
        <v>490</v>
      </c>
      <c r="AE168" s="34" t="s">
        <v>491</v>
      </c>
      <c r="AF168" s="34" t="s">
        <v>492</v>
      </c>
      <c r="AG168" s="34" t="s">
        <v>493</v>
      </c>
      <c r="AH168" s="34" t="s">
        <v>494</v>
      </c>
      <c r="AI168" s="34" t="s">
        <v>495</v>
      </c>
    </row>
    <row r="169" spans="1:35" ht="43.2" x14ac:dyDescent="0.3">
      <c r="A169" s="131">
        <v>168</v>
      </c>
      <c r="B169" s="79" t="str">
        <f t="shared" si="45"/>
        <v>Y</v>
      </c>
      <c r="C169" s="79" t="s">
        <v>45</v>
      </c>
      <c r="D169" s="166" t="s">
        <v>2198</v>
      </c>
      <c r="E169" s="82" t="s">
        <v>2202</v>
      </c>
      <c r="F169" s="13" t="s">
        <v>759</v>
      </c>
      <c r="G169" s="79" t="s">
        <v>1249</v>
      </c>
      <c r="H169" s="168">
        <v>200</v>
      </c>
      <c r="J169" s="102" t="s">
        <v>50</v>
      </c>
      <c r="K169" s="102" t="s">
        <v>482</v>
      </c>
      <c r="L169" s="102" t="s">
        <v>51</v>
      </c>
      <c r="M169" s="102" t="s">
        <v>22</v>
      </c>
      <c r="N169" s="102" t="s">
        <v>21</v>
      </c>
      <c r="O169" s="125" t="s">
        <v>816</v>
      </c>
      <c r="P169" s="102" t="s">
        <v>23</v>
      </c>
      <c r="Q169" s="102" t="s">
        <v>952</v>
      </c>
      <c r="R169" s="102" t="s">
        <v>51</v>
      </c>
      <c r="S169" s="13"/>
      <c r="T169" s="44" t="s">
        <v>171</v>
      </c>
      <c r="U169" s="34" t="s">
        <v>55</v>
      </c>
      <c r="V169" s="13" t="s">
        <v>953</v>
      </c>
      <c r="W169" s="34" t="s">
        <v>954</v>
      </c>
      <c r="X169" s="102" t="s">
        <v>964</v>
      </c>
      <c r="Y169" s="211" t="s">
        <v>1159</v>
      </c>
      <c r="Z169" s="34" t="s">
        <v>955</v>
      </c>
      <c r="AA169" s="212" t="s">
        <v>2010</v>
      </c>
      <c r="AB169" s="34" t="s">
        <v>488</v>
      </c>
      <c r="AC169" s="46" t="s">
        <v>489</v>
      </c>
      <c r="AD169" s="46" t="s">
        <v>490</v>
      </c>
      <c r="AE169" s="34" t="s">
        <v>491</v>
      </c>
      <c r="AF169" s="34" t="s">
        <v>492</v>
      </c>
      <c r="AG169" s="34" t="s">
        <v>493</v>
      </c>
      <c r="AH169" s="34" t="s">
        <v>494</v>
      </c>
      <c r="AI169" s="34" t="s">
        <v>495</v>
      </c>
    </row>
    <row r="170" spans="1:35" ht="115.2" x14ac:dyDescent="0.3">
      <c r="A170" s="131">
        <v>169</v>
      </c>
      <c r="B170" s="79" t="str">
        <f t="shared" ref="B170:B173" si="46">C170</f>
        <v>Y</v>
      </c>
      <c r="C170" s="79" t="s">
        <v>45</v>
      </c>
      <c r="D170" s="166" t="s">
        <v>2203</v>
      </c>
      <c r="E170" s="82" t="s">
        <v>2207</v>
      </c>
      <c r="F170" s="13" t="s">
        <v>759</v>
      </c>
      <c r="G170" s="79" t="s">
        <v>1250</v>
      </c>
      <c r="H170" s="168">
        <v>200</v>
      </c>
      <c r="J170" s="102" t="s">
        <v>50</v>
      </c>
      <c r="K170" s="102" t="s">
        <v>482</v>
      </c>
      <c r="L170" s="102" t="s">
        <v>51</v>
      </c>
      <c r="M170" s="102" t="s">
        <v>22</v>
      </c>
      <c r="N170" s="102" t="s">
        <v>21</v>
      </c>
      <c r="O170" s="125" t="s">
        <v>816</v>
      </c>
      <c r="P170" s="102" t="s">
        <v>23</v>
      </c>
      <c r="Q170" s="102" t="s">
        <v>952</v>
      </c>
      <c r="R170" s="102" t="s">
        <v>51</v>
      </c>
      <c r="S170" s="13"/>
      <c r="T170" s="44" t="s">
        <v>484</v>
      </c>
      <c r="U170" s="34" t="s">
        <v>55</v>
      </c>
      <c r="V170" s="13" t="s">
        <v>953</v>
      </c>
      <c r="W170" s="34" t="s">
        <v>954</v>
      </c>
      <c r="X170" s="102" t="s">
        <v>486</v>
      </c>
      <c r="Y170" s="128">
        <v>200061812481</v>
      </c>
      <c r="Z170" s="34" t="s">
        <v>955</v>
      </c>
      <c r="AA170" s="212" t="s">
        <v>2007</v>
      </c>
      <c r="AB170" s="34" t="s">
        <v>488</v>
      </c>
      <c r="AC170" s="46" t="s">
        <v>489</v>
      </c>
      <c r="AD170" s="46" t="s">
        <v>490</v>
      </c>
      <c r="AE170" s="34" t="s">
        <v>491</v>
      </c>
      <c r="AF170" s="34" t="s">
        <v>492</v>
      </c>
      <c r="AG170" s="34" t="s">
        <v>493</v>
      </c>
      <c r="AH170" s="34" t="s">
        <v>494</v>
      </c>
      <c r="AI170" s="34" t="s">
        <v>495</v>
      </c>
    </row>
    <row r="171" spans="1:35" ht="115.2" x14ac:dyDescent="0.3">
      <c r="A171" s="131">
        <v>170</v>
      </c>
      <c r="B171" s="79" t="str">
        <f t="shared" si="46"/>
        <v>Y</v>
      </c>
      <c r="C171" s="79" t="s">
        <v>45</v>
      </c>
      <c r="D171" s="166" t="s">
        <v>2204</v>
      </c>
      <c r="E171" s="82" t="s">
        <v>2208</v>
      </c>
      <c r="F171" s="13" t="s">
        <v>759</v>
      </c>
      <c r="G171" s="79" t="s">
        <v>1250</v>
      </c>
      <c r="H171" s="168">
        <v>200</v>
      </c>
      <c r="J171" s="102" t="s">
        <v>50</v>
      </c>
      <c r="K171" s="102" t="s">
        <v>482</v>
      </c>
      <c r="L171" s="102" t="s">
        <v>51</v>
      </c>
      <c r="M171" s="102" t="s">
        <v>22</v>
      </c>
      <c r="N171" s="102" t="s">
        <v>21</v>
      </c>
      <c r="O171" s="125" t="s">
        <v>816</v>
      </c>
      <c r="P171" s="102" t="s">
        <v>23</v>
      </c>
      <c r="Q171" s="102" t="s">
        <v>952</v>
      </c>
      <c r="R171" s="102" t="s">
        <v>51</v>
      </c>
      <c r="S171" s="13"/>
      <c r="T171" s="44" t="s">
        <v>484</v>
      </c>
      <c r="U171" s="34" t="s">
        <v>55</v>
      </c>
      <c r="V171" s="13" t="s">
        <v>953</v>
      </c>
      <c r="W171" s="34" t="s">
        <v>954</v>
      </c>
      <c r="X171" s="102" t="s">
        <v>517</v>
      </c>
      <c r="Y171" s="211" t="s">
        <v>1998</v>
      </c>
      <c r="Z171" s="34" t="s">
        <v>955</v>
      </c>
      <c r="AA171" s="212" t="s">
        <v>2008</v>
      </c>
      <c r="AB171" s="34" t="s">
        <v>488</v>
      </c>
      <c r="AC171" s="46" t="s">
        <v>489</v>
      </c>
      <c r="AD171" s="46" t="s">
        <v>490</v>
      </c>
      <c r="AE171" s="34" t="s">
        <v>491</v>
      </c>
      <c r="AF171" s="34" t="s">
        <v>492</v>
      </c>
      <c r="AG171" s="34" t="s">
        <v>493</v>
      </c>
      <c r="AH171" s="34" t="s">
        <v>494</v>
      </c>
      <c r="AI171" s="34" t="s">
        <v>495</v>
      </c>
    </row>
    <row r="172" spans="1:35" ht="115.2" x14ac:dyDescent="0.3">
      <c r="A172" s="131">
        <v>171</v>
      </c>
      <c r="B172" s="79" t="str">
        <f t="shared" si="46"/>
        <v>Y</v>
      </c>
      <c r="C172" s="79" t="s">
        <v>45</v>
      </c>
      <c r="D172" s="166" t="s">
        <v>2205</v>
      </c>
      <c r="E172" s="82" t="s">
        <v>2209</v>
      </c>
      <c r="F172" s="13" t="s">
        <v>759</v>
      </c>
      <c r="G172" s="79" t="s">
        <v>1250</v>
      </c>
      <c r="H172" s="168">
        <v>200</v>
      </c>
      <c r="J172" s="102" t="s">
        <v>50</v>
      </c>
      <c r="K172" s="102" t="s">
        <v>482</v>
      </c>
      <c r="L172" s="102" t="s">
        <v>51</v>
      </c>
      <c r="M172" s="102" t="s">
        <v>22</v>
      </c>
      <c r="N172" s="102" t="s">
        <v>21</v>
      </c>
      <c r="O172" s="125" t="s">
        <v>816</v>
      </c>
      <c r="P172" s="102" t="s">
        <v>23</v>
      </c>
      <c r="Q172" s="102" t="s">
        <v>952</v>
      </c>
      <c r="R172" s="102" t="s">
        <v>51</v>
      </c>
      <c r="S172" s="13"/>
      <c r="T172" s="44" t="s">
        <v>520</v>
      </c>
      <c r="U172" s="34" t="s">
        <v>55</v>
      </c>
      <c r="V172" s="13" t="s">
        <v>953</v>
      </c>
      <c r="W172" s="34" t="s">
        <v>954</v>
      </c>
      <c r="X172" s="102" t="s">
        <v>1154</v>
      </c>
      <c r="Y172" s="211" t="s">
        <v>1155</v>
      </c>
      <c r="Z172" s="34" t="s">
        <v>955</v>
      </c>
      <c r="AA172" s="212" t="s">
        <v>2009</v>
      </c>
      <c r="AB172" s="34" t="s">
        <v>488</v>
      </c>
      <c r="AC172" s="46" t="s">
        <v>489</v>
      </c>
      <c r="AD172" s="46" t="s">
        <v>490</v>
      </c>
      <c r="AE172" s="34" t="s">
        <v>491</v>
      </c>
      <c r="AF172" s="34" t="s">
        <v>492</v>
      </c>
      <c r="AG172" s="34" t="s">
        <v>493</v>
      </c>
      <c r="AH172" s="34" t="s">
        <v>494</v>
      </c>
      <c r="AI172" s="34" t="s">
        <v>495</v>
      </c>
    </row>
    <row r="173" spans="1:35" ht="115.2" x14ac:dyDescent="0.3">
      <c r="A173" s="131">
        <v>172</v>
      </c>
      <c r="B173" s="79" t="str">
        <f t="shared" si="46"/>
        <v>Y</v>
      </c>
      <c r="C173" s="79" t="s">
        <v>45</v>
      </c>
      <c r="D173" s="166" t="s">
        <v>2206</v>
      </c>
      <c r="E173" s="82" t="s">
        <v>2210</v>
      </c>
      <c r="F173" s="13" t="s">
        <v>759</v>
      </c>
      <c r="G173" s="79" t="s">
        <v>1250</v>
      </c>
      <c r="H173" s="168">
        <v>200</v>
      </c>
      <c r="J173" s="102" t="s">
        <v>50</v>
      </c>
      <c r="K173" s="102" t="s">
        <v>482</v>
      </c>
      <c r="L173" s="102" t="s">
        <v>51</v>
      </c>
      <c r="M173" s="102" t="s">
        <v>22</v>
      </c>
      <c r="N173" s="102" t="s">
        <v>21</v>
      </c>
      <c r="O173" s="125" t="s">
        <v>816</v>
      </c>
      <c r="P173" s="102" t="s">
        <v>23</v>
      </c>
      <c r="Q173" s="102" t="s">
        <v>952</v>
      </c>
      <c r="R173" s="102" t="s">
        <v>51</v>
      </c>
      <c r="S173" s="13"/>
      <c r="T173" s="44" t="s">
        <v>171</v>
      </c>
      <c r="U173" s="34" t="s">
        <v>55</v>
      </c>
      <c r="V173" s="13" t="s">
        <v>953</v>
      </c>
      <c r="W173" s="34" t="s">
        <v>954</v>
      </c>
      <c r="X173" s="102" t="s">
        <v>964</v>
      </c>
      <c r="Y173" s="211" t="s">
        <v>1159</v>
      </c>
      <c r="Z173" s="34" t="s">
        <v>955</v>
      </c>
      <c r="AA173" s="212" t="s">
        <v>2010</v>
      </c>
      <c r="AB173" s="34" t="s">
        <v>488</v>
      </c>
      <c r="AC173" s="46" t="s">
        <v>489</v>
      </c>
      <c r="AD173" s="46" t="s">
        <v>490</v>
      </c>
      <c r="AE173" s="34" t="s">
        <v>491</v>
      </c>
      <c r="AF173" s="34" t="s">
        <v>492</v>
      </c>
      <c r="AG173" s="34" t="s">
        <v>493</v>
      </c>
      <c r="AH173" s="34" t="s">
        <v>494</v>
      </c>
      <c r="AI173" s="34" t="s">
        <v>495</v>
      </c>
    </row>
    <row r="174" spans="1:35" ht="43.2" x14ac:dyDescent="0.3">
      <c r="A174" s="131">
        <v>173</v>
      </c>
      <c r="B174" s="79" t="str">
        <f t="shared" ref="B174" si="47">C174</f>
        <v>Y</v>
      </c>
      <c r="C174" s="79" t="s">
        <v>45</v>
      </c>
      <c r="D174" s="166" t="s">
        <v>2211</v>
      </c>
      <c r="E174" s="82" t="s">
        <v>2215</v>
      </c>
      <c r="F174" s="13" t="s">
        <v>1251</v>
      </c>
      <c r="G174" s="79" t="s">
        <v>1252</v>
      </c>
      <c r="H174" s="168">
        <v>200</v>
      </c>
      <c r="J174" s="102" t="s">
        <v>50</v>
      </c>
      <c r="K174" s="102" t="s">
        <v>482</v>
      </c>
      <c r="L174" s="102" t="s">
        <v>51</v>
      </c>
      <c r="M174" s="102" t="s">
        <v>22</v>
      </c>
      <c r="N174" s="102" t="s">
        <v>21</v>
      </c>
      <c r="O174" s="125" t="s">
        <v>816</v>
      </c>
      <c r="P174" s="102" t="s">
        <v>23</v>
      </c>
      <c r="Q174" s="102" t="s">
        <v>952</v>
      </c>
      <c r="R174" s="102" t="s">
        <v>51</v>
      </c>
      <c r="S174" s="13"/>
      <c r="T174" s="44" t="s">
        <v>484</v>
      </c>
      <c r="U174" s="34" t="s">
        <v>55</v>
      </c>
      <c r="V174" s="13" t="s">
        <v>953</v>
      </c>
      <c r="W174" s="34" t="s">
        <v>954</v>
      </c>
      <c r="X174" s="102" t="s">
        <v>486</v>
      </c>
      <c r="Y174" s="128">
        <v>200061812481</v>
      </c>
      <c r="Z174" s="34" t="s">
        <v>955</v>
      </c>
      <c r="AA174" s="212" t="s">
        <v>2007</v>
      </c>
      <c r="AB174" s="34" t="s">
        <v>488</v>
      </c>
      <c r="AC174" s="46" t="s">
        <v>489</v>
      </c>
      <c r="AD174" s="46" t="s">
        <v>490</v>
      </c>
      <c r="AE174" s="34" t="s">
        <v>491</v>
      </c>
      <c r="AF174" s="34" t="s">
        <v>492</v>
      </c>
      <c r="AG174" s="34" t="s">
        <v>493</v>
      </c>
      <c r="AH174" s="34" t="s">
        <v>494</v>
      </c>
      <c r="AI174" s="34" t="s">
        <v>495</v>
      </c>
    </row>
    <row r="175" spans="1:35" ht="43.2" x14ac:dyDescent="0.3">
      <c r="A175" s="131">
        <v>174</v>
      </c>
      <c r="B175" s="79" t="str">
        <f t="shared" ref="B175:B177" si="48">C175</f>
        <v>Y</v>
      </c>
      <c r="C175" s="79" t="s">
        <v>45</v>
      </c>
      <c r="D175" s="166" t="s">
        <v>2212</v>
      </c>
      <c r="E175" s="82" t="s">
        <v>2216</v>
      </c>
      <c r="F175" s="13" t="s">
        <v>1251</v>
      </c>
      <c r="G175" s="79" t="s">
        <v>1252</v>
      </c>
      <c r="H175" s="168">
        <v>200</v>
      </c>
      <c r="J175" s="102" t="s">
        <v>50</v>
      </c>
      <c r="K175" s="102" t="s">
        <v>482</v>
      </c>
      <c r="L175" s="102" t="s">
        <v>51</v>
      </c>
      <c r="M175" s="102" t="s">
        <v>22</v>
      </c>
      <c r="N175" s="102" t="s">
        <v>21</v>
      </c>
      <c r="O175" s="125" t="s">
        <v>816</v>
      </c>
      <c r="P175" s="102" t="s">
        <v>23</v>
      </c>
      <c r="Q175" s="102" t="s">
        <v>952</v>
      </c>
      <c r="R175" s="102" t="s">
        <v>51</v>
      </c>
      <c r="S175" s="13"/>
      <c r="T175" s="44" t="s">
        <v>484</v>
      </c>
      <c r="U175" s="34" t="s">
        <v>55</v>
      </c>
      <c r="V175" s="13" t="s">
        <v>953</v>
      </c>
      <c r="W175" s="34" t="s">
        <v>954</v>
      </c>
      <c r="X175" s="102" t="s">
        <v>517</v>
      </c>
      <c r="Y175" s="211" t="s">
        <v>1998</v>
      </c>
      <c r="Z175" s="34" t="s">
        <v>955</v>
      </c>
      <c r="AA175" s="212" t="s">
        <v>2008</v>
      </c>
      <c r="AB175" s="34" t="s">
        <v>488</v>
      </c>
      <c r="AC175" s="46" t="s">
        <v>489</v>
      </c>
      <c r="AD175" s="46" t="s">
        <v>490</v>
      </c>
      <c r="AE175" s="34" t="s">
        <v>491</v>
      </c>
      <c r="AF175" s="34" t="s">
        <v>492</v>
      </c>
      <c r="AG175" s="34" t="s">
        <v>493</v>
      </c>
      <c r="AH175" s="34" t="s">
        <v>494</v>
      </c>
      <c r="AI175" s="34" t="s">
        <v>495</v>
      </c>
    </row>
    <row r="176" spans="1:35" ht="43.2" x14ac:dyDescent="0.3">
      <c r="A176" s="131">
        <v>175</v>
      </c>
      <c r="B176" s="79" t="str">
        <f t="shared" si="48"/>
        <v>Y</v>
      </c>
      <c r="C176" s="79" t="s">
        <v>45</v>
      </c>
      <c r="D176" s="166" t="s">
        <v>2213</v>
      </c>
      <c r="E176" s="82" t="s">
        <v>2217</v>
      </c>
      <c r="F176" s="13" t="s">
        <v>1251</v>
      </c>
      <c r="G176" s="79" t="s">
        <v>1252</v>
      </c>
      <c r="H176" s="168">
        <v>200</v>
      </c>
      <c r="J176" s="102" t="s">
        <v>50</v>
      </c>
      <c r="K176" s="102" t="s">
        <v>482</v>
      </c>
      <c r="L176" s="102" t="s">
        <v>51</v>
      </c>
      <c r="M176" s="102" t="s">
        <v>22</v>
      </c>
      <c r="N176" s="102" t="s">
        <v>21</v>
      </c>
      <c r="O176" s="125" t="s">
        <v>816</v>
      </c>
      <c r="P176" s="102" t="s">
        <v>23</v>
      </c>
      <c r="Q176" s="102" t="s">
        <v>952</v>
      </c>
      <c r="R176" s="102" t="s">
        <v>51</v>
      </c>
      <c r="S176" s="13"/>
      <c r="T176" s="44" t="s">
        <v>520</v>
      </c>
      <c r="U176" s="34" t="s">
        <v>55</v>
      </c>
      <c r="V176" s="13" t="s">
        <v>953</v>
      </c>
      <c r="W176" s="34" t="s">
        <v>954</v>
      </c>
      <c r="X176" s="102" t="s">
        <v>1154</v>
      </c>
      <c r="Y176" s="211" t="s">
        <v>1155</v>
      </c>
      <c r="Z176" s="34" t="s">
        <v>955</v>
      </c>
      <c r="AA176" s="212" t="s">
        <v>2009</v>
      </c>
      <c r="AB176" s="34" t="s">
        <v>488</v>
      </c>
      <c r="AC176" s="46" t="s">
        <v>489</v>
      </c>
      <c r="AD176" s="46" t="s">
        <v>490</v>
      </c>
      <c r="AE176" s="34" t="s">
        <v>491</v>
      </c>
      <c r="AF176" s="34" t="s">
        <v>492</v>
      </c>
      <c r="AG176" s="34" t="s">
        <v>493</v>
      </c>
      <c r="AH176" s="34" t="s">
        <v>494</v>
      </c>
      <c r="AI176" s="34" t="s">
        <v>495</v>
      </c>
    </row>
    <row r="177" spans="1:35" ht="43.2" x14ac:dyDescent="0.3">
      <c r="A177" s="131">
        <v>176</v>
      </c>
      <c r="B177" s="79" t="str">
        <f t="shared" si="48"/>
        <v>Y</v>
      </c>
      <c r="C177" s="79" t="s">
        <v>45</v>
      </c>
      <c r="D177" s="166" t="s">
        <v>2214</v>
      </c>
      <c r="E177" s="82" t="s">
        <v>2218</v>
      </c>
      <c r="F177" s="13" t="s">
        <v>1251</v>
      </c>
      <c r="G177" s="79" t="s">
        <v>1252</v>
      </c>
      <c r="H177" s="168">
        <v>200</v>
      </c>
      <c r="J177" s="102" t="s">
        <v>50</v>
      </c>
      <c r="K177" s="102" t="s">
        <v>482</v>
      </c>
      <c r="L177" s="102" t="s">
        <v>51</v>
      </c>
      <c r="M177" s="102" t="s">
        <v>22</v>
      </c>
      <c r="N177" s="102" t="s">
        <v>21</v>
      </c>
      <c r="O177" s="125" t="s">
        <v>816</v>
      </c>
      <c r="P177" s="102" t="s">
        <v>23</v>
      </c>
      <c r="Q177" s="102" t="s">
        <v>952</v>
      </c>
      <c r="R177" s="102" t="s">
        <v>51</v>
      </c>
      <c r="S177" s="13"/>
      <c r="T177" s="44" t="s">
        <v>171</v>
      </c>
      <c r="U177" s="34" t="s">
        <v>55</v>
      </c>
      <c r="V177" s="13" t="s">
        <v>953</v>
      </c>
      <c r="W177" s="34" t="s">
        <v>954</v>
      </c>
      <c r="X177" s="102" t="s">
        <v>964</v>
      </c>
      <c r="Y177" s="211" t="s">
        <v>1159</v>
      </c>
      <c r="Z177" s="34" t="s">
        <v>955</v>
      </c>
      <c r="AA177" s="212" t="s">
        <v>2010</v>
      </c>
      <c r="AB177" s="34" t="s">
        <v>488</v>
      </c>
      <c r="AC177" s="46" t="s">
        <v>489</v>
      </c>
      <c r="AD177" s="46" t="s">
        <v>490</v>
      </c>
      <c r="AE177" s="34" t="s">
        <v>491</v>
      </c>
      <c r="AF177" s="34" t="s">
        <v>492</v>
      </c>
      <c r="AG177" s="34" t="s">
        <v>493</v>
      </c>
      <c r="AH177" s="34" t="s">
        <v>494</v>
      </c>
      <c r="AI177" s="34" t="s">
        <v>495</v>
      </c>
    </row>
    <row r="178" spans="1:35" ht="72" x14ac:dyDescent="0.3">
      <c r="A178" s="131">
        <v>177</v>
      </c>
      <c r="B178" s="161" t="str">
        <f t="shared" si="41"/>
        <v>N</v>
      </c>
      <c r="C178" s="161" t="s">
        <v>113</v>
      </c>
      <c r="D178" s="162" t="s">
        <v>1253</v>
      </c>
      <c r="E178" s="180" t="s">
        <v>1254</v>
      </c>
      <c r="F178" s="178" t="s">
        <v>1255</v>
      </c>
      <c r="G178" s="161" t="s">
        <v>1256</v>
      </c>
      <c r="H178" s="182"/>
      <c r="I178" s="244"/>
      <c r="J178" s="161"/>
      <c r="K178" s="179"/>
      <c r="L178" s="179"/>
      <c r="M178" s="179"/>
      <c r="N178" s="179"/>
      <c r="O178" s="245"/>
      <c r="P178" s="179"/>
      <c r="Q178" s="179"/>
      <c r="R178" s="179"/>
      <c r="S178" s="179"/>
      <c r="T178" s="245"/>
      <c r="U178" s="179"/>
      <c r="V178" s="179"/>
      <c r="W178" s="179"/>
      <c r="X178" s="179"/>
      <c r="Y178" s="218"/>
      <c r="Z178" s="179"/>
      <c r="AA178" s="219"/>
      <c r="AB178" s="178" t="s">
        <v>488</v>
      </c>
      <c r="AC178" s="215" t="s">
        <v>489</v>
      </c>
      <c r="AD178" s="215" t="s">
        <v>490</v>
      </c>
      <c r="AE178" s="178" t="s">
        <v>491</v>
      </c>
      <c r="AF178" s="178" t="s">
        <v>492</v>
      </c>
      <c r="AG178" s="178" t="s">
        <v>493</v>
      </c>
      <c r="AH178" s="178" t="s">
        <v>494</v>
      </c>
      <c r="AI178" s="178" t="s">
        <v>495</v>
      </c>
    </row>
    <row r="179" spans="1:35" ht="72" x14ac:dyDescent="0.3">
      <c r="A179" s="131">
        <v>178</v>
      </c>
      <c r="B179" s="161" t="str">
        <f t="shared" si="41"/>
        <v>N</v>
      </c>
      <c r="C179" s="161" t="s">
        <v>113</v>
      </c>
      <c r="D179" s="162" t="s">
        <v>1257</v>
      </c>
      <c r="E179" s="180" t="s">
        <v>1258</v>
      </c>
      <c r="F179" s="178" t="s">
        <v>1259</v>
      </c>
      <c r="G179" s="161" t="s">
        <v>1260</v>
      </c>
      <c r="H179" s="182"/>
      <c r="I179" s="244"/>
      <c r="J179" s="161"/>
      <c r="K179" s="179"/>
      <c r="L179" s="179"/>
      <c r="M179" s="179"/>
      <c r="N179" s="179"/>
      <c r="O179" s="245"/>
      <c r="P179" s="179"/>
      <c r="Q179" s="179"/>
      <c r="R179" s="179"/>
      <c r="S179" s="179"/>
      <c r="T179" s="245"/>
      <c r="U179" s="179"/>
      <c r="V179" s="179"/>
      <c r="W179" s="179"/>
      <c r="X179" s="179"/>
      <c r="Y179" s="218"/>
      <c r="Z179" s="179"/>
      <c r="AA179" s="219"/>
      <c r="AB179" s="178" t="s">
        <v>488</v>
      </c>
      <c r="AC179" s="215" t="s">
        <v>489</v>
      </c>
      <c r="AD179" s="215" t="s">
        <v>490</v>
      </c>
      <c r="AE179" s="178" t="s">
        <v>491</v>
      </c>
      <c r="AF179" s="178" t="s">
        <v>492</v>
      </c>
      <c r="AG179" s="178" t="s">
        <v>493</v>
      </c>
      <c r="AH179" s="178" t="s">
        <v>494</v>
      </c>
      <c r="AI179" s="178" t="s">
        <v>495</v>
      </c>
    </row>
    <row r="180" spans="1:35" ht="57.6" x14ac:dyDescent="0.3">
      <c r="A180" s="131">
        <v>179</v>
      </c>
      <c r="B180" s="79" t="str">
        <f t="shared" si="41"/>
        <v>Y</v>
      </c>
      <c r="C180" s="79" t="s">
        <v>45</v>
      </c>
      <c r="D180" s="76" t="s">
        <v>2220</v>
      </c>
      <c r="E180" s="82" t="s">
        <v>2223</v>
      </c>
      <c r="F180" s="13" t="s">
        <v>1261</v>
      </c>
      <c r="G180" s="79" t="s">
        <v>1262</v>
      </c>
      <c r="H180" s="168">
        <v>200</v>
      </c>
      <c r="J180" s="102" t="s">
        <v>50</v>
      </c>
      <c r="K180" s="102" t="s">
        <v>482</v>
      </c>
      <c r="L180" s="102" t="s">
        <v>51</v>
      </c>
      <c r="M180" s="102" t="s">
        <v>22</v>
      </c>
      <c r="N180" s="102" t="s">
        <v>21</v>
      </c>
      <c r="O180" s="125" t="s">
        <v>816</v>
      </c>
      <c r="P180" s="102" t="s">
        <v>23</v>
      </c>
      <c r="Q180" s="102" t="s">
        <v>952</v>
      </c>
      <c r="R180" s="102" t="s">
        <v>51</v>
      </c>
      <c r="S180" s="13"/>
      <c r="T180" s="44" t="s">
        <v>484</v>
      </c>
      <c r="U180" s="34" t="s">
        <v>55</v>
      </c>
      <c r="V180" s="13" t="s">
        <v>953</v>
      </c>
      <c r="W180" s="34" t="s">
        <v>954</v>
      </c>
      <c r="X180" s="102" t="s">
        <v>486</v>
      </c>
      <c r="Y180" s="128">
        <v>200061812481</v>
      </c>
      <c r="Z180" s="34" t="s">
        <v>955</v>
      </c>
      <c r="AA180" s="212" t="s">
        <v>2007</v>
      </c>
      <c r="AB180" s="34" t="s">
        <v>488</v>
      </c>
      <c r="AC180" s="46" t="s">
        <v>489</v>
      </c>
      <c r="AD180" s="46" t="s">
        <v>490</v>
      </c>
      <c r="AE180" s="34" t="s">
        <v>491</v>
      </c>
      <c r="AF180" s="34" t="s">
        <v>492</v>
      </c>
      <c r="AG180" s="34" t="s">
        <v>493</v>
      </c>
      <c r="AH180" s="34" t="s">
        <v>494</v>
      </c>
      <c r="AI180" s="34" t="s">
        <v>495</v>
      </c>
    </row>
    <row r="181" spans="1:35" ht="57.6" x14ac:dyDescent="0.3">
      <c r="A181" s="131">
        <v>180</v>
      </c>
      <c r="B181" s="79" t="str">
        <f t="shared" ref="B181:B183" si="49">C181</f>
        <v>Y</v>
      </c>
      <c r="C181" s="79" t="s">
        <v>45</v>
      </c>
      <c r="D181" s="76" t="s">
        <v>2219</v>
      </c>
      <c r="E181" s="82" t="s">
        <v>2224</v>
      </c>
      <c r="F181" s="13" t="s">
        <v>1261</v>
      </c>
      <c r="G181" s="79" t="s">
        <v>1262</v>
      </c>
      <c r="H181" s="168">
        <v>200</v>
      </c>
      <c r="J181" s="102" t="s">
        <v>50</v>
      </c>
      <c r="K181" s="102" t="s">
        <v>482</v>
      </c>
      <c r="L181" s="102" t="s">
        <v>51</v>
      </c>
      <c r="M181" s="102" t="s">
        <v>22</v>
      </c>
      <c r="N181" s="102" t="s">
        <v>21</v>
      </c>
      <c r="O181" s="125" t="s">
        <v>816</v>
      </c>
      <c r="P181" s="102" t="s">
        <v>23</v>
      </c>
      <c r="Q181" s="102" t="s">
        <v>952</v>
      </c>
      <c r="R181" s="102" t="s">
        <v>51</v>
      </c>
      <c r="S181" s="13"/>
      <c r="T181" s="44" t="s">
        <v>484</v>
      </c>
      <c r="U181" s="34" t="s">
        <v>55</v>
      </c>
      <c r="V181" s="13" t="s">
        <v>953</v>
      </c>
      <c r="W181" s="34" t="s">
        <v>954</v>
      </c>
      <c r="X181" s="102" t="s">
        <v>517</v>
      </c>
      <c r="Y181" s="211" t="s">
        <v>1998</v>
      </c>
      <c r="Z181" s="34" t="s">
        <v>955</v>
      </c>
      <c r="AA181" s="212" t="s">
        <v>2008</v>
      </c>
      <c r="AB181" s="34" t="s">
        <v>488</v>
      </c>
      <c r="AC181" s="46" t="s">
        <v>489</v>
      </c>
      <c r="AD181" s="46" t="s">
        <v>490</v>
      </c>
      <c r="AE181" s="34" t="s">
        <v>491</v>
      </c>
      <c r="AF181" s="34" t="s">
        <v>492</v>
      </c>
      <c r="AG181" s="34" t="s">
        <v>493</v>
      </c>
      <c r="AH181" s="34" t="s">
        <v>494</v>
      </c>
      <c r="AI181" s="34" t="s">
        <v>495</v>
      </c>
    </row>
    <row r="182" spans="1:35" ht="57.6" x14ac:dyDescent="0.3">
      <c r="A182" s="131">
        <v>181</v>
      </c>
      <c r="B182" s="79" t="str">
        <f t="shared" si="49"/>
        <v>Y</v>
      </c>
      <c r="C182" s="79" t="s">
        <v>45</v>
      </c>
      <c r="D182" s="76" t="s">
        <v>2221</v>
      </c>
      <c r="E182" s="82" t="s">
        <v>2225</v>
      </c>
      <c r="F182" s="13" t="s">
        <v>1261</v>
      </c>
      <c r="G182" s="79" t="s">
        <v>1262</v>
      </c>
      <c r="H182" s="168">
        <v>200</v>
      </c>
      <c r="J182" s="102" t="s">
        <v>50</v>
      </c>
      <c r="K182" s="102" t="s">
        <v>482</v>
      </c>
      <c r="L182" s="102" t="s">
        <v>51</v>
      </c>
      <c r="M182" s="102" t="s">
        <v>22</v>
      </c>
      <c r="N182" s="102" t="s">
        <v>21</v>
      </c>
      <c r="O182" s="125" t="s">
        <v>816</v>
      </c>
      <c r="P182" s="102" t="s">
        <v>23</v>
      </c>
      <c r="Q182" s="102" t="s">
        <v>952</v>
      </c>
      <c r="R182" s="102" t="s">
        <v>51</v>
      </c>
      <c r="S182" s="13"/>
      <c r="T182" s="44" t="s">
        <v>520</v>
      </c>
      <c r="U182" s="34" t="s">
        <v>55</v>
      </c>
      <c r="V182" s="13" t="s">
        <v>953</v>
      </c>
      <c r="W182" s="34" t="s">
        <v>954</v>
      </c>
      <c r="X182" s="102" t="s">
        <v>1154</v>
      </c>
      <c r="Y182" s="211" t="s">
        <v>1155</v>
      </c>
      <c r="Z182" s="34" t="s">
        <v>955</v>
      </c>
      <c r="AA182" s="212" t="s">
        <v>2009</v>
      </c>
      <c r="AB182" s="34" t="s">
        <v>488</v>
      </c>
      <c r="AC182" s="46" t="s">
        <v>489</v>
      </c>
      <c r="AD182" s="46" t="s">
        <v>490</v>
      </c>
      <c r="AE182" s="34" t="s">
        <v>491</v>
      </c>
      <c r="AF182" s="34" t="s">
        <v>492</v>
      </c>
      <c r="AG182" s="34" t="s">
        <v>493</v>
      </c>
      <c r="AH182" s="34" t="s">
        <v>494</v>
      </c>
      <c r="AI182" s="34" t="s">
        <v>495</v>
      </c>
    </row>
    <row r="183" spans="1:35" ht="57.6" x14ac:dyDescent="0.3">
      <c r="A183" s="131">
        <v>182</v>
      </c>
      <c r="B183" s="79" t="str">
        <f t="shared" si="49"/>
        <v>Y</v>
      </c>
      <c r="C183" s="79" t="s">
        <v>45</v>
      </c>
      <c r="D183" s="76" t="s">
        <v>2222</v>
      </c>
      <c r="E183" s="82" t="s">
        <v>2226</v>
      </c>
      <c r="F183" s="13" t="s">
        <v>1261</v>
      </c>
      <c r="G183" s="79" t="s">
        <v>1262</v>
      </c>
      <c r="H183" s="168">
        <v>200</v>
      </c>
      <c r="J183" s="102" t="s">
        <v>50</v>
      </c>
      <c r="K183" s="102" t="s">
        <v>482</v>
      </c>
      <c r="L183" s="102" t="s">
        <v>51</v>
      </c>
      <c r="M183" s="102" t="s">
        <v>22</v>
      </c>
      <c r="N183" s="102" t="s">
        <v>21</v>
      </c>
      <c r="O183" s="125" t="s">
        <v>816</v>
      </c>
      <c r="P183" s="102" t="s">
        <v>23</v>
      </c>
      <c r="Q183" s="102" t="s">
        <v>952</v>
      </c>
      <c r="R183" s="102" t="s">
        <v>51</v>
      </c>
      <c r="S183" s="13"/>
      <c r="T183" s="44" t="s">
        <v>171</v>
      </c>
      <c r="U183" s="34" t="s">
        <v>55</v>
      </c>
      <c r="V183" s="13" t="s">
        <v>953</v>
      </c>
      <c r="W183" s="34" t="s">
        <v>954</v>
      </c>
      <c r="X183" s="102" t="s">
        <v>964</v>
      </c>
      <c r="Y183" s="211" t="s">
        <v>1159</v>
      </c>
      <c r="Z183" s="34" t="s">
        <v>955</v>
      </c>
      <c r="AA183" s="212" t="s">
        <v>2010</v>
      </c>
      <c r="AB183" s="34" t="s">
        <v>488</v>
      </c>
      <c r="AC183" s="46" t="s">
        <v>489</v>
      </c>
      <c r="AD183" s="46" t="s">
        <v>490</v>
      </c>
      <c r="AE183" s="34" t="s">
        <v>491</v>
      </c>
      <c r="AF183" s="34" t="s">
        <v>492</v>
      </c>
      <c r="AG183" s="34" t="s">
        <v>493</v>
      </c>
      <c r="AH183" s="34" t="s">
        <v>494</v>
      </c>
      <c r="AI183" s="34" t="s">
        <v>495</v>
      </c>
    </row>
    <row r="184" spans="1:35" ht="43.2" x14ac:dyDescent="0.3">
      <c r="A184" s="131">
        <v>183</v>
      </c>
      <c r="B184" s="161" t="str">
        <f t="shared" si="41"/>
        <v>N</v>
      </c>
      <c r="C184" s="161" t="s">
        <v>113</v>
      </c>
      <c r="D184" s="162" t="s">
        <v>1263</v>
      </c>
      <c r="E184" s="180" t="s">
        <v>1264</v>
      </c>
      <c r="F184" s="178" t="s">
        <v>778</v>
      </c>
      <c r="G184" s="161" t="s">
        <v>1265</v>
      </c>
      <c r="H184" s="182"/>
      <c r="I184" s="244"/>
      <c r="J184" s="161"/>
      <c r="K184" s="179"/>
      <c r="L184" s="179"/>
      <c r="M184" s="179"/>
      <c r="N184" s="179"/>
      <c r="O184" s="245"/>
      <c r="P184" s="179"/>
      <c r="Q184" s="179"/>
      <c r="R184" s="179"/>
      <c r="S184" s="179"/>
      <c r="T184" s="245"/>
      <c r="U184" s="179"/>
      <c r="V184" s="179"/>
      <c r="W184" s="179"/>
      <c r="X184" s="179"/>
      <c r="Y184" s="218"/>
      <c r="Z184" s="179"/>
      <c r="AA184" s="219"/>
      <c r="AB184" s="178" t="s">
        <v>488</v>
      </c>
      <c r="AC184" s="215" t="s">
        <v>489</v>
      </c>
      <c r="AD184" s="215" t="s">
        <v>490</v>
      </c>
      <c r="AE184" s="178" t="s">
        <v>491</v>
      </c>
      <c r="AF184" s="178" t="s">
        <v>492</v>
      </c>
      <c r="AG184" s="178" t="s">
        <v>493</v>
      </c>
      <c r="AH184" s="178" t="s">
        <v>494</v>
      </c>
      <c r="AI184" s="178" t="s">
        <v>495</v>
      </c>
    </row>
    <row r="185" spans="1:35" ht="57.6" x14ac:dyDescent="0.3">
      <c r="A185" s="131">
        <v>184</v>
      </c>
      <c r="B185" s="79" t="str">
        <f>C185</f>
        <v>Y</v>
      </c>
      <c r="C185" s="79" t="s">
        <v>45</v>
      </c>
      <c r="D185" s="76" t="s">
        <v>2227</v>
      </c>
      <c r="E185" s="82" t="s">
        <v>2229</v>
      </c>
      <c r="F185" s="13" t="s">
        <v>720</v>
      </c>
      <c r="G185" s="79" t="s">
        <v>1266</v>
      </c>
      <c r="H185" s="168">
        <v>200</v>
      </c>
      <c r="J185" s="102" t="s">
        <v>50</v>
      </c>
      <c r="K185" s="102" t="s">
        <v>482</v>
      </c>
      <c r="L185" s="102" t="s">
        <v>51</v>
      </c>
      <c r="M185" s="102" t="s">
        <v>22</v>
      </c>
      <c r="N185" s="102" t="s">
        <v>21</v>
      </c>
      <c r="O185" s="125" t="s">
        <v>816</v>
      </c>
      <c r="P185" s="102" t="s">
        <v>23</v>
      </c>
      <c r="Q185" s="102" t="s">
        <v>952</v>
      </c>
      <c r="R185" s="102" t="s">
        <v>51</v>
      </c>
      <c r="S185" s="13"/>
      <c r="T185" s="44" t="s">
        <v>484</v>
      </c>
      <c r="U185" s="34" t="s">
        <v>55</v>
      </c>
      <c r="V185" s="13" t="s">
        <v>953</v>
      </c>
      <c r="W185" s="34" t="s">
        <v>954</v>
      </c>
      <c r="X185" s="102" t="s">
        <v>486</v>
      </c>
      <c r="Y185" s="128">
        <v>200061812481</v>
      </c>
      <c r="Z185" s="34" t="s">
        <v>955</v>
      </c>
      <c r="AA185" s="212" t="s">
        <v>2007</v>
      </c>
      <c r="AB185" s="34" t="s">
        <v>488</v>
      </c>
      <c r="AC185" s="46" t="s">
        <v>489</v>
      </c>
      <c r="AD185" s="46" t="s">
        <v>490</v>
      </c>
      <c r="AE185" s="34" t="s">
        <v>491</v>
      </c>
      <c r="AF185" s="34" t="s">
        <v>492</v>
      </c>
      <c r="AG185" s="34" t="s">
        <v>493</v>
      </c>
      <c r="AH185" s="34" t="s">
        <v>494</v>
      </c>
      <c r="AI185" s="34" t="s">
        <v>495</v>
      </c>
    </row>
    <row r="186" spans="1:35" ht="57.6" x14ac:dyDescent="0.3">
      <c r="A186" s="131">
        <v>185</v>
      </c>
      <c r="B186" s="79" t="str">
        <f>C186</f>
        <v>Y</v>
      </c>
      <c r="C186" s="79" t="s">
        <v>45</v>
      </c>
      <c r="D186" s="76" t="s">
        <v>2228</v>
      </c>
      <c r="E186" s="82" t="s">
        <v>2230</v>
      </c>
      <c r="F186" s="13" t="s">
        <v>720</v>
      </c>
      <c r="G186" s="79" t="s">
        <v>1266</v>
      </c>
      <c r="H186" s="168">
        <v>200</v>
      </c>
      <c r="J186" s="102" t="s">
        <v>50</v>
      </c>
      <c r="K186" s="102" t="s">
        <v>482</v>
      </c>
      <c r="L186" s="102" t="s">
        <v>51</v>
      </c>
      <c r="M186" s="102" t="s">
        <v>22</v>
      </c>
      <c r="N186" s="102" t="s">
        <v>21</v>
      </c>
      <c r="O186" s="125" t="s">
        <v>816</v>
      </c>
      <c r="P186" s="102" t="s">
        <v>23</v>
      </c>
      <c r="Q186" s="102" t="s">
        <v>952</v>
      </c>
      <c r="R186" s="102" t="s">
        <v>51</v>
      </c>
      <c r="S186" s="13"/>
      <c r="T186" s="44" t="s">
        <v>484</v>
      </c>
      <c r="U186" s="34" t="s">
        <v>55</v>
      </c>
      <c r="V186" s="13" t="s">
        <v>953</v>
      </c>
      <c r="W186" s="34" t="s">
        <v>954</v>
      </c>
      <c r="X186" s="102" t="s">
        <v>517</v>
      </c>
      <c r="Y186" s="211" t="s">
        <v>1998</v>
      </c>
      <c r="Z186" s="34" t="s">
        <v>955</v>
      </c>
      <c r="AA186" s="212" t="s">
        <v>2008</v>
      </c>
      <c r="AB186" s="34" t="s">
        <v>488</v>
      </c>
      <c r="AC186" s="46" t="s">
        <v>489</v>
      </c>
      <c r="AD186" s="46" t="s">
        <v>490</v>
      </c>
      <c r="AE186" s="34" t="s">
        <v>491</v>
      </c>
      <c r="AF186" s="34" t="s">
        <v>492</v>
      </c>
      <c r="AG186" s="34" t="s">
        <v>493</v>
      </c>
      <c r="AH186" s="34" t="s">
        <v>494</v>
      </c>
      <c r="AI186" s="34" t="s">
        <v>495</v>
      </c>
    </row>
    <row r="187" spans="1:35" ht="43.2" x14ac:dyDescent="0.3">
      <c r="A187" s="131">
        <v>186</v>
      </c>
      <c r="B187" s="79" t="str">
        <f t="shared" ref="B187:B196" si="50">C187</f>
        <v>Y</v>
      </c>
      <c r="C187" s="79" t="s">
        <v>45</v>
      </c>
      <c r="D187" s="76" t="s">
        <v>1267</v>
      </c>
      <c r="E187" s="82" t="s">
        <v>1268</v>
      </c>
      <c r="F187" s="13" t="s">
        <v>1269</v>
      </c>
      <c r="G187" s="79" t="s">
        <v>1270</v>
      </c>
      <c r="H187" s="168">
        <v>200</v>
      </c>
      <c r="J187" s="102" t="s">
        <v>50</v>
      </c>
      <c r="K187" s="102" t="s">
        <v>482</v>
      </c>
      <c r="L187" s="102" t="s">
        <v>51</v>
      </c>
      <c r="M187" s="102" t="s">
        <v>22</v>
      </c>
      <c r="N187" s="102" t="s">
        <v>21</v>
      </c>
      <c r="O187" s="125" t="s">
        <v>816</v>
      </c>
      <c r="P187" s="102" t="s">
        <v>23</v>
      </c>
      <c r="Q187" s="102" t="s">
        <v>952</v>
      </c>
      <c r="R187" s="102" t="s">
        <v>51</v>
      </c>
      <c r="S187" s="13"/>
      <c r="T187" s="44" t="s">
        <v>520</v>
      </c>
      <c r="U187" s="34" t="s">
        <v>55</v>
      </c>
      <c r="V187" s="13" t="s">
        <v>953</v>
      </c>
      <c r="W187" s="34" t="s">
        <v>954</v>
      </c>
      <c r="X187" s="102" t="s">
        <v>1154</v>
      </c>
      <c r="Y187" s="211" t="s">
        <v>1155</v>
      </c>
      <c r="Z187" s="34" t="s">
        <v>955</v>
      </c>
      <c r="AA187" s="212" t="s">
        <v>2009</v>
      </c>
      <c r="AB187" s="34" t="s">
        <v>488</v>
      </c>
      <c r="AC187" s="46" t="s">
        <v>489</v>
      </c>
      <c r="AD187" s="46" t="s">
        <v>490</v>
      </c>
      <c r="AE187" s="34" t="s">
        <v>491</v>
      </c>
      <c r="AF187" s="34" t="s">
        <v>492</v>
      </c>
      <c r="AG187" s="34" t="s">
        <v>493</v>
      </c>
      <c r="AH187" s="34" t="s">
        <v>494</v>
      </c>
      <c r="AI187" s="34" t="s">
        <v>495</v>
      </c>
    </row>
    <row r="188" spans="1:35" ht="57.6" x14ac:dyDescent="0.3">
      <c r="A188" s="131">
        <v>187</v>
      </c>
      <c r="B188" s="79" t="str">
        <f t="shared" si="50"/>
        <v>Y</v>
      </c>
      <c r="C188" s="79" t="s">
        <v>45</v>
      </c>
      <c r="D188" s="76" t="s">
        <v>1271</v>
      </c>
      <c r="E188" s="82" t="s">
        <v>1272</v>
      </c>
      <c r="F188" s="13" t="s">
        <v>729</v>
      </c>
      <c r="G188" s="79" t="s">
        <v>1273</v>
      </c>
      <c r="H188" s="168">
        <v>200</v>
      </c>
      <c r="J188" s="102" t="s">
        <v>50</v>
      </c>
      <c r="K188" s="102" t="s">
        <v>482</v>
      </c>
      <c r="L188" s="102" t="s">
        <v>51</v>
      </c>
      <c r="M188" s="102" t="s">
        <v>22</v>
      </c>
      <c r="N188" s="102" t="s">
        <v>21</v>
      </c>
      <c r="O188" s="125" t="s">
        <v>816</v>
      </c>
      <c r="P188" s="102" t="s">
        <v>23</v>
      </c>
      <c r="Q188" s="102" t="s">
        <v>952</v>
      </c>
      <c r="R188" s="102" t="s">
        <v>51</v>
      </c>
      <c r="S188" s="13"/>
      <c r="T188" s="44" t="s">
        <v>171</v>
      </c>
      <c r="U188" s="34" t="s">
        <v>55</v>
      </c>
      <c r="V188" s="13" t="s">
        <v>953</v>
      </c>
      <c r="W188" s="34" t="s">
        <v>954</v>
      </c>
      <c r="X188" s="102" t="s">
        <v>964</v>
      </c>
      <c r="Y188" s="211" t="s">
        <v>1159</v>
      </c>
      <c r="Z188" s="34" t="s">
        <v>955</v>
      </c>
      <c r="AA188" s="212" t="s">
        <v>2010</v>
      </c>
      <c r="AB188" s="34" t="s">
        <v>488</v>
      </c>
      <c r="AC188" s="46" t="s">
        <v>489</v>
      </c>
      <c r="AD188" s="46" t="s">
        <v>490</v>
      </c>
      <c r="AE188" s="34" t="s">
        <v>491</v>
      </c>
      <c r="AF188" s="34" t="s">
        <v>492</v>
      </c>
      <c r="AG188" s="34" t="s">
        <v>493</v>
      </c>
      <c r="AH188" s="34" t="s">
        <v>494</v>
      </c>
      <c r="AI188" s="34" t="s">
        <v>495</v>
      </c>
    </row>
    <row r="189" spans="1:35" ht="86.4" x14ac:dyDescent="0.3">
      <c r="A189" s="131">
        <v>188</v>
      </c>
      <c r="B189" s="79" t="str">
        <f t="shared" si="50"/>
        <v>Y</v>
      </c>
      <c r="C189" s="79" t="s">
        <v>45</v>
      </c>
      <c r="D189" s="76" t="s">
        <v>2231</v>
      </c>
      <c r="E189" s="82" t="s">
        <v>2236</v>
      </c>
      <c r="F189" s="13" t="s">
        <v>1274</v>
      </c>
      <c r="G189" s="79" t="s">
        <v>1275</v>
      </c>
      <c r="H189" s="168">
        <v>401</v>
      </c>
      <c r="I189" s="155" t="s">
        <v>2087</v>
      </c>
      <c r="J189" s="102" t="s">
        <v>50</v>
      </c>
      <c r="K189" s="102" t="s">
        <v>482</v>
      </c>
      <c r="L189" s="102" t="s">
        <v>51</v>
      </c>
      <c r="M189" s="102" t="s">
        <v>22</v>
      </c>
      <c r="N189" s="102" t="s">
        <v>21</v>
      </c>
      <c r="O189" s="125" t="s">
        <v>816</v>
      </c>
      <c r="P189" s="102" t="s">
        <v>23</v>
      </c>
      <c r="Q189" s="102" t="s">
        <v>952</v>
      </c>
      <c r="R189" s="102" t="s">
        <v>51</v>
      </c>
      <c r="S189" s="158" t="s">
        <v>2239</v>
      </c>
      <c r="T189" s="44" t="s">
        <v>484</v>
      </c>
      <c r="U189" s="34" t="s">
        <v>55</v>
      </c>
      <c r="V189" s="13" t="s">
        <v>953</v>
      </c>
      <c r="W189" s="34" t="s">
        <v>954</v>
      </c>
      <c r="X189" s="102" t="s">
        <v>486</v>
      </c>
      <c r="Y189" s="128">
        <v>200061812481</v>
      </c>
      <c r="Z189" s="34" t="s">
        <v>955</v>
      </c>
      <c r="AA189" s="212" t="s">
        <v>2007</v>
      </c>
      <c r="AB189" s="34" t="s">
        <v>488</v>
      </c>
      <c r="AC189" s="46" t="s">
        <v>489</v>
      </c>
      <c r="AD189" s="46" t="s">
        <v>490</v>
      </c>
      <c r="AE189" s="34" t="s">
        <v>491</v>
      </c>
      <c r="AF189" s="34" t="s">
        <v>492</v>
      </c>
      <c r="AG189" s="34" t="s">
        <v>493</v>
      </c>
      <c r="AH189" s="34" t="s">
        <v>494</v>
      </c>
      <c r="AI189" s="34" t="s">
        <v>495</v>
      </c>
    </row>
    <row r="190" spans="1:35" ht="86.4" x14ac:dyDescent="0.3">
      <c r="A190" s="131">
        <v>189</v>
      </c>
      <c r="B190" s="79" t="str">
        <f t="shared" si="50"/>
        <v>Y</v>
      </c>
      <c r="C190" s="79" t="s">
        <v>45</v>
      </c>
      <c r="D190" s="76" t="s">
        <v>2232</v>
      </c>
      <c r="E190" s="82" t="s">
        <v>2235</v>
      </c>
      <c r="F190" s="13" t="s">
        <v>1274</v>
      </c>
      <c r="G190" s="79" t="s">
        <v>1275</v>
      </c>
      <c r="H190" s="168">
        <v>401</v>
      </c>
      <c r="I190" s="155" t="s">
        <v>2087</v>
      </c>
      <c r="J190" s="102" t="s">
        <v>50</v>
      </c>
      <c r="K190" s="102" t="s">
        <v>482</v>
      </c>
      <c r="L190" s="102" t="s">
        <v>51</v>
      </c>
      <c r="M190" s="102" t="s">
        <v>22</v>
      </c>
      <c r="N190" s="102" t="s">
        <v>21</v>
      </c>
      <c r="O190" s="125" t="s">
        <v>816</v>
      </c>
      <c r="P190" s="102" t="s">
        <v>23</v>
      </c>
      <c r="Q190" s="102" t="s">
        <v>952</v>
      </c>
      <c r="R190" s="102" t="s">
        <v>51</v>
      </c>
      <c r="S190" s="158" t="s">
        <v>2239</v>
      </c>
      <c r="T190" s="44" t="s">
        <v>484</v>
      </c>
      <c r="U190" s="34" t="s">
        <v>55</v>
      </c>
      <c r="V190" s="13" t="s">
        <v>953</v>
      </c>
      <c r="W190" s="34" t="s">
        <v>954</v>
      </c>
      <c r="X190" s="102" t="s">
        <v>517</v>
      </c>
      <c r="Y190" s="211" t="s">
        <v>1998</v>
      </c>
      <c r="Z190" s="34" t="s">
        <v>955</v>
      </c>
      <c r="AA190" s="212" t="s">
        <v>2008</v>
      </c>
      <c r="AB190" s="34" t="s">
        <v>488</v>
      </c>
      <c r="AC190" s="46" t="s">
        <v>489</v>
      </c>
      <c r="AD190" s="46" t="s">
        <v>490</v>
      </c>
      <c r="AE190" s="34" t="s">
        <v>491</v>
      </c>
      <c r="AF190" s="34" t="s">
        <v>492</v>
      </c>
      <c r="AG190" s="34" t="s">
        <v>493</v>
      </c>
      <c r="AH190" s="34" t="s">
        <v>494</v>
      </c>
      <c r="AI190" s="34" t="s">
        <v>495</v>
      </c>
    </row>
    <row r="191" spans="1:35" ht="86.4" x14ac:dyDescent="0.3">
      <c r="A191" s="131">
        <v>190</v>
      </c>
      <c r="B191" s="79" t="str">
        <f t="shared" si="50"/>
        <v>Y</v>
      </c>
      <c r="C191" s="79" t="s">
        <v>45</v>
      </c>
      <c r="D191" s="76" t="s">
        <v>2233</v>
      </c>
      <c r="E191" s="82" t="s">
        <v>2237</v>
      </c>
      <c r="F191" s="13" t="s">
        <v>1274</v>
      </c>
      <c r="G191" s="79" t="s">
        <v>1275</v>
      </c>
      <c r="H191" s="168">
        <v>401</v>
      </c>
      <c r="I191" s="155" t="s">
        <v>2087</v>
      </c>
      <c r="J191" s="102" t="s">
        <v>50</v>
      </c>
      <c r="K191" s="102" t="s">
        <v>482</v>
      </c>
      <c r="L191" s="102" t="s">
        <v>51</v>
      </c>
      <c r="M191" s="102" t="s">
        <v>22</v>
      </c>
      <c r="N191" s="102" t="s">
        <v>21</v>
      </c>
      <c r="O191" s="125" t="s">
        <v>816</v>
      </c>
      <c r="P191" s="102" t="s">
        <v>23</v>
      </c>
      <c r="Q191" s="102" t="s">
        <v>952</v>
      </c>
      <c r="R191" s="102" t="s">
        <v>51</v>
      </c>
      <c r="S191" s="158" t="s">
        <v>2239</v>
      </c>
      <c r="T191" s="44" t="s">
        <v>520</v>
      </c>
      <c r="U191" s="34" t="s">
        <v>55</v>
      </c>
      <c r="V191" s="13" t="s">
        <v>953</v>
      </c>
      <c r="W191" s="34" t="s">
        <v>954</v>
      </c>
      <c r="X191" s="102" t="s">
        <v>1154</v>
      </c>
      <c r="Y191" s="211" t="s">
        <v>1155</v>
      </c>
      <c r="Z191" s="34" t="s">
        <v>955</v>
      </c>
      <c r="AA191" s="212" t="s">
        <v>2009</v>
      </c>
      <c r="AB191" s="34" t="s">
        <v>488</v>
      </c>
      <c r="AC191" s="46" t="s">
        <v>489</v>
      </c>
      <c r="AD191" s="46" t="s">
        <v>490</v>
      </c>
      <c r="AE191" s="34" t="s">
        <v>491</v>
      </c>
      <c r="AF191" s="34" t="s">
        <v>492</v>
      </c>
      <c r="AG191" s="34" t="s">
        <v>493</v>
      </c>
      <c r="AH191" s="34" t="s">
        <v>494</v>
      </c>
      <c r="AI191" s="34" t="s">
        <v>495</v>
      </c>
    </row>
    <row r="192" spans="1:35" ht="86.4" x14ac:dyDescent="0.3">
      <c r="A192" s="131">
        <v>191</v>
      </c>
      <c r="B192" s="79" t="str">
        <f t="shared" si="50"/>
        <v>Y</v>
      </c>
      <c r="C192" s="79" t="s">
        <v>45</v>
      </c>
      <c r="D192" s="76" t="s">
        <v>2234</v>
      </c>
      <c r="E192" s="82" t="s">
        <v>2238</v>
      </c>
      <c r="F192" s="13" t="s">
        <v>1274</v>
      </c>
      <c r="G192" s="79" t="s">
        <v>1275</v>
      </c>
      <c r="H192" s="168">
        <v>401</v>
      </c>
      <c r="I192" s="155" t="s">
        <v>2087</v>
      </c>
      <c r="J192" s="102" t="s">
        <v>50</v>
      </c>
      <c r="K192" s="102" t="s">
        <v>482</v>
      </c>
      <c r="L192" s="102" t="s">
        <v>51</v>
      </c>
      <c r="M192" s="102" t="s">
        <v>22</v>
      </c>
      <c r="N192" s="102" t="s">
        <v>21</v>
      </c>
      <c r="O192" s="125" t="s">
        <v>816</v>
      </c>
      <c r="P192" s="102" t="s">
        <v>23</v>
      </c>
      <c r="Q192" s="102" t="s">
        <v>952</v>
      </c>
      <c r="R192" s="102" t="s">
        <v>51</v>
      </c>
      <c r="S192" s="158" t="s">
        <v>2239</v>
      </c>
      <c r="T192" s="44" t="s">
        <v>171</v>
      </c>
      <c r="U192" s="34" t="s">
        <v>55</v>
      </c>
      <c r="V192" s="13" t="s">
        <v>953</v>
      </c>
      <c r="W192" s="34" t="s">
        <v>954</v>
      </c>
      <c r="X192" s="102" t="s">
        <v>964</v>
      </c>
      <c r="Y192" s="211" t="s">
        <v>1159</v>
      </c>
      <c r="Z192" s="34" t="s">
        <v>955</v>
      </c>
      <c r="AA192" s="212" t="s">
        <v>2010</v>
      </c>
      <c r="AB192" s="34" t="s">
        <v>488</v>
      </c>
      <c r="AC192" s="46" t="s">
        <v>489</v>
      </c>
      <c r="AD192" s="46" t="s">
        <v>490</v>
      </c>
      <c r="AE192" s="34" t="s">
        <v>491</v>
      </c>
      <c r="AF192" s="34" t="s">
        <v>492</v>
      </c>
      <c r="AG192" s="34" t="s">
        <v>493</v>
      </c>
      <c r="AH192" s="34" t="s">
        <v>494</v>
      </c>
      <c r="AI192" s="34" t="s">
        <v>495</v>
      </c>
    </row>
    <row r="193" spans="1:35" ht="72" x14ac:dyDescent="0.3">
      <c r="A193" s="131">
        <v>192</v>
      </c>
      <c r="B193" s="79" t="str">
        <f t="shared" si="50"/>
        <v>Y</v>
      </c>
      <c r="C193" s="79" t="s">
        <v>45</v>
      </c>
      <c r="D193" s="76" t="s">
        <v>2240</v>
      </c>
      <c r="E193" s="82" t="s">
        <v>2241</v>
      </c>
      <c r="F193" s="13" t="s">
        <v>1276</v>
      </c>
      <c r="G193" s="79" t="s">
        <v>1277</v>
      </c>
      <c r="H193" s="168">
        <v>403</v>
      </c>
      <c r="I193" s="155" t="s">
        <v>1974</v>
      </c>
      <c r="J193" s="102" t="s">
        <v>50</v>
      </c>
      <c r="K193" s="102" t="s">
        <v>482</v>
      </c>
      <c r="L193" s="102" t="s">
        <v>51</v>
      </c>
      <c r="M193" s="102" t="s">
        <v>2250</v>
      </c>
      <c r="N193" s="102" t="s">
        <v>2249</v>
      </c>
      <c r="O193" s="125" t="s">
        <v>816</v>
      </c>
      <c r="P193" s="102" t="s">
        <v>921</v>
      </c>
      <c r="Q193" s="102" t="s">
        <v>952</v>
      </c>
      <c r="R193" s="102" t="s">
        <v>51</v>
      </c>
      <c r="S193" s="13"/>
      <c r="T193" s="44" t="s">
        <v>484</v>
      </c>
      <c r="U193" s="34" t="s">
        <v>55</v>
      </c>
      <c r="V193" s="13" t="s">
        <v>953</v>
      </c>
      <c r="W193" s="34" t="s">
        <v>954</v>
      </c>
      <c r="X193" s="102" t="s">
        <v>486</v>
      </c>
      <c r="Y193" s="128">
        <v>200061812481</v>
      </c>
      <c r="Z193" s="34" t="s">
        <v>955</v>
      </c>
      <c r="AA193" s="212" t="s">
        <v>2007</v>
      </c>
      <c r="AB193" s="34" t="s">
        <v>488</v>
      </c>
      <c r="AC193" s="46" t="s">
        <v>489</v>
      </c>
      <c r="AD193" s="46" t="s">
        <v>490</v>
      </c>
      <c r="AE193" s="34" t="s">
        <v>491</v>
      </c>
      <c r="AF193" s="34" t="s">
        <v>492</v>
      </c>
      <c r="AG193" s="34" t="s">
        <v>493</v>
      </c>
      <c r="AH193" s="34" t="s">
        <v>494</v>
      </c>
      <c r="AI193" s="34" t="s">
        <v>495</v>
      </c>
    </row>
    <row r="194" spans="1:35" ht="72" x14ac:dyDescent="0.3">
      <c r="A194" s="131">
        <v>193</v>
      </c>
      <c r="B194" s="79" t="str">
        <f t="shared" si="50"/>
        <v>Y</v>
      </c>
      <c r="C194" s="79" t="s">
        <v>45</v>
      </c>
      <c r="D194" s="76" t="s">
        <v>2242</v>
      </c>
      <c r="E194" s="82" t="s">
        <v>2245</v>
      </c>
      <c r="F194" s="13" t="s">
        <v>1276</v>
      </c>
      <c r="G194" s="79" t="s">
        <v>1277</v>
      </c>
      <c r="H194" s="168">
        <v>403</v>
      </c>
      <c r="I194" s="155" t="s">
        <v>1974</v>
      </c>
      <c r="J194" s="102" t="s">
        <v>50</v>
      </c>
      <c r="K194" s="102" t="s">
        <v>482</v>
      </c>
      <c r="L194" s="102" t="s">
        <v>51</v>
      </c>
      <c r="M194" s="102" t="s">
        <v>2250</v>
      </c>
      <c r="N194" s="102" t="s">
        <v>2249</v>
      </c>
      <c r="O194" s="125" t="s">
        <v>816</v>
      </c>
      <c r="P194" s="102" t="s">
        <v>921</v>
      </c>
      <c r="Q194" s="102" t="s">
        <v>952</v>
      </c>
      <c r="R194" s="102" t="s">
        <v>51</v>
      </c>
      <c r="S194" s="13"/>
      <c r="T194" s="44" t="s">
        <v>484</v>
      </c>
      <c r="U194" s="34" t="s">
        <v>55</v>
      </c>
      <c r="V194" s="13" t="s">
        <v>953</v>
      </c>
      <c r="W194" s="34" t="s">
        <v>954</v>
      </c>
      <c r="X194" s="102" t="s">
        <v>517</v>
      </c>
      <c r="Y194" s="211" t="s">
        <v>1998</v>
      </c>
      <c r="Z194" s="34" t="s">
        <v>955</v>
      </c>
      <c r="AA194" s="212" t="s">
        <v>2008</v>
      </c>
      <c r="AB194" s="34" t="s">
        <v>488</v>
      </c>
      <c r="AC194" s="46" t="s">
        <v>489</v>
      </c>
      <c r="AD194" s="46" t="s">
        <v>490</v>
      </c>
      <c r="AE194" s="34" t="s">
        <v>491</v>
      </c>
      <c r="AF194" s="34" t="s">
        <v>492</v>
      </c>
      <c r="AG194" s="34" t="s">
        <v>493</v>
      </c>
      <c r="AH194" s="34" t="s">
        <v>494</v>
      </c>
      <c r="AI194" s="34" t="s">
        <v>495</v>
      </c>
    </row>
    <row r="195" spans="1:35" ht="72" x14ac:dyDescent="0.3">
      <c r="A195" s="131">
        <v>194</v>
      </c>
      <c r="B195" s="79" t="str">
        <f t="shared" si="50"/>
        <v>Y</v>
      </c>
      <c r="C195" s="79" t="s">
        <v>45</v>
      </c>
      <c r="D195" s="76" t="s">
        <v>2243</v>
      </c>
      <c r="E195" s="82" t="s">
        <v>2246</v>
      </c>
      <c r="F195" s="13" t="s">
        <v>1276</v>
      </c>
      <c r="G195" s="79" t="s">
        <v>1277</v>
      </c>
      <c r="H195" s="168">
        <v>403</v>
      </c>
      <c r="I195" s="155" t="s">
        <v>1974</v>
      </c>
      <c r="J195" s="102" t="s">
        <v>50</v>
      </c>
      <c r="K195" s="102" t="s">
        <v>482</v>
      </c>
      <c r="L195" s="102" t="s">
        <v>51</v>
      </c>
      <c r="M195" s="102" t="s">
        <v>2250</v>
      </c>
      <c r="N195" s="102" t="s">
        <v>2249</v>
      </c>
      <c r="O195" s="125" t="s">
        <v>816</v>
      </c>
      <c r="P195" s="102" t="s">
        <v>921</v>
      </c>
      <c r="Q195" s="102" t="s">
        <v>952</v>
      </c>
      <c r="R195" s="102" t="s">
        <v>51</v>
      </c>
      <c r="S195" s="13"/>
      <c r="T195" s="44" t="s">
        <v>520</v>
      </c>
      <c r="U195" s="34" t="s">
        <v>55</v>
      </c>
      <c r="V195" s="13" t="s">
        <v>953</v>
      </c>
      <c r="W195" s="34" t="s">
        <v>954</v>
      </c>
      <c r="X195" s="102" t="s">
        <v>1154</v>
      </c>
      <c r="Y195" s="211" t="s">
        <v>1155</v>
      </c>
      <c r="Z195" s="34" t="s">
        <v>955</v>
      </c>
      <c r="AA195" s="212" t="s">
        <v>2009</v>
      </c>
      <c r="AB195" s="34" t="s">
        <v>488</v>
      </c>
      <c r="AC195" s="46" t="s">
        <v>489</v>
      </c>
      <c r="AD195" s="46" t="s">
        <v>490</v>
      </c>
      <c r="AE195" s="34" t="s">
        <v>491</v>
      </c>
      <c r="AF195" s="34" t="s">
        <v>492</v>
      </c>
      <c r="AG195" s="34" t="s">
        <v>493</v>
      </c>
      <c r="AH195" s="34" t="s">
        <v>494</v>
      </c>
      <c r="AI195" s="34" t="s">
        <v>495</v>
      </c>
    </row>
    <row r="196" spans="1:35" ht="72" x14ac:dyDescent="0.3">
      <c r="A196" s="131">
        <v>195</v>
      </c>
      <c r="B196" s="79" t="str">
        <f t="shared" si="50"/>
        <v>Y</v>
      </c>
      <c r="C196" s="79" t="s">
        <v>45</v>
      </c>
      <c r="D196" s="76" t="s">
        <v>2244</v>
      </c>
      <c r="E196" s="82" t="s">
        <v>2247</v>
      </c>
      <c r="F196" s="13" t="s">
        <v>1276</v>
      </c>
      <c r="G196" s="79" t="s">
        <v>1277</v>
      </c>
      <c r="H196" s="168">
        <v>403</v>
      </c>
      <c r="I196" s="155" t="s">
        <v>1974</v>
      </c>
      <c r="J196" s="102" t="s">
        <v>50</v>
      </c>
      <c r="K196" s="102" t="s">
        <v>482</v>
      </c>
      <c r="L196" s="102" t="s">
        <v>51</v>
      </c>
      <c r="M196" s="102" t="s">
        <v>2250</v>
      </c>
      <c r="N196" s="102" t="s">
        <v>2249</v>
      </c>
      <c r="O196" s="125" t="s">
        <v>816</v>
      </c>
      <c r="P196" s="102" t="s">
        <v>921</v>
      </c>
      <c r="Q196" s="102" t="s">
        <v>952</v>
      </c>
      <c r="R196" s="102" t="s">
        <v>51</v>
      </c>
      <c r="S196" s="13"/>
      <c r="T196" s="44" t="s">
        <v>171</v>
      </c>
      <c r="U196" s="34" t="s">
        <v>55</v>
      </c>
      <c r="V196" s="13" t="s">
        <v>953</v>
      </c>
      <c r="W196" s="34" t="s">
        <v>954</v>
      </c>
      <c r="X196" s="102" t="s">
        <v>964</v>
      </c>
      <c r="Y196" s="211" t="s">
        <v>1159</v>
      </c>
      <c r="Z196" s="34" t="s">
        <v>955</v>
      </c>
      <c r="AA196" s="212" t="s">
        <v>2010</v>
      </c>
      <c r="AB196" s="34" t="s">
        <v>488</v>
      </c>
      <c r="AC196" s="46" t="s">
        <v>489</v>
      </c>
      <c r="AD196" s="46" t="s">
        <v>490</v>
      </c>
      <c r="AE196" s="34" t="s">
        <v>491</v>
      </c>
      <c r="AF196" s="34" t="s">
        <v>492</v>
      </c>
      <c r="AG196" s="34" t="s">
        <v>493</v>
      </c>
      <c r="AH196" s="34" t="s">
        <v>494</v>
      </c>
      <c r="AI196" s="34" t="s">
        <v>495</v>
      </c>
    </row>
    <row r="197" spans="1:35" ht="72" x14ac:dyDescent="0.3">
      <c r="A197" s="131">
        <v>196</v>
      </c>
      <c r="B197" s="79" t="str">
        <f t="shared" si="41"/>
        <v>Y</v>
      </c>
      <c r="C197" s="79" t="s">
        <v>45</v>
      </c>
      <c r="D197" s="76" t="s">
        <v>1278</v>
      </c>
      <c r="E197" s="82" t="s">
        <v>1279</v>
      </c>
      <c r="F197" s="13" t="s">
        <v>1280</v>
      </c>
      <c r="G197" s="79" t="s">
        <v>1281</v>
      </c>
      <c r="H197" s="168">
        <v>400</v>
      </c>
      <c r="I197" s="155" t="s">
        <v>1995</v>
      </c>
      <c r="J197" s="102" t="s">
        <v>50</v>
      </c>
      <c r="K197" s="102" t="s">
        <v>482</v>
      </c>
      <c r="L197" s="102" t="s">
        <v>51</v>
      </c>
      <c r="M197" s="102" t="s">
        <v>22</v>
      </c>
      <c r="N197" s="102" t="s">
        <v>21</v>
      </c>
      <c r="O197" s="125" t="s">
        <v>816</v>
      </c>
      <c r="P197" s="102" t="s">
        <v>23</v>
      </c>
      <c r="Q197" s="102" t="s">
        <v>952</v>
      </c>
      <c r="R197" s="102" t="s">
        <v>51</v>
      </c>
      <c r="S197" s="13"/>
      <c r="T197" s="44" t="s">
        <v>484</v>
      </c>
      <c r="U197" s="34" t="s">
        <v>55</v>
      </c>
      <c r="V197" s="13" t="s">
        <v>953</v>
      </c>
      <c r="W197" s="34" t="s">
        <v>954</v>
      </c>
      <c r="X197" s="102" t="s">
        <v>486</v>
      </c>
      <c r="Y197" s="128">
        <v>200061812481</v>
      </c>
      <c r="Z197" s="34" t="s">
        <v>955</v>
      </c>
      <c r="AA197" s="212" t="s">
        <v>1977</v>
      </c>
      <c r="AB197" s="34" t="s">
        <v>488</v>
      </c>
      <c r="AC197" s="46" t="s">
        <v>489</v>
      </c>
      <c r="AD197" s="46" t="s">
        <v>490</v>
      </c>
      <c r="AE197" s="34" t="s">
        <v>491</v>
      </c>
      <c r="AF197" s="34" t="s">
        <v>492</v>
      </c>
      <c r="AG197" s="34" t="s">
        <v>493</v>
      </c>
      <c r="AH197" s="34" t="s">
        <v>494</v>
      </c>
      <c r="AI197" s="34" t="s">
        <v>495</v>
      </c>
    </row>
    <row r="198" spans="1:35" ht="72" x14ac:dyDescent="0.3">
      <c r="A198" s="131">
        <v>197</v>
      </c>
      <c r="B198" s="161" t="str">
        <f t="shared" si="41"/>
        <v>N</v>
      </c>
      <c r="C198" s="161" t="s">
        <v>113</v>
      </c>
      <c r="D198" s="162" t="s">
        <v>1282</v>
      </c>
      <c r="E198" s="180" t="s">
        <v>1283</v>
      </c>
      <c r="F198" s="178" t="s">
        <v>1284</v>
      </c>
      <c r="G198" s="161" t="s">
        <v>1285</v>
      </c>
      <c r="H198" s="172">
        <v>409</v>
      </c>
      <c r="I198" s="244"/>
      <c r="J198" s="161" t="s">
        <v>50</v>
      </c>
      <c r="K198" s="178" t="s">
        <v>482</v>
      </c>
      <c r="L198" s="178" t="s">
        <v>51</v>
      </c>
      <c r="M198" s="178" t="s">
        <v>22</v>
      </c>
      <c r="N198" s="178" t="s">
        <v>21</v>
      </c>
      <c r="O198" s="246" t="s">
        <v>816</v>
      </c>
      <c r="P198" s="178" t="s">
        <v>23</v>
      </c>
      <c r="Q198" s="178" t="s">
        <v>952</v>
      </c>
      <c r="R198" s="178" t="s">
        <v>51</v>
      </c>
      <c r="S198" s="178"/>
      <c r="T198" s="246" t="s">
        <v>484</v>
      </c>
      <c r="U198" s="178" t="s">
        <v>55</v>
      </c>
      <c r="V198" s="178" t="s">
        <v>953</v>
      </c>
      <c r="W198" s="178" t="s">
        <v>954</v>
      </c>
      <c r="X198" s="178" t="s">
        <v>486</v>
      </c>
      <c r="Y198" s="214">
        <v>200061812481</v>
      </c>
      <c r="Z198" s="178" t="s">
        <v>955</v>
      </c>
      <c r="AA198" s="183">
        <v>1</v>
      </c>
      <c r="AB198" s="178" t="s">
        <v>488</v>
      </c>
      <c r="AC198" s="215" t="s">
        <v>489</v>
      </c>
      <c r="AD198" s="215" t="s">
        <v>490</v>
      </c>
      <c r="AE198" s="178" t="s">
        <v>491</v>
      </c>
      <c r="AF198" s="178" t="s">
        <v>492</v>
      </c>
      <c r="AG198" s="178" t="s">
        <v>493</v>
      </c>
      <c r="AH198" s="178" t="s">
        <v>494</v>
      </c>
      <c r="AI198" s="178" t="s">
        <v>495</v>
      </c>
    </row>
    <row r="199" spans="1:35" ht="57.6" x14ac:dyDescent="0.3">
      <c r="A199" s="131">
        <v>198</v>
      </c>
      <c r="B199" s="79" t="str">
        <f t="shared" si="41"/>
        <v>Y</v>
      </c>
      <c r="C199" s="79" t="s">
        <v>45</v>
      </c>
      <c r="D199" s="166" t="s">
        <v>2251</v>
      </c>
      <c r="E199" s="82" t="s">
        <v>2255</v>
      </c>
      <c r="F199" s="13" t="s">
        <v>1286</v>
      </c>
      <c r="G199" s="79" t="s">
        <v>1287</v>
      </c>
      <c r="H199" s="168">
        <v>400</v>
      </c>
      <c r="I199" s="131" t="s">
        <v>2166</v>
      </c>
      <c r="J199" s="102" t="s">
        <v>50</v>
      </c>
      <c r="K199" s="102" t="s">
        <v>482</v>
      </c>
      <c r="L199" s="102" t="s">
        <v>51</v>
      </c>
      <c r="M199" s="102" t="s">
        <v>22</v>
      </c>
      <c r="N199" s="102" t="s">
        <v>21</v>
      </c>
      <c r="O199" s="125" t="s">
        <v>816</v>
      </c>
      <c r="P199" s="102" t="s">
        <v>23</v>
      </c>
      <c r="Q199" s="102" t="s">
        <v>952</v>
      </c>
      <c r="R199" s="102" t="s">
        <v>51</v>
      </c>
      <c r="S199" s="34"/>
      <c r="T199" s="44" t="s">
        <v>484</v>
      </c>
      <c r="U199" s="34" t="s">
        <v>55</v>
      </c>
      <c r="V199" s="34" t="s">
        <v>953</v>
      </c>
      <c r="W199" s="34" t="s">
        <v>954</v>
      </c>
      <c r="X199" s="102" t="s">
        <v>2165</v>
      </c>
      <c r="Y199" s="128">
        <v>200061812481</v>
      </c>
      <c r="Z199" s="34" t="s">
        <v>955</v>
      </c>
      <c r="AA199" s="212" t="s">
        <v>2007</v>
      </c>
      <c r="AB199" s="34" t="s">
        <v>488</v>
      </c>
      <c r="AC199" s="46" t="s">
        <v>489</v>
      </c>
      <c r="AD199" s="46" t="s">
        <v>490</v>
      </c>
      <c r="AE199" s="34" t="s">
        <v>491</v>
      </c>
      <c r="AF199" s="34" t="s">
        <v>492</v>
      </c>
      <c r="AG199" s="34" t="s">
        <v>493</v>
      </c>
      <c r="AH199" s="34" t="s">
        <v>494</v>
      </c>
      <c r="AI199" s="34" t="s">
        <v>495</v>
      </c>
    </row>
    <row r="200" spans="1:35" ht="57.6" x14ac:dyDescent="0.3">
      <c r="A200" s="131">
        <v>199</v>
      </c>
      <c r="B200" s="79" t="str">
        <f t="shared" ref="B200:B202" si="51">C200</f>
        <v>Y</v>
      </c>
      <c r="C200" s="79" t="s">
        <v>45</v>
      </c>
      <c r="D200" s="166" t="s">
        <v>2252</v>
      </c>
      <c r="E200" s="82" t="s">
        <v>2256</v>
      </c>
      <c r="F200" s="13" t="s">
        <v>1286</v>
      </c>
      <c r="G200" s="79" t="s">
        <v>1287</v>
      </c>
      <c r="H200" s="168">
        <v>400</v>
      </c>
      <c r="I200" s="131" t="s">
        <v>2168</v>
      </c>
      <c r="J200" s="102" t="s">
        <v>50</v>
      </c>
      <c r="K200" s="102" t="s">
        <v>482</v>
      </c>
      <c r="L200" s="102" t="s">
        <v>51</v>
      </c>
      <c r="M200" s="102" t="s">
        <v>22</v>
      </c>
      <c r="N200" s="102" t="s">
        <v>21</v>
      </c>
      <c r="O200" s="125" t="s">
        <v>816</v>
      </c>
      <c r="P200" s="102" t="s">
        <v>23</v>
      </c>
      <c r="Q200" s="102" t="s">
        <v>952</v>
      </c>
      <c r="R200" s="102" t="s">
        <v>51</v>
      </c>
      <c r="S200" s="34"/>
      <c r="T200" s="44" t="s">
        <v>2167</v>
      </c>
      <c r="U200" s="34" t="s">
        <v>55</v>
      </c>
      <c r="V200" s="34" t="s">
        <v>953</v>
      </c>
      <c r="W200" s="34" t="s">
        <v>954</v>
      </c>
      <c r="X200" s="102" t="s">
        <v>517</v>
      </c>
      <c r="Y200" s="211" t="s">
        <v>1998</v>
      </c>
      <c r="Z200" s="34" t="s">
        <v>955</v>
      </c>
      <c r="AA200" s="212" t="s">
        <v>2008</v>
      </c>
      <c r="AB200" s="34" t="s">
        <v>488</v>
      </c>
      <c r="AC200" s="46" t="s">
        <v>489</v>
      </c>
      <c r="AD200" s="46" t="s">
        <v>490</v>
      </c>
      <c r="AE200" s="34" t="s">
        <v>491</v>
      </c>
      <c r="AF200" s="34" t="s">
        <v>492</v>
      </c>
      <c r="AG200" s="34" t="s">
        <v>493</v>
      </c>
      <c r="AH200" s="34" t="s">
        <v>494</v>
      </c>
      <c r="AI200" s="34" t="s">
        <v>495</v>
      </c>
    </row>
    <row r="201" spans="1:35" ht="57.6" x14ac:dyDescent="0.3">
      <c r="A201" s="131">
        <v>200</v>
      </c>
      <c r="B201" s="79" t="str">
        <f t="shared" si="51"/>
        <v>Y</v>
      </c>
      <c r="C201" s="79" t="s">
        <v>45</v>
      </c>
      <c r="D201" s="166" t="s">
        <v>2253</v>
      </c>
      <c r="E201" s="82" t="s">
        <v>2257</v>
      </c>
      <c r="F201" s="13" t="s">
        <v>1286</v>
      </c>
      <c r="G201" s="79" t="s">
        <v>1287</v>
      </c>
      <c r="H201" s="168">
        <v>400</v>
      </c>
      <c r="I201" s="131" t="s">
        <v>1968</v>
      </c>
      <c r="J201" s="102" t="s">
        <v>50</v>
      </c>
      <c r="K201" s="102" t="s">
        <v>482</v>
      </c>
      <c r="L201" s="102" t="s">
        <v>51</v>
      </c>
      <c r="M201" s="102" t="s">
        <v>22</v>
      </c>
      <c r="N201" s="102" t="s">
        <v>21</v>
      </c>
      <c r="O201" s="125" t="s">
        <v>816</v>
      </c>
      <c r="P201" s="102" t="s">
        <v>23</v>
      </c>
      <c r="Q201" s="102" t="s">
        <v>952</v>
      </c>
      <c r="R201" s="102" t="s">
        <v>51</v>
      </c>
      <c r="S201" s="34"/>
      <c r="T201" s="44" t="s">
        <v>520</v>
      </c>
      <c r="U201" s="34" t="s">
        <v>55</v>
      </c>
      <c r="V201" s="34" t="s">
        <v>953</v>
      </c>
      <c r="W201" s="34" t="s">
        <v>954</v>
      </c>
      <c r="X201" s="102" t="s">
        <v>1154</v>
      </c>
      <c r="Y201" s="211" t="s">
        <v>1963</v>
      </c>
      <c r="Z201" s="34" t="s">
        <v>955</v>
      </c>
      <c r="AA201" s="212" t="s">
        <v>2009</v>
      </c>
      <c r="AB201" s="34" t="s">
        <v>488</v>
      </c>
      <c r="AC201" s="46" t="s">
        <v>489</v>
      </c>
      <c r="AD201" s="46" t="s">
        <v>490</v>
      </c>
      <c r="AE201" s="34" t="s">
        <v>491</v>
      </c>
      <c r="AF201" s="34" t="s">
        <v>492</v>
      </c>
      <c r="AG201" s="34" t="s">
        <v>493</v>
      </c>
      <c r="AH201" s="34" t="s">
        <v>494</v>
      </c>
      <c r="AI201" s="34" t="s">
        <v>495</v>
      </c>
    </row>
    <row r="202" spans="1:35" ht="57.6" x14ac:dyDescent="0.3">
      <c r="A202" s="131">
        <v>201</v>
      </c>
      <c r="B202" s="79" t="str">
        <f t="shared" si="51"/>
        <v>Y</v>
      </c>
      <c r="C202" s="79" t="s">
        <v>45</v>
      </c>
      <c r="D202" s="166" t="s">
        <v>2254</v>
      </c>
      <c r="E202" s="82" t="s">
        <v>2258</v>
      </c>
      <c r="F202" s="13" t="s">
        <v>1286</v>
      </c>
      <c r="G202" s="79" t="s">
        <v>1287</v>
      </c>
      <c r="H202" s="168">
        <v>400</v>
      </c>
      <c r="I202" s="131" t="s">
        <v>1995</v>
      </c>
      <c r="J202" s="102" t="s">
        <v>50</v>
      </c>
      <c r="K202" s="102" t="s">
        <v>482</v>
      </c>
      <c r="L202" s="102" t="s">
        <v>51</v>
      </c>
      <c r="M202" s="102" t="s">
        <v>22</v>
      </c>
      <c r="N202" s="102" t="s">
        <v>21</v>
      </c>
      <c r="O202" s="125" t="s">
        <v>816</v>
      </c>
      <c r="P202" s="102" t="s">
        <v>23</v>
      </c>
      <c r="Q202" s="102" t="s">
        <v>952</v>
      </c>
      <c r="R202" s="102" t="s">
        <v>51</v>
      </c>
      <c r="S202" s="34"/>
      <c r="T202" s="44" t="s">
        <v>171</v>
      </c>
      <c r="U202" s="34" t="s">
        <v>55</v>
      </c>
      <c r="V202" s="34" t="s">
        <v>953</v>
      </c>
      <c r="W202" s="34" t="s">
        <v>954</v>
      </c>
      <c r="X202" s="102" t="s">
        <v>964</v>
      </c>
      <c r="Y202" s="211" t="s">
        <v>1159</v>
      </c>
      <c r="Z202" s="34" t="s">
        <v>955</v>
      </c>
      <c r="AA202" s="212" t="s">
        <v>1963</v>
      </c>
      <c r="AB202" s="34" t="s">
        <v>488</v>
      </c>
      <c r="AC202" s="46" t="s">
        <v>489</v>
      </c>
      <c r="AD202" s="46" t="s">
        <v>490</v>
      </c>
      <c r="AE202" s="34" t="s">
        <v>491</v>
      </c>
      <c r="AF202" s="34" t="s">
        <v>492</v>
      </c>
      <c r="AG202" s="34" t="s">
        <v>493</v>
      </c>
      <c r="AH202" s="34" t="s">
        <v>494</v>
      </c>
      <c r="AI202" s="34" t="s">
        <v>495</v>
      </c>
    </row>
    <row r="203" spans="1:35" ht="72" x14ac:dyDescent="0.3">
      <c r="A203" s="131">
        <v>202</v>
      </c>
      <c r="B203" s="161" t="str">
        <f t="shared" si="41"/>
        <v>N</v>
      </c>
      <c r="C203" s="161" t="s">
        <v>113</v>
      </c>
      <c r="D203" s="162" t="s">
        <v>1288</v>
      </c>
      <c r="E203" s="180" t="s">
        <v>1289</v>
      </c>
      <c r="F203" s="178" t="s">
        <v>796</v>
      </c>
      <c r="G203" s="161" t="s">
        <v>1290</v>
      </c>
      <c r="H203" s="182"/>
      <c r="I203" s="244"/>
      <c r="J203" s="161"/>
      <c r="K203" s="179"/>
      <c r="L203" s="179"/>
      <c r="M203" s="179"/>
      <c r="N203" s="179"/>
      <c r="O203" s="245"/>
      <c r="P203" s="179"/>
      <c r="Q203" s="179"/>
      <c r="R203" s="179"/>
      <c r="S203" s="179"/>
      <c r="T203" s="245"/>
      <c r="U203" s="179"/>
      <c r="V203" s="179"/>
      <c r="W203" s="179"/>
      <c r="X203" s="179"/>
      <c r="Y203" s="218"/>
      <c r="Z203" s="179"/>
      <c r="AA203" s="219"/>
      <c r="AB203" s="178" t="s">
        <v>488</v>
      </c>
      <c r="AC203" s="215" t="s">
        <v>489</v>
      </c>
      <c r="AD203" s="215" t="s">
        <v>490</v>
      </c>
      <c r="AE203" s="178" t="s">
        <v>491</v>
      </c>
      <c r="AF203" s="178" t="s">
        <v>492</v>
      </c>
      <c r="AG203" s="178" t="s">
        <v>493</v>
      </c>
      <c r="AH203" s="178" t="s">
        <v>494</v>
      </c>
      <c r="AI203" s="178" t="s">
        <v>495</v>
      </c>
    </row>
    <row r="204" spans="1:35" ht="72" x14ac:dyDescent="0.3">
      <c r="A204" s="131">
        <v>203</v>
      </c>
      <c r="B204" s="161" t="str">
        <f t="shared" si="41"/>
        <v>N</v>
      </c>
      <c r="C204" s="161" t="s">
        <v>113</v>
      </c>
      <c r="D204" s="162" t="s">
        <v>1291</v>
      </c>
      <c r="E204" s="180" t="s">
        <v>1292</v>
      </c>
      <c r="F204" s="178" t="s">
        <v>805</v>
      </c>
      <c r="G204" s="161" t="s">
        <v>1293</v>
      </c>
      <c r="H204" s="182"/>
      <c r="I204" s="244"/>
      <c r="J204" s="161"/>
      <c r="K204" s="179"/>
      <c r="L204" s="179"/>
      <c r="M204" s="179"/>
      <c r="N204" s="179"/>
      <c r="O204" s="245"/>
      <c r="P204" s="179"/>
      <c r="Q204" s="179"/>
      <c r="R204" s="179"/>
      <c r="S204" s="179"/>
      <c r="T204" s="245"/>
      <c r="U204" s="179"/>
      <c r="V204" s="179"/>
      <c r="W204" s="179"/>
      <c r="X204" s="179"/>
      <c r="Y204" s="218"/>
      <c r="Z204" s="179"/>
      <c r="AA204" s="219"/>
      <c r="AB204" s="178" t="s">
        <v>488</v>
      </c>
      <c r="AC204" s="215" t="s">
        <v>489</v>
      </c>
      <c r="AD204" s="215" t="s">
        <v>490</v>
      </c>
      <c r="AE204" s="178" t="s">
        <v>491</v>
      </c>
      <c r="AF204" s="178" t="s">
        <v>492</v>
      </c>
      <c r="AG204" s="178" t="s">
        <v>493</v>
      </c>
      <c r="AH204" s="178" t="s">
        <v>494</v>
      </c>
      <c r="AI204" s="178" t="s">
        <v>495</v>
      </c>
    </row>
    <row r="205" spans="1:35" ht="57.6" x14ac:dyDescent="0.3">
      <c r="A205" s="131">
        <v>204</v>
      </c>
      <c r="B205" s="161" t="str">
        <f t="shared" si="41"/>
        <v>N</v>
      </c>
      <c r="C205" s="161" t="s">
        <v>113</v>
      </c>
      <c r="D205" s="162" t="s">
        <v>1294</v>
      </c>
      <c r="E205" s="180" t="s">
        <v>1295</v>
      </c>
      <c r="F205" s="178" t="s">
        <v>1296</v>
      </c>
      <c r="G205" s="161" t="s">
        <v>1297</v>
      </c>
      <c r="H205" s="182"/>
      <c r="I205" s="244"/>
      <c r="J205" s="161"/>
      <c r="K205" s="179"/>
      <c r="L205" s="179"/>
      <c r="M205" s="179"/>
      <c r="N205" s="179"/>
      <c r="O205" s="245"/>
      <c r="P205" s="179"/>
      <c r="Q205" s="179"/>
      <c r="R205" s="179"/>
      <c r="S205" s="179"/>
      <c r="T205" s="245"/>
      <c r="U205" s="179"/>
      <c r="V205" s="179"/>
      <c r="W205" s="179"/>
      <c r="X205" s="179"/>
      <c r="Y205" s="218"/>
      <c r="Z205" s="179"/>
      <c r="AA205" s="219"/>
      <c r="AB205" s="178" t="s">
        <v>488</v>
      </c>
      <c r="AC205" s="215" t="s">
        <v>489</v>
      </c>
      <c r="AD205" s="215" t="s">
        <v>490</v>
      </c>
      <c r="AE205" s="178" t="s">
        <v>491</v>
      </c>
      <c r="AF205" s="178" t="s">
        <v>492</v>
      </c>
      <c r="AG205" s="178" t="s">
        <v>493</v>
      </c>
      <c r="AH205" s="178" t="s">
        <v>494</v>
      </c>
      <c r="AI205" s="178" t="s">
        <v>495</v>
      </c>
    </row>
    <row r="206" spans="1:35" ht="57.6" x14ac:dyDescent="0.3">
      <c r="A206" s="131">
        <v>205</v>
      </c>
      <c r="B206" s="161" t="str">
        <f t="shared" si="41"/>
        <v>N</v>
      </c>
      <c r="C206" s="161" t="s">
        <v>113</v>
      </c>
      <c r="D206" s="162" t="s">
        <v>1298</v>
      </c>
      <c r="E206" s="180" t="s">
        <v>1299</v>
      </c>
      <c r="F206" s="178" t="s">
        <v>1300</v>
      </c>
      <c r="G206" s="161" t="s">
        <v>1301</v>
      </c>
      <c r="H206" s="182"/>
      <c r="I206" s="244"/>
      <c r="J206" s="161"/>
      <c r="K206" s="179"/>
      <c r="L206" s="179"/>
      <c r="M206" s="179"/>
      <c r="N206" s="179"/>
      <c r="O206" s="245"/>
      <c r="P206" s="179"/>
      <c r="Q206" s="179"/>
      <c r="R206" s="179"/>
      <c r="S206" s="179"/>
      <c r="T206" s="245"/>
      <c r="U206" s="179"/>
      <c r="V206" s="179"/>
      <c r="W206" s="179"/>
      <c r="X206" s="179"/>
      <c r="Y206" s="218"/>
      <c r="Z206" s="179"/>
      <c r="AA206" s="219"/>
      <c r="AB206" s="178" t="s">
        <v>488</v>
      </c>
      <c r="AC206" s="215" t="s">
        <v>489</v>
      </c>
      <c r="AD206" s="215" t="s">
        <v>490</v>
      </c>
      <c r="AE206" s="178" t="s">
        <v>491</v>
      </c>
      <c r="AF206" s="178" t="s">
        <v>492</v>
      </c>
      <c r="AG206" s="178" t="s">
        <v>493</v>
      </c>
      <c r="AH206" s="178" t="s">
        <v>494</v>
      </c>
      <c r="AI206" s="178" t="s">
        <v>495</v>
      </c>
    </row>
    <row r="207" spans="1:35" ht="72" x14ac:dyDescent="0.3">
      <c r="A207" s="131">
        <v>206</v>
      </c>
      <c r="B207" s="79" t="str">
        <f t="shared" si="41"/>
        <v>Y</v>
      </c>
      <c r="C207" s="79" t="s">
        <v>45</v>
      </c>
      <c r="D207" s="76" t="s">
        <v>2259</v>
      </c>
      <c r="E207" s="82" t="s">
        <v>2263</v>
      </c>
      <c r="F207" s="13" t="s">
        <v>1302</v>
      </c>
      <c r="G207" s="79" t="s">
        <v>1303</v>
      </c>
      <c r="H207" s="168">
        <v>200</v>
      </c>
      <c r="J207" s="102" t="s">
        <v>50</v>
      </c>
      <c r="K207" s="102" t="s">
        <v>482</v>
      </c>
      <c r="L207" s="102" t="s">
        <v>51</v>
      </c>
      <c r="M207" s="102" t="s">
        <v>22</v>
      </c>
      <c r="N207" s="102" t="s">
        <v>21</v>
      </c>
      <c r="O207" s="125" t="s">
        <v>816</v>
      </c>
      <c r="P207" s="102" t="s">
        <v>23</v>
      </c>
      <c r="Q207" s="102" t="s">
        <v>952</v>
      </c>
      <c r="R207" s="102" t="s">
        <v>51</v>
      </c>
      <c r="S207" s="13"/>
      <c r="T207" s="44" t="s">
        <v>484</v>
      </c>
      <c r="U207" s="34" t="s">
        <v>55</v>
      </c>
      <c r="V207" s="13" t="s">
        <v>953</v>
      </c>
      <c r="W207" s="34" t="s">
        <v>954</v>
      </c>
      <c r="X207" s="102" t="s">
        <v>486</v>
      </c>
      <c r="Y207" s="128">
        <v>200061812481</v>
      </c>
      <c r="Z207" s="34" t="s">
        <v>955</v>
      </c>
      <c r="AA207" s="212" t="s">
        <v>2007</v>
      </c>
      <c r="AB207" s="34" t="s">
        <v>488</v>
      </c>
      <c r="AC207" s="46" t="s">
        <v>489</v>
      </c>
      <c r="AD207" s="46" t="s">
        <v>490</v>
      </c>
      <c r="AE207" s="34" t="s">
        <v>491</v>
      </c>
      <c r="AF207" s="34" t="s">
        <v>492</v>
      </c>
      <c r="AG207" s="34" t="s">
        <v>493</v>
      </c>
      <c r="AH207" s="34" t="s">
        <v>494</v>
      </c>
      <c r="AI207" s="34" t="s">
        <v>495</v>
      </c>
    </row>
    <row r="208" spans="1:35" ht="72" x14ac:dyDescent="0.3">
      <c r="A208" s="131">
        <v>207</v>
      </c>
      <c r="B208" s="79" t="str">
        <f t="shared" ref="B208:B210" si="52">C208</f>
        <v>Y</v>
      </c>
      <c r="C208" s="79" t="s">
        <v>45</v>
      </c>
      <c r="D208" s="76" t="s">
        <v>2260</v>
      </c>
      <c r="E208" s="82" t="s">
        <v>2264</v>
      </c>
      <c r="F208" s="13" t="s">
        <v>1302</v>
      </c>
      <c r="G208" s="79" t="s">
        <v>1303</v>
      </c>
      <c r="H208" s="168">
        <v>200</v>
      </c>
      <c r="J208" s="102" t="s">
        <v>50</v>
      </c>
      <c r="K208" s="102" t="s">
        <v>482</v>
      </c>
      <c r="L208" s="102" t="s">
        <v>51</v>
      </c>
      <c r="M208" s="102" t="s">
        <v>22</v>
      </c>
      <c r="N208" s="102" t="s">
        <v>21</v>
      </c>
      <c r="O208" s="125" t="s">
        <v>816</v>
      </c>
      <c r="P208" s="102" t="s">
        <v>23</v>
      </c>
      <c r="Q208" s="102" t="s">
        <v>952</v>
      </c>
      <c r="R208" s="102" t="s">
        <v>51</v>
      </c>
      <c r="S208" s="13"/>
      <c r="T208" s="44" t="s">
        <v>484</v>
      </c>
      <c r="U208" s="34" t="s">
        <v>55</v>
      </c>
      <c r="V208" s="13" t="s">
        <v>953</v>
      </c>
      <c r="W208" s="34" t="s">
        <v>954</v>
      </c>
      <c r="X208" s="102" t="s">
        <v>517</v>
      </c>
      <c r="Y208" s="211" t="s">
        <v>1998</v>
      </c>
      <c r="Z208" s="34" t="s">
        <v>955</v>
      </c>
      <c r="AA208" s="212" t="s">
        <v>2008</v>
      </c>
      <c r="AB208" s="34" t="s">
        <v>488</v>
      </c>
      <c r="AC208" s="46" t="s">
        <v>489</v>
      </c>
      <c r="AD208" s="46" t="s">
        <v>490</v>
      </c>
      <c r="AE208" s="34" t="s">
        <v>491</v>
      </c>
      <c r="AF208" s="34" t="s">
        <v>492</v>
      </c>
      <c r="AG208" s="34" t="s">
        <v>493</v>
      </c>
      <c r="AH208" s="34" t="s">
        <v>494</v>
      </c>
      <c r="AI208" s="34" t="s">
        <v>495</v>
      </c>
    </row>
    <row r="209" spans="1:35" ht="72" x14ac:dyDescent="0.3">
      <c r="A209" s="131">
        <v>208</v>
      </c>
      <c r="B209" s="79" t="str">
        <f t="shared" si="52"/>
        <v>Y</v>
      </c>
      <c r="C209" s="79" t="s">
        <v>45</v>
      </c>
      <c r="D209" s="76" t="s">
        <v>2261</v>
      </c>
      <c r="E209" s="82" t="s">
        <v>2265</v>
      </c>
      <c r="F209" s="13" t="s">
        <v>1302</v>
      </c>
      <c r="G209" s="79" t="s">
        <v>1303</v>
      </c>
      <c r="H209" s="168">
        <v>200</v>
      </c>
      <c r="J209" s="102" t="s">
        <v>50</v>
      </c>
      <c r="K209" s="102" t="s">
        <v>482</v>
      </c>
      <c r="L209" s="102" t="s">
        <v>51</v>
      </c>
      <c r="M209" s="102" t="s">
        <v>22</v>
      </c>
      <c r="N209" s="102" t="s">
        <v>21</v>
      </c>
      <c r="O209" s="125" t="s">
        <v>816</v>
      </c>
      <c r="P209" s="102" t="s">
        <v>23</v>
      </c>
      <c r="Q209" s="102" t="s">
        <v>952</v>
      </c>
      <c r="R209" s="102" t="s">
        <v>51</v>
      </c>
      <c r="S209" s="13"/>
      <c r="T209" s="44" t="s">
        <v>520</v>
      </c>
      <c r="U209" s="34" t="s">
        <v>55</v>
      </c>
      <c r="V209" s="13" t="s">
        <v>953</v>
      </c>
      <c r="W209" s="34" t="s">
        <v>954</v>
      </c>
      <c r="X209" s="102" t="s">
        <v>1154</v>
      </c>
      <c r="Y209" s="211" t="s">
        <v>1155</v>
      </c>
      <c r="Z209" s="34" t="s">
        <v>955</v>
      </c>
      <c r="AA209" s="212" t="s">
        <v>2009</v>
      </c>
      <c r="AB209" s="34" t="s">
        <v>488</v>
      </c>
      <c r="AC209" s="46" t="s">
        <v>489</v>
      </c>
      <c r="AD209" s="46" t="s">
        <v>490</v>
      </c>
      <c r="AE209" s="34" t="s">
        <v>491</v>
      </c>
      <c r="AF209" s="34" t="s">
        <v>492</v>
      </c>
      <c r="AG209" s="34" t="s">
        <v>493</v>
      </c>
      <c r="AH209" s="34" t="s">
        <v>494</v>
      </c>
      <c r="AI209" s="34" t="s">
        <v>495</v>
      </c>
    </row>
    <row r="210" spans="1:35" ht="72" x14ac:dyDescent="0.3">
      <c r="A210" s="131">
        <v>209</v>
      </c>
      <c r="B210" s="79" t="str">
        <f t="shared" si="52"/>
        <v>Y</v>
      </c>
      <c r="C210" s="79" t="s">
        <v>45</v>
      </c>
      <c r="D210" s="76" t="s">
        <v>2262</v>
      </c>
      <c r="E210" s="82" t="s">
        <v>2266</v>
      </c>
      <c r="F210" s="13" t="s">
        <v>1302</v>
      </c>
      <c r="G210" s="79" t="s">
        <v>1303</v>
      </c>
      <c r="H210" s="168">
        <v>200</v>
      </c>
      <c r="J210" s="102" t="s">
        <v>50</v>
      </c>
      <c r="K210" s="102" t="s">
        <v>482</v>
      </c>
      <c r="L210" s="102" t="s">
        <v>51</v>
      </c>
      <c r="M210" s="102" t="s">
        <v>22</v>
      </c>
      <c r="N210" s="102" t="s">
        <v>21</v>
      </c>
      <c r="O210" s="125" t="s">
        <v>816</v>
      </c>
      <c r="P210" s="102" t="s">
        <v>23</v>
      </c>
      <c r="Q210" s="102" t="s">
        <v>952</v>
      </c>
      <c r="R210" s="102" t="s">
        <v>51</v>
      </c>
      <c r="S210" s="13"/>
      <c r="T210" s="44" t="s">
        <v>171</v>
      </c>
      <c r="U210" s="34" t="s">
        <v>55</v>
      </c>
      <c r="V210" s="13" t="s">
        <v>953</v>
      </c>
      <c r="W210" s="34" t="s">
        <v>954</v>
      </c>
      <c r="X210" s="102" t="s">
        <v>964</v>
      </c>
      <c r="Y210" s="211" t="s">
        <v>1159</v>
      </c>
      <c r="Z210" s="34" t="s">
        <v>955</v>
      </c>
      <c r="AA210" s="212" t="s">
        <v>2010</v>
      </c>
      <c r="AB210" s="34" t="s">
        <v>488</v>
      </c>
      <c r="AC210" s="46" t="s">
        <v>489</v>
      </c>
      <c r="AD210" s="46" t="s">
        <v>490</v>
      </c>
      <c r="AE210" s="34" t="s">
        <v>491</v>
      </c>
      <c r="AF210" s="34" t="s">
        <v>492</v>
      </c>
      <c r="AG210" s="34" t="s">
        <v>493</v>
      </c>
      <c r="AH210" s="34" t="s">
        <v>494</v>
      </c>
      <c r="AI210" s="34" t="s">
        <v>495</v>
      </c>
    </row>
    <row r="211" spans="1:35" ht="72" x14ac:dyDescent="0.3">
      <c r="A211" s="131">
        <v>210</v>
      </c>
      <c r="B211" s="79" t="str">
        <f t="shared" ref="B211:B214" si="53">C211</f>
        <v>Y</v>
      </c>
      <c r="C211" s="79" t="s">
        <v>45</v>
      </c>
      <c r="D211" s="76" t="s">
        <v>2267</v>
      </c>
      <c r="E211" s="82" t="s">
        <v>2271</v>
      </c>
      <c r="F211" s="13" t="s">
        <v>1304</v>
      </c>
      <c r="G211" s="79" t="s">
        <v>1303</v>
      </c>
      <c r="H211" s="168">
        <v>403</v>
      </c>
      <c r="I211" s="155" t="s">
        <v>1974</v>
      </c>
      <c r="J211" s="102" t="s">
        <v>50</v>
      </c>
      <c r="K211" s="102" t="s">
        <v>482</v>
      </c>
      <c r="L211" s="102" t="s">
        <v>51</v>
      </c>
      <c r="M211" s="102" t="s">
        <v>2250</v>
      </c>
      <c r="N211" s="102" t="s">
        <v>2249</v>
      </c>
      <c r="O211" s="125" t="s">
        <v>816</v>
      </c>
      <c r="P211" s="102" t="s">
        <v>921</v>
      </c>
      <c r="Q211" s="102" t="s">
        <v>952</v>
      </c>
      <c r="R211" s="102" t="s">
        <v>51</v>
      </c>
      <c r="S211" s="13"/>
      <c r="T211" s="44" t="s">
        <v>484</v>
      </c>
      <c r="U211" s="34" t="s">
        <v>55</v>
      </c>
      <c r="V211" s="13" t="s">
        <v>953</v>
      </c>
      <c r="W211" s="34" t="s">
        <v>954</v>
      </c>
      <c r="X211" s="102" t="s">
        <v>486</v>
      </c>
      <c r="Y211" s="128">
        <v>200061812481</v>
      </c>
      <c r="Z211" s="34" t="s">
        <v>955</v>
      </c>
      <c r="AA211" s="212" t="s">
        <v>2007</v>
      </c>
      <c r="AB211" s="34" t="s">
        <v>488</v>
      </c>
      <c r="AC211" s="46" t="s">
        <v>489</v>
      </c>
      <c r="AD211" s="46" t="s">
        <v>490</v>
      </c>
      <c r="AE211" s="34" t="s">
        <v>491</v>
      </c>
      <c r="AF211" s="34" t="s">
        <v>492</v>
      </c>
      <c r="AG211" s="34" t="s">
        <v>493</v>
      </c>
      <c r="AH211" s="34" t="s">
        <v>494</v>
      </c>
      <c r="AI211" s="34" t="s">
        <v>495</v>
      </c>
    </row>
    <row r="212" spans="1:35" ht="72" x14ac:dyDescent="0.3">
      <c r="A212" s="131">
        <v>211</v>
      </c>
      <c r="B212" s="79" t="str">
        <f t="shared" si="53"/>
        <v>Y</v>
      </c>
      <c r="C212" s="79" t="s">
        <v>45</v>
      </c>
      <c r="D212" s="76" t="s">
        <v>2268</v>
      </c>
      <c r="E212" s="82" t="s">
        <v>2272</v>
      </c>
      <c r="F212" s="13" t="s">
        <v>1304</v>
      </c>
      <c r="G212" s="79" t="s">
        <v>1303</v>
      </c>
      <c r="H212" s="168">
        <v>403</v>
      </c>
      <c r="I212" s="155" t="s">
        <v>1974</v>
      </c>
      <c r="J212" s="102" t="s">
        <v>50</v>
      </c>
      <c r="K212" s="102" t="s">
        <v>482</v>
      </c>
      <c r="L212" s="102" t="s">
        <v>51</v>
      </c>
      <c r="M212" s="102" t="s">
        <v>2250</v>
      </c>
      <c r="N212" s="102" t="s">
        <v>2249</v>
      </c>
      <c r="O212" s="125" t="s">
        <v>816</v>
      </c>
      <c r="P212" s="102" t="s">
        <v>921</v>
      </c>
      <c r="Q212" s="102" t="s">
        <v>952</v>
      </c>
      <c r="R212" s="102" t="s">
        <v>51</v>
      </c>
      <c r="S212" s="13"/>
      <c r="T212" s="44" t="s">
        <v>484</v>
      </c>
      <c r="U212" s="34" t="s">
        <v>55</v>
      </c>
      <c r="V212" s="13" t="s">
        <v>953</v>
      </c>
      <c r="W212" s="34" t="s">
        <v>954</v>
      </c>
      <c r="X212" s="102" t="s">
        <v>517</v>
      </c>
      <c r="Y212" s="211" t="s">
        <v>1998</v>
      </c>
      <c r="Z212" s="34" t="s">
        <v>955</v>
      </c>
      <c r="AA212" s="212" t="s">
        <v>2008</v>
      </c>
      <c r="AB212" s="34" t="s">
        <v>488</v>
      </c>
      <c r="AC212" s="46" t="s">
        <v>489</v>
      </c>
      <c r="AD212" s="46" t="s">
        <v>490</v>
      </c>
      <c r="AE212" s="34" t="s">
        <v>491</v>
      </c>
      <c r="AF212" s="34" t="s">
        <v>492</v>
      </c>
      <c r="AG212" s="34" t="s">
        <v>493</v>
      </c>
      <c r="AH212" s="34" t="s">
        <v>494</v>
      </c>
      <c r="AI212" s="34" t="s">
        <v>495</v>
      </c>
    </row>
    <row r="213" spans="1:35" ht="72" x14ac:dyDescent="0.3">
      <c r="A213" s="131">
        <v>212</v>
      </c>
      <c r="B213" s="79" t="str">
        <f t="shared" si="53"/>
        <v>Y</v>
      </c>
      <c r="C213" s="79" t="s">
        <v>45</v>
      </c>
      <c r="D213" s="76" t="s">
        <v>2269</v>
      </c>
      <c r="E213" s="82" t="s">
        <v>2273</v>
      </c>
      <c r="F213" s="13" t="s">
        <v>1304</v>
      </c>
      <c r="G213" s="79" t="s">
        <v>1303</v>
      </c>
      <c r="H213" s="168">
        <v>403</v>
      </c>
      <c r="I213" s="155" t="s">
        <v>1974</v>
      </c>
      <c r="J213" s="102" t="s">
        <v>50</v>
      </c>
      <c r="K213" s="102" t="s">
        <v>482</v>
      </c>
      <c r="L213" s="102" t="s">
        <v>51</v>
      </c>
      <c r="M213" s="102" t="s">
        <v>2250</v>
      </c>
      <c r="N213" s="102" t="s">
        <v>2249</v>
      </c>
      <c r="O213" s="125" t="s">
        <v>816</v>
      </c>
      <c r="P213" s="102" t="s">
        <v>921</v>
      </c>
      <c r="Q213" s="102" t="s">
        <v>952</v>
      </c>
      <c r="R213" s="102" t="s">
        <v>51</v>
      </c>
      <c r="S213" s="13"/>
      <c r="T213" s="44" t="s">
        <v>520</v>
      </c>
      <c r="U213" s="34" t="s">
        <v>55</v>
      </c>
      <c r="V213" s="13" t="s">
        <v>953</v>
      </c>
      <c r="W213" s="34" t="s">
        <v>954</v>
      </c>
      <c r="X213" s="102" t="s">
        <v>1154</v>
      </c>
      <c r="Y213" s="211" t="s">
        <v>1155</v>
      </c>
      <c r="Z213" s="34" t="s">
        <v>955</v>
      </c>
      <c r="AA213" s="212" t="s">
        <v>2009</v>
      </c>
      <c r="AB213" s="34" t="s">
        <v>488</v>
      </c>
      <c r="AC213" s="46" t="s">
        <v>489</v>
      </c>
      <c r="AD213" s="46" t="s">
        <v>490</v>
      </c>
      <c r="AE213" s="34" t="s">
        <v>491</v>
      </c>
      <c r="AF213" s="34" t="s">
        <v>492</v>
      </c>
      <c r="AG213" s="34" t="s">
        <v>493</v>
      </c>
      <c r="AH213" s="34" t="s">
        <v>494</v>
      </c>
      <c r="AI213" s="34" t="s">
        <v>495</v>
      </c>
    </row>
    <row r="214" spans="1:35" ht="72" x14ac:dyDescent="0.3">
      <c r="A214" s="131">
        <v>213</v>
      </c>
      <c r="B214" s="79" t="str">
        <f t="shared" si="53"/>
        <v>Y</v>
      </c>
      <c r="C214" s="79" t="s">
        <v>45</v>
      </c>
      <c r="D214" s="76" t="s">
        <v>2270</v>
      </c>
      <c r="E214" s="82" t="s">
        <v>2274</v>
      </c>
      <c r="F214" s="13" t="s">
        <v>1304</v>
      </c>
      <c r="G214" s="79" t="s">
        <v>1303</v>
      </c>
      <c r="H214" s="168">
        <v>403</v>
      </c>
      <c r="I214" s="155" t="s">
        <v>1974</v>
      </c>
      <c r="J214" s="102" t="s">
        <v>50</v>
      </c>
      <c r="K214" s="102" t="s">
        <v>482</v>
      </c>
      <c r="L214" s="102" t="s">
        <v>51</v>
      </c>
      <c r="M214" s="102" t="s">
        <v>2250</v>
      </c>
      <c r="N214" s="102" t="s">
        <v>2249</v>
      </c>
      <c r="O214" s="125" t="s">
        <v>816</v>
      </c>
      <c r="P214" s="102" t="s">
        <v>921</v>
      </c>
      <c r="Q214" s="102" t="s">
        <v>952</v>
      </c>
      <c r="R214" s="102" t="s">
        <v>51</v>
      </c>
      <c r="S214" s="13"/>
      <c r="T214" s="44" t="s">
        <v>171</v>
      </c>
      <c r="U214" s="34" t="s">
        <v>55</v>
      </c>
      <c r="V214" s="13" t="s">
        <v>953</v>
      </c>
      <c r="W214" s="34" t="s">
        <v>954</v>
      </c>
      <c r="X214" s="102" t="s">
        <v>964</v>
      </c>
      <c r="Y214" s="211" t="s">
        <v>1159</v>
      </c>
      <c r="Z214" s="34" t="s">
        <v>955</v>
      </c>
      <c r="AA214" s="212" t="s">
        <v>2010</v>
      </c>
      <c r="AB214" s="34" t="s">
        <v>488</v>
      </c>
      <c r="AC214" s="46" t="s">
        <v>489</v>
      </c>
      <c r="AD214" s="46" t="s">
        <v>490</v>
      </c>
      <c r="AE214" s="34" t="s">
        <v>491</v>
      </c>
      <c r="AF214" s="34" t="s">
        <v>492</v>
      </c>
      <c r="AG214" s="34" t="s">
        <v>493</v>
      </c>
      <c r="AH214" s="34" t="s">
        <v>494</v>
      </c>
      <c r="AI214" s="34" t="s">
        <v>495</v>
      </c>
    </row>
    <row r="215" spans="1:35" ht="72" x14ac:dyDescent="0.3">
      <c r="A215" s="131">
        <v>214</v>
      </c>
      <c r="B215" s="161" t="str">
        <f t="shared" si="41"/>
        <v>N</v>
      </c>
      <c r="C215" s="161" t="s">
        <v>113</v>
      </c>
      <c r="D215" s="162" t="s">
        <v>1305</v>
      </c>
      <c r="E215" s="180" t="s">
        <v>1306</v>
      </c>
      <c r="F215" s="178" t="s">
        <v>1307</v>
      </c>
      <c r="G215" s="161" t="s">
        <v>1303</v>
      </c>
      <c r="H215" s="183">
        <v>409</v>
      </c>
      <c r="I215" s="244"/>
      <c r="J215" s="161" t="s">
        <v>50</v>
      </c>
      <c r="K215" s="178" t="s">
        <v>482</v>
      </c>
      <c r="L215" s="178" t="s">
        <v>51</v>
      </c>
      <c r="M215" s="178" t="s">
        <v>22</v>
      </c>
      <c r="N215" s="178" t="s">
        <v>21</v>
      </c>
      <c r="O215" s="246" t="s">
        <v>816</v>
      </c>
      <c r="P215" s="178" t="s">
        <v>23</v>
      </c>
      <c r="Q215" s="178" t="s">
        <v>952</v>
      </c>
      <c r="R215" s="178" t="s">
        <v>51</v>
      </c>
      <c r="S215" s="178"/>
      <c r="T215" s="246" t="s">
        <v>484</v>
      </c>
      <c r="U215" s="178" t="s">
        <v>55</v>
      </c>
      <c r="V215" s="178" t="s">
        <v>953</v>
      </c>
      <c r="W215" s="178" t="s">
        <v>954</v>
      </c>
      <c r="X215" s="178" t="s">
        <v>486</v>
      </c>
      <c r="Y215" s="214">
        <v>200061812481</v>
      </c>
      <c r="Z215" s="178" t="s">
        <v>955</v>
      </c>
      <c r="AA215" s="183">
        <v>1</v>
      </c>
      <c r="AB215" s="178" t="s">
        <v>488</v>
      </c>
      <c r="AC215" s="215" t="s">
        <v>489</v>
      </c>
      <c r="AD215" s="215" t="s">
        <v>490</v>
      </c>
      <c r="AE215" s="178" t="s">
        <v>491</v>
      </c>
      <c r="AF215" s="178" t="s">
        <v>492</v>
      </c>
      <c r="AG215" s="178" t="s">
        <v>493</v>
      </c>
      <c r="AH215" s="178" t="s">
        <v>494</v>
      </c>
      <c r="AI215" s="178" t="s">
        <v>495</v>
      </c>
    </row>
    <row r="216" spans="1:35" ht="86.4" x14ac:dyDescent="0.3">
      <c r="A216" s="131">
        <v>215</v>
      </c>
      <c r="B216" s="247" t="str">
        <f t="shared" si="41"/>
        <v>N</v>
      </c>
      <c r="C216" s="247" t="s">
        <v>113</v>
      </c>
      <c r="D216" s="248" t="s">
        <v>1308</v>
      </c>
      <c r="E216" s="249" t="s">
        <v>1309</v>
      </c>
      <c r="F216" s="250" t="s">
        <v>1310</v>
      </c>
      <c r="G216" s="247" t="s">
        <v>1311</v>
      </c>
      <c r="H216" s="102">
        <v>200</v>
      </c>
      <c r="I216" s="251"/>
      <c r="J216" s="247"/>
      <c r="K216" s="252"/>
      <c r="L216" s="252"/>
      <c r="M216" s="252"/>
      <c r="N216" s="252"/>
      <c r="O216" s="253"/>
      <c r="P216" s="252"/>
      <c r="Q216" s="252"/>
      <c r="R216" s="252"/>
      <c r="S216" s="252"/>
      <c r="T216" s="253"/>
      <c r="U216" s="252"/>
      <c r="V216" s="252"/>
      <c r="W216" s="252"/>
      <c r="X216" s="252"/>
      <c r="Y216" s="254"/>
      <c r="Z216" s="252"/>
      <c r="AA216" s="255"/>
      <c r="AB216" s="250" t="s">
        <v>488</v>
      </c>
      <c r="AC216" s="256" t="s">
        <v>489</v>
      </c>
      <c r="AD216" s="256" t="s">
        <v>490</v>
      </c>
      <c r="AE216" s="250" t="s">
        <v>491</v>
      </c>
      <c r="AF216" s="250" t="s">
        <v>492</v>
      </c>
      <c r="AG216" s="250" t="s">
        <v>493</v>
      </c>
      <c r="AH216" s="250" t="s">
        <v>494</v>
      </c>
      <c r="AI216" s="250" t="s">
        <v>495</v>
      </c>
    </row>
    <row r="217" spans="1:35" ht="72" x14ac:dyDescent="0.3">
      <c r="A217" s="131">
        <v>216</v>
      </c>
      <c r="B217" s="247" t="str">
        <f t="shared" si="41"/>
        <v>N</v>
      </c>
      <c r="C217" s="247" t="s">
        <v>113</v>
      </c>
      <c r="D217" s="248" t="s">
        <v>1312</v>
      </c>
      <c r="E217" s="249" t="s">
        <v>1313</v>
      </c>
      <c r="F217" s="250" t="s">
        <v>1314</v>
      </c>
      <c r="G217" s="247" t="s">
        <v>1303</v>
      </c>
      <c r="H217" s="102">
        <v>200</v>
      </c>
      <c r="I217" s="251"/>
      <c r="J217" s="247"/>
      <c r="K217" s="252"/>
      <c r="L217" s="252"/>
      <c r="M217" s="252"/>
      <c r="N217" s="252"/>
      <c r="O217" s="253"/>
      <c r="P217" s="252"/>
      <c r="Q217" s="252"/>
      <c r="R217" s="252"/>
      <c r="S217" s="252"/>
      <c r="T217" s="253"/>
      <c r="U217" s="252"/>
      <c r="V217" s="252"/>
      <c r="W217" s="252"/>
      <c r="X217" s="252"/>
      <c r="Y217" s="254"/>
      <c r="Z217" s="252"/>
      <c r="AA217" s="255"/>
      <c r="AB217" s="250" t="s">
        <v>488</v>
      </c>
      <c r="AC217" s="256" t="s">
        <v>489</v>
      </c>
      <c r="AD217" s="256" t="s">
        <v>490</v>
      </c>
      <c r="AE217" s="250" t="s">
        <v>491</v>
      </c>
      <c r="AF217" s="250" t="s">
        <v>492</v>
      </c>
      <c r="AG217" s="250" t="s">
        <v>493</v>
      </c>
      <c r="AH217" s="250" t="s">
        <v>494</v>
      </c>
      <c r="AI217" s="250" t="s">
        <v>495</v>
      </c>
    </row>
    <row r="218" spans="1:35" ht="115.2" x14ac:dyDescent="0.3">
      <c r="A218" s="131">
        <v>217</v>
      </c>
      <c r="B218" s="161" t="str">
        <f t="shared" si="41"/>
        <v>N</v>
      </c>
      <c r="C218" s="161" t="s">
        <v>113</v>
      </c>
      <c r="D218" s="162" t="s">
        <v>1315</v>
      </c>
      <c r="E218" s="180" t="s">
        <v>1316</v>
      </c>
      <c r="F218" s="178" t="s">
        <v>1317</v>
      </c>
      <c r="G218" s="161" t="s">
        <v>1318</v>
      </c>
      <c r="H218" s="102">
        <v>200</v>
      </c>
      <c r="I218" s="244"/>
      <c r="J218" s="161"/>
      <c r="K218" s="179"/>
      <c r="L218" s="179"/>
      <c r="M218" s="179"/>
      <c r="N218" s="179"/>
      <c r="O218" s="245"/>
      <c r="P218" s="179"/>
      <c r="Q218" s="179"/>
      <c r="R218" s="179"/>
      <c r="S218" s="179"/>
      <c r="T218" s="245"/>
      <c r="U218" s="179"/>
      <c r="V218" s="179"/>
      <c r="W218" s="179"/>
      <c r="X218" s="179"/>
      <c r="Y218" s="218"/>
      <c r="Z218" s="179"/>
      <c r="AA218" s="219"/>
      <c r="AB218" s="178" t="s">
        <v>488</v>
      </c>
      <c r="AC218" s="215" t="s">
        <v>489</v>
      </c>
      <c r="AD218" s="215" t="s">
        <v>490</v>
      </c>
      <c r="AE218" s="178" t="s">
        <v>491</v>
      </c>
      <c r="AF218" s="178" t="s">
        <v>492</v>
      </c>
      <c r="AG218" s="178" t="s">
        <v>493</v>
      </c>
      <c r="AH218" s="178" t="s">
        <v>494</v>
      </c>
      <c r="AI218" s="178" t="s">
        <v>495</v>
      </c>
    </row>
    <row r="219" spans="1:35" ht="230.4" x14ac:dyDescent="0.3">
      <c r="A219" s="131">
        <v>218</v>
      </c>
      <c r="B219" s="161" t="str">
        <f t="shared" si="41"/>
        <v>N</v>
      </c>
      <c r="C219" s="161" t="s">
        <v>113</v>
      </c>
      <c r="D219" s="162" t="s">
        <v>1319</v>
      </c>
      <c r="E219" s="180" t="s">
        <v>1320</v>
      </c>
      <c r="F219" s="178" t="s">
        <v>1321</v>
      </c>
      <c r="G219" s="161" t="s">
        <v>1322</v>
      </c>
      <c r="H219" s="102">
        <v>200</v>
      </c>
      <c r="I219" s="244"/>
      <c r="J219" s="161"/>
      <c r="K219" s="179"/>
      <c r="L219" s="179"/>
      <c r="M219" s="179"/>
      <c r="N219" s="179"/>
      <c r="O219" s="245"/>
      <c r="P219" s="179"/>
      <c r="Q219" s="179"/>
      <c r="R219" s="179"/>
      <c r="S219" s="179"/>
      <c r="T219" s="245"/>
      <c r="U219" s="179"/>
      <c r="V219" s="179"/>
      <c r="W219" s="179"/>
      <c r="X219" s="179"/>
      <c r="Y219" s="218"/>
      <c r="Z219" s="179"/>
      <c r="AA219" s="219"/>
      <c r="AB219" s="178" t="s">
        <v>488</v>
      </c>
      <c r="AC219" s="215" t="s">
        <v>489</v>
      </c>
      <c r="AD219" s="215" t="s">
        <v>490</v>
      </c>
      <c r="AE219" s="178" t="s">
        <v>491</v>
      </c>
      <c r="AF219" s="178" t="s">
        <v>492</v>
      </c>
      <c r="AG219" s="178" t="s">
        <v>493</v>
      </c>
      <c r="AH219" s="178" t="s">
        <v>494</v>
      </c>
      <c r="AI219" s="178" t="s">
        <v>495</v>
      </c>
    </row>
    <row r="220" spans="1:35" ht="230.4" x14ac:dyDescent="0.3">
      <c r="A220" s="131">
        <v>219</v>
      </c>
      <c r="B220" s="161" t="str">
        <f t="shared" si="41"/>
        <v>N</v>
      </c>
      <c r="C220" s="161" t="s">
        <v>113</v>
      </c>
      <c r="D220" s="162" t="s">
        <v>1323</v>
      </c>
      <c r="E220" s="180" t="s">
        <v>1324</v>
      </c>
      <c r="F220" s="178" t="s">
        <v>1325</v>
      </c>
      <c r="G220" s="161" t="s">
        <v>1322</v>
      </c>
      <c r="H220" s="102">
        <v>200</v>
      </c>
      <c r="I220" s="244"/>
      <c r="J220" s="161"/>
      <c r="K220" s="179"/>
      <c r="L220" s="179"/>
      <c r="M220" s="179"/>
      <c r="N220" s="179"/>
      <c r="O220" s="245"/>
      <c r="P220" s="179"/>
      <c r="Q220" s="179"/>
      <c r="R220" s="179"/>
      <c r="S220" s="179"/>
      <c r="T220" s="245"/>
      <c r="U220" s="179"/>
      <c r="V220" s="179"/>
      <c r="W220" s="179"/>
      <c r="X220" s="179"/>
      <c r="Y220" s="218"/>
      <c r="Z220" s="179"/>
      <c r="AA220" s="219"/>
      <c r="AB220" s="178" t="s">
        <v>488</v>
      </c>
      <c r="AC220" s="215" t="s">
        <v>489</v>
      </c>
      <c r="AD220" s="215" t="s">
        <v>490</v>
      </c>
      <c r="AE220" s="178" t="s">
        <v>491</v>
      </c>
      <c r="AF220" s="178" t="s">
        <v>492</v>
      </c>
      <c r="AG220" s="178" t="s">
        <v>493</v>
      </c>
      <c r="AH220" s="178" t="s">
        <v>494</v>
      </c>
      <c r="AI220" s="178" t="s">
        <v>495</v>
      </c>
    </row>
    <row r="221" spans="1:35" ht="230.4" x14ac:dyDescent="0.3">
      <c r="A221" s="131">
        <v>220</v>
      </c>
      <c r="B221" s="161" t="str">
        <f t="shared" si="41"/>
        <v>N</v>
      </c>
      <c r="C221" s="161" t="s">
        <v>113</v>
      </c>
      <c r="D221" s="162" t="s">
        <v>1326</v>
      </c>
      <c r="E221" s="180" t="s">
        <v>1327</v>
      </c>
      <c r="F221" s="178" t="s">
        <v>1328</v>
      </c>
      <c r="G221" s="161" t="s">
        <v>1329</v>
      </c>
      <c r="H221" s="102">
        <v>200</v>
      </c>
      <c r="I221" s="244"/>
      <c r="J221" s="161"/>
      <c r="K221" s="179"/>
      <c r="L221" s="179"/>
      <c r="M221" s="179"/>
      <c r="N221" s="179"/>
      <c r="O221" s="245"/>
      <c r="P221" s="179"/>
      <c r="Q221" s="179"/>
      <c r="R221" s="179"/>
      <c r="S221" s="179"/>
      <c r="T221" s="245"/>
      <c r="U221" s="179"/>
      <c r="V221" s="179"/>
      <c r="W221" s="179"/>
      <c r="X221" s="179"/>
      <c r="Y221" s="218"/>
      <c r="Z221" s="179"/>
      <c r="AA221" s="219"/>
      <c r="AB221" s="178" t="s">
        <v>488</v>
      </c>
      <c r="AC221" s="215" t="s">
        <v>489</v>
      </c>
      <c r="AD221" s="215" t="s">
        <v>490</v>
      </c>
      <c r="AE221" s="178" t="s">
        <v>491</v>
      </c>
      <c r="AF221" s="178" t="s">
        <v>492</v>
      </c>
      <c r="AG221" s="178" t="s">
        <v>493</v>
      </c>
      <c r="AH221" s="178" t="s">
        <v>494</v>
      </c>
      <c r="AI221" s="178" t="s">
        <v>495</v>
      </c>
    </row>
    <row r="222" spans="1:35" ht="230.4" x14ac:dyDescent="0.3">
      <c r="A222" s="131">
        <v>221</v>
      </c>
      <c r="B222" s="161" t="str">
        <f t="shared" si="41"/>
        <v>N</v>
      </c>
      <c r="C222" s="161" t="s">
        <v>113</v>
      </c>
      <c r="D222" s="162" t="s">
        <v>1330</v>
      </c>
      <c r="E222" s="180" t="s">
        <v>1331</v>
      </c>
      <c r="F222" s="178" t="s">
        <v>1332</v>
      </c>
      <c r="G222" s="161" t="s">
        <v>1329</v>
      </c>
      <c r="H222" s="102">
        <v>200</v>
      </c>
      <c r="I222" s="244"/>
      <c r="J222" s="161"/>
      <c r="K222" s="179"/>
      <c r="L222" s="179"/>
      <c r="M222" s="179"/>
      <c r="N222" s="179"/>
      <c r="O222" s="245"/>
      <c r="P222" s="179"/>
      <c r="Q222" s="179"/>
      <c r="R222" s="179"/>
      <c r="S222" s="179"/>
      <c r="T222" s="245"/>
      <c r="U222" s="179"/>
      <c r="V222" s="179"/>
      <c r="W222" s="179"/>
      <c r="X222" s="179"/>
      <c r="Y222" s="218"/>
      <c r="Z222" s="179"/>
      <c r="AA222" s="219"/>
      <c r="AB222" s="178" t="s">
        <v>488</v>
      </c>
      <c r="AC222" s="215" t="s">
        <v>489</v>
      </c>
      <c r="AD222" s="215" t="s">
        <v>490</v>
      </c>
      <c r="AE222" s="178" t="s">
        <v>491</v>
      </c>
      <c r="AF222" s="178" t="s">
        <v>492</v>
      </c>
      <c r="AG222" s="178" t="s">
        <v>493</v>
      </c>
      <c r="AH222" s="178" t="s">
        <v>494</v>
      </c>
      <c r="AI222" s="178" t="s">
        <v>495</v>
      </c>
    </row>
    <row r="223" spans="1:35" ht="216" x14ac:dyDescent="0.3">
      <c r="A223" s="131">
        <v>222</v>
      </c>
      <c r="B223" s="79" t="str">
        <f t="shared" si="41"/>
        <v>N</v>
      </c>
      <c r="C223" s="79" t="s">
        <v>113</v>
      </c>
      <c r="D223" s="76" t="s">
        <v>1333</v>
      </c>
      <c r="E223" s="82" t="s">
        <v>1334</v>
      </c>
      <c r="F223" s="13" t="s">
        <v>1335</v>
      </c>
      <c r="G223" s="79" t="s">
        <v>1336</v>
      </c>
      <c r="H223" s="102">
        <v>200</v>
      </c>
      <c r="J223" s="102" t="s">
        <v>50</v>
      </c>
      <c r="K223" s="102" t="s">
        <v>482</v>
      </c>
      <c r="L223" s="102" t="s">
        <v>51</v>
      </c>
      <c r="M223" s="102" t="s">
        <v>22</v>
      </c>
      <c r="N223" s="102" t="s">
        <v>21</v>
      </c>
      <c r="O223" s="125" t="s">
        <v>816</v>
      </c>
      <c r="P223" s="102" t="s">
        <v>23</v>
      </c>
      <c r="Q223" s="102" t="s">
        <v>952</v>
      </c>
      <c r="R223" s="102" t="s">
        <v>51</v>
      </c>
      <c r="S223" s="223"/>
      <c r="T223" s="44" t="s">
        <v>520</v>
      </c>
      <c r="U223" s="34" t="s">
        <v>55</v>
      </c>
      <c r="V223" s="220" t="s">
        <v>1147</v>
      </c>
      <c r="W223" s="34" t="s">
        <v>954</v>
      </c>
      <c r="X223" s="102" t="s">
        <v>1154</v>
      </c>
      <c r="Y223" s="211" t="s">
        <v>1155</v>
      </c>
      <c r="Z223" s="34" t="s">
        <v>955</v>
      </c>
      <c r="AA223" s="212" t="s">
        <v>2009</v>
      </c>
      <c r="AB223" s="34" t="s">
        <v>488</v>
      </c>
      <c r="AC223" s="46" t="s">
        <v>489</v>
      </c>
      <c r="AD223" s="46" t="s">
        <v>490</v>
      </c>
      <c r="AE223" s="34" t="s">
        <v>491</v>
      </c>
      <c r="AF223" s="34" t="s">
        <v>492</v>
      </c>
      <c r="AG223" s="34" t="s">
        <v>493</v>
      </c>
      <c r="AH223" s="34" t="s">
        <v>494</v>
      </c>
      <c r="AI223" s="34" t="s">
        <v>495</v>
      </c>
    </row>
    <row r="224" spans="1:35" ht="216" x14ac:dyDescent="0.3">
      <c r="A224" s="131">
        <v>223</v>
      </c>
      <c r="B224" s="79" t="str">
        <f t="shared" si="41"/>
        <v>N</v>
      </c>
      <c r="C224" s="79" t="s">
        <v>113</v>
      </c>
      <c r="D224" s="76" t="s">
        <v>1337</v>
      </c>
      <c r="E224" s="82" t="s">
        <v>1338</v>
      </c>
      <c r="F224" s="13" t="s">
        <v>1339</v>
      </c>
      <c r="G224" s="79" t="s">
        <v>1336</v>
      </c>
      <c r="H224" s="102">
        <v>200</v>
      </c>
      <c r="J224" s="102" t="s">
        <v>50</v>
      </c>
      <c r="K224" s="102" t="s">
        <v>482</v>
      </c>
      <c r="L224" s="102" t="s">
        <v>51</v>
      </c>
      <c r="M224" s="102" t="s">
        <v>22</v>
      </c>
      <c r="N224" s="102" t="s">
        <v>21</v>
      </c>
      <c r="O224" s="125" t="s">
        <v>816</v>
      </c>
      <c r="P224" s="102" t="s">
        <v>23</v>
      </c>
      <c r="Q224" s="102" t="s">
        <v>952</v>
      </c>
      <c r="R224" s="102" t="s">
        <v>51</v>
      </c>
      <c r="S224" s="223"/>
      <c r="T224" s="44" t="s">
        <v>171</v>
      </c>
      <c r="U224" s="34" t="s">
        <v>55</v>
      </c>
      <c r="V224" s="220" t="s">
        <v>1147</v>
      </c>
      <c r="W224" s="34" t="s">
        <v>954</v>
      </c>
      <c r="X224" s="102" t="s">
        <v>964</v>
      </c>
      <c r="Y224" s="211" t="s">
        <v>1159</v>
      </c>
      <c r="Z224" s="34" t="s">
        <v>955</v>
      </c>
      <c r="AA224" s="212" t="s">
        <v>2010</v>
      </c>
      <c r="AB224" s="34" t="s">
        <v>488</v>
      </c>
      <c r="AC224" s="46" t="s">
        <v>489</v>
      </c>
      <c r="AD224" s="46" t="s">
        <v>490</v>
      </c>
      <c r="AE224" s="34" t="s">
        <v>491</v>
      </c>
      <c r="AF224" s="34" t="s">
        <v>492</v>
      </c>
      <c r="AG224" s="34" t="s">
        <v>493</v>
      </c>
      <c r="AH224" s="34" t="s">
        <v>494</v>
      </c>
      <c r="AI224" s="34" t="s">
        <v>495</v>
      </c>
    </row>
    <row r="225" spans="1:35" ht="201.6" x14ac:dyDescent="0.3">
      <c r="A225" s="131">
        <v>224</v>
      </c>
      <c r="B225" s="161" t="str">
        <f t="shared" si="41"/>
        <v>N</v>
      </c>
      <c r="C225" s="161" t="s">
        <v>113</v>
      </c>
      <c r="D225" s="162" t="s">
        <v>1340</v>
      </c>
      <c r="E225" s="180" t="s">
        <v>1341</v>
      </c>
      <c r="F225" s="178" t="s">
        <v>1342</v>
      </c>
      <c r="G225" s="161" t="s">
        <v>1343</v>
      </c>
      <c r="H225" s="102">
        <v>200</v>
      </c>
      <c r="I225" s="244"/>
      <c r="J225" s="161"/>
      <c r="K225" s="179"/>
      <c r="L225" s="179"/>
      <c r="M225" s="179"/>
      <c r="N225" s="179"/>
      <c r="O225" s="245"/>
      <c r="P225" s="179"/>
      <c r="Q225" s="179"/>
      <c r="R225" s="179"/>
      <c r="S225" s="179"/>
      <c r="T225" s="245"/>
      <c r="U225" s="179"/>
      <c r="V225" s="179"/>
      <c r="W225" s="179"/>
      <c r="X225" s="179"/>
      <c r="Y225" s="218"/>
      <c r="Z225" s="179"/>
      <c r="AA225" s="219"/>
      <c r="AB225" s="178" t="s">
        <v>488</v>
      </c>
      <c r="AC225" s="215" t="s">
        <v>489</v>
      </c>
      <c r="AD225" s="215" t="s">
        <v>490</v>
      </c>
      <c r="AE225" s="178" t="s">
        <v>491</v>
      </c>
      <c r="AF225" s="178" t="s">
        <v>492</v>
      </c>
      <c r="AG225" s="178" t="s">
        <v>493</v>
      </c>
      <c r="AH225" s="178" t="s">
        <v>494</v>
      </c>
      <c r="AI225" s="178" t="s">
        <v>495</v>
      </c>
    </row>
    <row r="226" spans="1:35" ht="201.6" x14ac:dyDescent="0.3">
      <c r="A226" s="131">
        <v>225</v>
      </c>
      <c r="B226" s="161" t="str">
        <f t="shared" si="41"/>
        <v>N</v>
      </c>
      <c r="C226" s="161" t="s">
        <v>113</v>
      </c>
      <c r="D226" s="162" t="s">
        <v>1344</v>
      </c>
      <c r="E226" s="180" t="s">
        <v>1345</v>
      </c>
      <c r="F226" s="178" t="s">
        <v>1342</v>
      </c>
      <c r="G226" s="161" t="s">
        <v>1343</v>
      </c>
      <c r="H226" s="102">
        <v>200</v>
      </c>
      <c r="I226" s="244"/>
      <c r="J226" s="161"/>
      <c r="K226" s="179"/>
      <c r="L226" s="179"/>
      <c r="M226" s="179"/>
      <c r="N226" s="179"/>
      <c r="O226" s="245"/>
      <c r="P226" s="179"/>
      <c r="Q226" s="179"/>
      <c r="R226" s="179"/>
      <c r="S226" s="179"/>
      <c r="T226" s="245"/>
      <c r="U226" s="179"/>
      <c r="V226" s="179"/>
      <c r="W226" s="179"/>
      <c r="X226" s="179"/>
      <c r="Y226" s="218"/>
      <c r="Z226" s="179"/>
      <c r="AA226" s="219"/>
      <c r="AB226" s="178" t="s">
        <v>488</v>
      </c>
      <c r="AC226" s="215" t="s">
        <v>489</v>
      </c>
      <c r="AD226" s="215" t="s">
        <v>490</v>
      </c>
      <c r="AE226" s="178" t="s">
        <v>491</v>
      </c>
      <c r="AF226" s="178" t="s">
        <v>492</v>
      </c>
      <c r="AG226" s="178" t="s">
        <v>493</v>
      </c>
      <c r="AH226" s="178" t="s">
        <v>494</v>
      </c>
      <c r="AI226" s="178" t="s">
        <v>495</v>
      </c>
    </row>
    <row r="227" spans="1:35" ht="187.2" x14ac:dyDescent="0.3">
      <c r="A227" s="131">
        <v>226</v>
      </c>
      <c r="B227" s="161" t="str">
        <f t="shared" si="41"/>
        <v>N</v>
      </c>
      <c r="C227" s="161" t="s">
        <v>113</v>
      </c>
      <c r="D227" s="162" t="s">
        <v>1346</v>
      </c>
      <c r="E227" s="180" t="s">
        <v>1347</v>
      </c>
      <c r="F227" s="178" t="s">
        <v>1348</v>
      </c>
      <c r="G227" s="161" t="s">
        <v>1349</v>
      </c>
      <c r="H227" s="102">
        <v>200</v>
      </c>
      <c r="I227" s="244"/>
      <c r="J227" s="161"/>
      <c r="K227" s="179"/>
      <c r="L227" s="179"/>
      <c r="M227" s="179"/>
      <c r="N227" s="179"/>
      <c r="O227" s="245"/>
      <c r="P227" s="179"/>
      <c r="Q227" s="179"/>
      <c r="R227" s="179"/>
      <c r="S227" s="179"/>
      <c r="T227" s="245"/>
      <c r="U227" s="179"/>
      <c r="V227" s="179"/>
      <c r="W227" s="179"/>
      <c r="X227" s="179"/>
      <c r="Y227" s="218"/>
      <c r="Z227" s="179"/>
      <c r="AA227" s="219"/>
      <c r="AB227" s="178" t="s">
        <v>488</v>
      </c>
      <c r="AC227" s="215" t="s">
        <v>489</v>
      </c>
      <c r="AD227" s="215" t="s">
        <v>490</v>
      </c>
      <c r="AE227" s="178" t="s">
        <v>491</v>
      </c>
      <c r="AF227" s="178" t="s">
        <v>492</v>
      </c>
      <c r="AG227" s="178" t="s">
        <v>493</v>
      </c>
      <c r="AH227" s="178" t="s">
        <v>494</v>
      </c>
      <c r="AI227" s="178" t="s">
        <v>495</v>
      </c>
    </row>
    <row r="228" spans="1:35" ht="187.2" x14ac:dyDescent="0.3">
      <c r="A228" s="131">
        <v>227</v>
      </c>
      <c r="B228" s="161" t="str">
        <f t="shared" si="41"/>
        <v>N</v>
      </c>
      <c r="C228" s="161" t="s">
        <v>113</v>
      </c>
      <c r="D228" s="162" t="s">
        <v>1350</v>
      </c>
      <c r="E228" s="180" t="s">
        <v>1351</v>
      </c>
      <c r="F228" s="178" t="s">
        <v>1352</v>
      </c>
      <c r="G228" s="161" t="s">
        <v>1349</v>
      </c>
      <c r="H228" s="102">
        <v>200</v>
      </c>
      <c r="I228" s="244"/>
      <c r="J228" s="161"/>
      <c r="K228" s="179"/>
      <c r="L228" s="179"/>
      <c r="M228" s="179"/>
      <c r="N228" s="179"/>
      <c r="O228" s="245"/>
      <c r="P228" s="179"/>
      <c r="Q228" s="179"/>
      <c r="R228" s="179"/>
      <c r="S228" s="179"/>
      <c r="T228" s="245"/>
      <c r="U228" s="179"/>
      <c r="V228" s="179"/>
      <c r="W228" s="179"/>
      <c r="X228" s="179"/>
      <c r="Y228" s="218"/>
      <c r="Z228" s="179"/>
      <c r="AA228" s="219"/>
      <c r="AB228" s="178" t="s">
        <v>488</v>
      </c>
      <c r="AC228" s="215" t="s">
        <v>489</v>
      </c>
      <c r="AD228" s="215" t="s">
        <v>490</v>
      </c>
      <c r="AE228" s="178" t="s">
        <v>491</v>
      </c>
      <c r="AF228" s="178" t="s">
        <v>492</v>
      </c>
      <c r="AG228" s="178" t="s">
        <v>493</v>
      </c>
      <c r="AH228" s="178" t="s">
        <v>494</v>
      </c>
      <c r="AI228" s="178" t="s">
        <v>495</v>
      </c>
    </row>
    <row r="229" spans="1:35" ht="201.6" x14ac:dyDescent="0.3">
      <c r="A229" s="131">
        <v>228</v>
      </c>
      <c r="B229" s="161" t="str">
        <f t="shared" si="41"/>
        <v>N</v>
      </c>
      <c r="C229" s="161" t="s">
        <v>113</v>
      </c>
      <c r="D229" s="162" t="s">
        <v>1353</v>
      </c>
      <c r="E229" s="180" t="s">
        <v>1354</v>
      </c>
      <c r="F229" s="178" t="s">
        <v>1355</v>
      </c>
      <c r="G229" s="161" t="s">
        <v>1356</v>
      </c>
      <c r="H229" s="102">
        <v>200</v>
      </c>
      <c r="I229" s="244"/>
      <c r="J229" s="161"/>
      <c r="K229" s="179"/>
      <c r="L229" s="179"/>
      <c r="M229" s="179"/>
      <c r="N229" s="179"/>
      <c r="O229" s="245"/>
      <c r="P229" s="179"/>
      <c r="Q229" s="179"/>
      <c r="R229" s="179"/>
      <c r="S229" s="179"/>
      <c r="T229" s="245"/>
      <c r="U229" s="179"/>
      <c r="V229" s="179"/>
      <c r="W229" s="179"/>
      <c r="X229" s="179"/>
      <c r="Y229" s="218"/>
      <c r="Z229" s="179"/>
      <c r="AA229" s="219"/>
      <c r="AB229" s="178" t="s">
        <v>488</v>
      </c>
      <c r="AC229" s="215" t="s">
        <v>489</v>
      </c>
      <c r="AD229" s="215" t="s">
        <v>490</v>
      </c>
      <c r="AE229" s="178" t="s">
        <v>491</v>
      </c>
      <c r="AF229" s="178" t="s">
        <v>492</v>
      </c>
      <c r="AG229" s="178" t="s">
        <v>493</v>
      </c>
      <c r="AH229" s="178" t="s">
        <v>494</v>
      </c>
      <c r="AI229" s="178" t="s">
        <v>495</v>
      </c>
    </row>
    <row r="230" spans="1:35" ht="100.8" x14ac:dyDescent="0.3">
      <c r="A230" s="131">
        <v>229</v>
      </c>
      <c r="B230" s="161" t="str">
        <f t="shared" si="41"/>
        <v>N</v>
      </c>
      <c r="C230" s="161" t="s">
        <v>113</v>
      </c>
      <c r="D230" s="162" t="s">
        <v>1357</v>
      </c>
      <c r="E230" s="180" t="s">
        <v>1358</v>
      </c>
      <c r="F230" s="178" t="s">
        <v>1359</v>
      </c>
      <c r="G230" s="161" t="s">
        <v>1360</v>
      </c>
      <c r="H230" s="102">
        <v>200</v>
      </c>
      <c r="I230" s="244"/>
      <c r="J230" s="161" t="s">
        <v>50</v>
      </c>
      <c r="K230" s="178" t="s">
        <v>482</v>
      </c>
      <c r="L230" s="178" t="s">
        <v>51</v>
      </c>
      <c r="M230" s="178" t="s">
        <v>22</v>
      </c>
      <c r="N230" s="178" t="s">
        <v>21</v>
      </c>
      <c r="O230" s="246" t="s">
        <v>816</v>
      </c>
      <c r="P230" s="178" t="s">
        <v>23</v>
      </c>
      <c r="Q230" s="178" t="s">
        <v>952</v>
      </c>
      <c r="R230" s="178" t="s">
        <v>51</v>
      </c>
      <c r="S230" s="178"/>
      <c r="T230" s="246" t="s">
        <v>484</v>
      </c>
      <c r="U230" s="178" t="s">
        <v>55</v>
      </c>
      <c r="V230" s="178" t="s">
        <v>953</v>
      </c>
      <c r="W230" s="178" t="s">
        <v>954</v>
      </c>
      <c r="X230" s="178" t="s">
        <v>486</v>
      </c>
      <c r="Y230" s="214">
        <v>200061812481</v>
      </c>
      <c r="Z230" s="178" t="s">
        <v>955</v>
      </c>
      <c r="AA230" s="183">
        <v>1</v>
      </c>
      <c r="AB230" s="178" t="s">
        <v>488</v>
      </c>
      <c r="AC230" s="215" t="s">
        <v>489</v>
      </c>
      <c r="AD230" s="215" t="s">
        <v>490</v>
      </c>
      <c r="AE230" s="178" t="s">
        <v>491</v>
      </c>
      <c r="AF230" s="178" t="s">
        <v>492</v>
      </c>
      <c r="AG230" s="178" t="s">
        <v>493</v>
      </c>
      <c r="AH230" s="178" t="s">
        <v>494</v>
      </c>
      <c r="AI230" s="178" t="s">
        <v>495</v>
      </c>
    </row>
    <row r="231" spans="1:35" ht="158.4" x14ac:dyDescent="0.3">
      <c r="A231" s="131">
        <v>230</v>
      </c>
      <c r="B231" s="161" t="str">
        <f t="shared" si="41"/>
        <v>N</v>
      </c>
      <c r="C231" s="161" t="s">
        <v>113</v>
      </c>
      <c r="D231" s="162" t="s">
        <v>1361</v>
      </c>
      <c r="E231" s="180" t="s">
        <v>1362</v>
      </c>
      <c r="F231" s="178" t="s">
        <v>1359</v>
      </c>
      <c r="G231" s="161" t="s">
        <v>1363</v>
      </c>
      <c r="H231" s="102">
        <v>200</v>
      </c>
      <c r="I231" s="244"/>
      <c r="J231" s="161"/>
      <c r="K231" s="179"/>
      <c r="L231" s="179"/>
      <c r="M231" s="179"/>
      <c r="N231" s="179"/>
      <c r="O231" s="245"/>
      <c r="P231" s="179"/>
      <c r="Q231" s="179"/>
      <c r="R231" s="179"/>
      <c r="S231" s="179"/>
      <c r="T231" s="245"/>
      <c r="U231" s="179"/>
      <c r="V231" s="179"/>
      <c r="W231" s="179"/>
      <c r="X231" s="179"/>
      <c r="Y231" s="218"/>
      <c r="Z231" s="179"/>
      <c r="AA231" s="219"/>
      <c r="AB231" s="178" t="s">
        <v>488</v>
      </c>
      <c r="AC231" s="215" t="s">
        <v>489</v>
      </c>
      <c r="AD231" s="215" t="s">
        <v>490</v>
      </c>
      <c r="AE231" s="178" t="s">
        <v>491</v>
      </c>
      <c r="AF231" s="178" t="s">
        <v>492</v>
      </c>
      <c r="AG231" s="178" t="s">
        <v>493</v>
      </c>
      <c r="AH231" s="178" t="s">
        <v>494</v>
      </c>
      <c r="AI231" s="178" t="s">
        <v>495</v>
      </c>
    </row>
    <row r="232" spans="1:35" x14ac:dyDescent="0.3">
      <c r="A232" s="131"/>
      <c r="B232" s="79"/>
      <c r="C232" s="79"/>
      <c r="D232" s="76"/>
      <c r="E232" s="82"/>
      <c r="F232" s="13"/>
      <c r="G232" s="79"/>
      <c r="H232" s="21"/>
      <c r="J232" s="79"/>
      <c r="K232" s="13"/>
      <c r="L232" s="13"/>
      <c r="M232" s="13"/>
      <c r="N232" s="13"/>
      <c r="O232" s="85"/>
      <c r="P232" s="13"/>
      <c r="Q232" s="13"/>
      <c r="R232" s="13"/>
      <c r="S232" s="13"/>
      <c r="U232" s="13"/>
      <c r="V232" s="22"/>
      <c r="W232" s="13"/>
      <c r="X232" s="13"/>
      <c r="Y232" s="22"/>
      <c r="Z232" s="13"/>
      <c r="AA232" s="21"/>
      <c r="AB232" s="21"/>
      <c r="AC232" s="21"/>
      <c r="AD232" s="21"/>
      <c r="AE232" s="13"/>
      <c r="AF232" s="13"/>
      <c r="AG232" s="13"/>
      <c r="AH232" s="13"/>
      <c r="AI232" s="13"/>
    </row>
    <row r="233" spans="1:35" x14ac:dyDescent="0.3">
      <c r="A233" s="131"/>
      <c r="B233" s="79"/>
      <c r="C233" s="79"/>
      <c r="D233" s="76"/>
      <c r="E233" s="82"/>
      <c r="F233" s="13"/>
      <c r="G233" s="79"/>
      <c r="H233" s="21"/>
      <c r="J233" s="79"/>
      <c r="K233" s="13"/>
      <c r="L233" s="13"/>
      <c r="M233" s="13"/>
      <c r="N233" s="13"/>
      <c r="O233" s="85"/>
      <c r="P233" s="13"/>
      <c r="Q233" s="13"/>
      <c r="R233" s="13"/>
      <c r="S233" s="13"/>
      <c r="U233" s="13"/>
      <c r="V233" s="22"/>
      <c r="W233" s="13"/>
      <c r="X233" s="13"/>
      <c r="Y233" s="22"/>
      <c r="Z233" s="13"/>
      <c r="AA233" s="21"/>
      <c r="AB233" s="21"/>
      <c r="AC233" s="21"/>
      <c r="AD233" s="21"/>
      <c r="AE233" s="13"/>
      <c r="AF233" s="13"/>
      <c r="AG233" s="13"/>
      <c r="AH233" s="13"/>
      <c r="AI233" s="13"/>
    </row>
    <row r="234" spans="1:35" x14ac:dyDescent="0.3">
      <c r="A234" s="131"/>
      <c r="B234" s="79"/>
      <c r="C234" s="79"/>
      <c r="D234" s="76"/>
      <c r="E234" s="82"/>
      <c r="F234" s="13"/>
      <c r="G234" s="79"/>
      <c r="H234" s="21"/>
      <c r="J234" s="79"/>
      <c r="K234" s="13"/>
      <c r="L234" s="13"/>
      <c r="M234" s="13"/>
      <c r="N234" s="13"/>
      <c r="O234" s="85"/>
      <c r="P234" s="13"/>
      <c r="Q234" s="13"/>
      <c r="R234" s="13"/>
      <c r="S234" s="13"/>
      <c r="U234" s="13"/>
      <c r="V234" s="22"/>
      <c r="W234" s="13"/>
      <c r="X234" s="13"/>
      <c r="Y234" s="22"/>
      <c r="Z234" s="13"/>
      <c r="AA234" s="21"/>
      <c r="AB234" s="21"/>
      <c r="AC234" s="21"/>
      <c r="AD234" s="21"/>
      <c r="AE234" s="13"/>
      <c r="AF234" s="13"/>
      <c r="AG234" s="13"/>
      <c r="AH234" s="13"/>
      <c r="AI234" s="13"/>
    </row>
  </sheetData>
  <autoFilter ref="A1:AO234" xr:uid="{00000000-0001-0000-0900-000000000000}">
    <sortState xmlns:xlrd2="http://schemas.microsoft.com/office/spreadsheetml/2017/richdata2" ref="A2:AO234">
      <sortCondition ref="E1:E234"/>
    </sortState>
  </autoFilter>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outlinePr summaryBelow="0"/>
  </sheetPr>
  <dimension ref="A1:V115"/>
  <sheetViews>
    <sheetView zoomScale="55" zoomScaleNormal="55" workbookViewId="0">
      <pane ySplit="1" topLeftCell="A8" activePane="bottomLeft" state="frozen"/>
      <selection activeCell="Q5" sqref="Q5"/>
      <selection pane="bottomLeft" activeCell="I12" sqref="I12"/>
    </sheetView>
  </sheetViews>
  <sheetFormatPr defaultRowHeight="14.4" x14ac:dyDescent="0.3"/>
  <cols>
    <col min="1" max="1" width="3.109375" style="24" bestFit="1" customWidth="1"/>
    <col min="2" max="3" width="9.109375" style="26" bestFit="1" customWidth="1"/>
    <col min="4" max="4" width="26.109375" style="77" bestFit="1" customWidth="1"/>
    <col min="5" max="5" width="58.109375" style="84" bestFit="1" customWidth="1"/>
    <col min="6" max="6" width="35.109375" style="26" bestFit="1" customWidth="1"/>
    <col min="7" max="7" width="66" style="80" bestFit="1" customWidth="1"/>
    <col min="8" max="8" width="15.33203125" style="24" bestFit="1" customWidth="1"/>
    <col min="9" max="9" width="19.88671875" style="27" customWidth="1"/>
    <col min="10" max="10" width="22.5546875" style="80" bestFit="1" customWidth="1"/>
    <col min="11" max="11" width="11.44140625" style="26" bestFit="1" customWidth="1"/>
    <col min="12" max="12" width="12.44140625" style="26" bestFit="1" customWidth="1"/>
    <col min="13" max="13" width="16" style="26" bestFit="1" customWidth="1"/>
    <col min="14" max="14" width="14" style="26" bestFit="1" customWidth="1"/>
    <col min="15" max="16" width="11.44140625" style="26" bestFit="1" customWidth="1"/>
    <col min="17" max="17" width="18.44140625" style="29" customWidth="1"/>
    <col min="18" max="18" width="18" style="26" bestFit="1" customWidth="1"/>
    <col min="19" max="22" width="13.5546875" bestFit="1" customWidth="1"/>
  </cols>
  <sheetData>
    <row r="1" spans="1:22" ht="28.8" x14ac:dyDescent="0.3">
      <c r="A1" s="36" t="s">
        <v>24</v>
      </c>
      <c r="B1" s="37" t="s">
        <v>25</v>
      </c>
      <c r="C1" s="37" t="s">
        <v>812</v>
      </c>
      <c r="D1" s="112" t="s">
        <v>27</v>
      </c>
      <c r="E1" s="98" t="s">
        <v>28</v>
      </c>
      <c r="F1" s="37" t="s">
        <v>29</v>
      </c>
      <c r="G1" s="98" t="s">
        <v>30</v>
      </c>
      <c r="H1" s="38" t="s">
        <v>31</v>
      </c>
      <c r="I1" s="3" t="s">
        <v>1947</v>
      </c>
      <c r="J1" s="104" t="s">
        <v>32</v>
      </c>
      <c r="K1" s="39" t="s">
        <v>33</v>
      </c>
      <c r="L1" s="39" t="s">
        <v>34</v>
      </c>
      <c r="M1" s="39" t="s">
        <v>35</v>
      </c>
      <c r="N1" s="39" t="s">
        <v>36</v>
      </c>
      <c r="O1" s="39" t="s">
        <v>37</v>
      </c>
      <c r="P1" s="39" t="s">
        <v>38</v>
      </c>
      <c r="Q1" s="40" t="s">
        <v>39</v>
      </c>
      <c r="R1" s="41" t="s">
        <v>40</v>
      </c>
      <c r="S1" s="11" t="s">
        <v>41</v>
      </c>
      <c r="T1" s="11" t="s">
        <v>42</v>
      </c>
      <c r="U1" s="11" t="s">
        <v>43</v>
      </c>
      <c r="V1" s="11" t="s">
        <v>44</v>
      </c>
    </row>
    <row r="2" spans="1:22" ht="57.6" x14ac:dyDescent="0.3">
      <c r="A2" s="137">
        <v>1</v>
      </c>
      <c r="B2" s="99" t="s">
        <v>45</v>
      </c>
      <c r="C2" s="99" t="s">
        <v>45</v>
      </c>
      <c r="D2" s="123" t="s">
        <v>1370</v>
      </c>
      <c r="E2" s="99" t="s">
        <v>1371</v>
      </c>
      <c r="F2" s="99" t="s">
        <v>48</v>
      </c>
      <c r="G2" s="99" t="s">
        <v>815</v>
      </c>
      <c r="H2" s="137">
        <v>200</v>
      </c>
      <c r="I2" s="131"/>
      <c r="J2" s="105" t="s">
        <v>50</v>
      </c>
      <c r="K2" s="105" t="s">
        <v>51</v>
      </c>
      <c r="L2" s="107" t="s">
        <v>10</v>
      </c>
      <c r="M2" s="107" t="s">
        <v>13</v>
      </c>
      <c r="N2" s="107" t="s">
        <v>1372</v>
      </c>
      <c r="O2" s="107" t="s">
        <v>16</v>
      </c>
      <c r="P2" s="105" t="s">
        <v>51</v>
      </c>
      <c r="Q2" s="138">
        <v>200061858667</v>
      </c>
      <c r="R2" s="105" t="s">
        <v>55</v>
      </c>
    </row>
    <row r="3" spans="1:22" ht="409.6" x14ac:dyDescent="0.3">
      <c r="A3" s="137">
        <v>2</v>
      </c>
      <c r="B3" s="99" t="s">
        <v>45</v>
      </c>
      <c r="C3" s="99" t="s">
        <v>45</v>
      </c>
      <c r="D3" s="123" t="s">
        <v>1373</v>
      </c>
      <c r="E3" s="99" t="s">
        <v>1374</v>
      </c>
      <c r="F3" s="99" t="s">
        <v>58</v>
      </c>
      <c r="G3" s="99" t="s">
        <v>830</v>
      </c>
      <c r="H3" s="137">
        <v>400</v>
      </c>
      <c r="I3" s="131" t="s">
        <v>1976</v>
      </c>
      <c r="J3" s="105" t="s">
        <v>50</v>
      </c>
      <c r="K3" s="105" t="s">
        <v>51</v>
      </c>
      <c r="L3" s="107" t="s">
        <v>10</v>
      </c>
      <c r="M3" s="107" t="s">
        <v>13</v>
      </c>
      <c r="N3" s="107" t="s">
        <v>1372</v>
      </c>
      <c r="O3" s="107" t="s">
        <v>16</v>
      </c>
      <c r="P3" s="105" t="s">
        <v>51</v>
      </c>
      <c r="Q3" s="139" t="s">
        <v>1963</v>
      </c>
      <c r="R3" s="105" t="s">
        <v>55</v>
      </c>
    </row>
    <row r="4" spans="1:22" ht="409.6" x14ac:dyDescent="0.3">
      <c r="A4" s="137">
        <v>3</v>
      </c>
      <c r="B4" s="99" t="s">
        <v>45</v>
      </c>
      <c r="C4" s="99" t="s">
        <v>45</v>
      </c>
      <c r="D4" s="123" t="s">
        <v>1375</v>
      </c>
      <c r="E4" s="99" t="s">
        <v>1376</v>
      </c>
      <c r="F4" s="99" t="s">
        <v>58</v>
      </c>
      <c r="G4" s="99" t="s">
        <v>830</v>
      </c>
      <c r="H4" s="137">
        <v>400</v>
      </c>
      <c r="I4" s="131" t="s">
        <v>1990</v>
      </c>
      <c r="J4" s="105" t="s">
        <v>50</v>
      </c>
      <c r="K4" s="105" t="s">
        <v>51</v>
      </c>
      <c r="L4" s="107" t="s">
        <v>10</v>
      </c>
      <c r="M4" s="107" t="s">
        <v>13</v>
      </c>
      <c r="N4" s="107" t="s">
        <v>1372</v>
      </c>
      <c r="O4" s="107" t="s">
        <v>16</v>
      </c>
      <c r="P4" s="105" t="s">
        <v>51</v>
      </c>
      <c r="Q4" s="138">
        <v>200061858667</v>
      </c>
      <c r="R4" s="140" t="s">
        <v>1963</v>
      </c>
      <c r="T4" s="77"/>
    </row>
    <row r="5" spans="1:22" ht="57.6" x14ac:dyDescent="0.3">
      <c r="A5" s="137">
        <v>4</v>
      </c>
      <c r="B5" s="99" t="s">
        <v>45</v>
      </c>
      <c r="C5" s="99" t="s">
        <v>45</v>
      </c>
      <c r="D5" s="113" t="s">
        <v>1377</v>
      </c>
      <c r="E5" s="99" t="s">
        <v>1378</v>
      </c>
      <c r="F5" s="99" t="s">
        <v>65</v>
      </c>
      <c r="G5" s="99" t="s">
        <v>835</v>
      </c>
      <c r="H5" s="137">
        <v>200</v>
      </c>
      <c r="I5" s="131"/>
      <c r="J5" s="105" t="s">
        <v>50</v>
      </c>
      <c r="K5" s="105" t="s">
        <v>51</v>
      </c>
      <c r="L5" s="107" t="s">
        <v>10</v>
      </c>
      <c r="M5" s="107" t="s">
        <v>13</v>
      </c>
      <c r="N5" s="107" t="s">
        <v>1372</v>
      </c>
      <c r="O5" s="107" t="s">
        <v>16</v>
      </c>
      <c r="P5" s="105" t="s">
        <v>51</v>
      </c>
      <c r="Q5" s="138">
        <v>200061858667</v>
      </c>
      <c r="R5" s="105" t="s">
        <v>55</v>
      </c>
    </row>
    <row r="6" spans="1:22" ht="57.6" x14ac:dyDescent="0.3">
      <c r="A6" s="137">
        <v>5</v>
      </c>
      <c r="B6" s="99" t="s">
        <v>45</v>
      </c>
      <c r="C6" s="99" t="s">
        <v>45</v>
      </c>
      <c r="D6" s="123" t="s">
        <v>1379</v>
      </c>
      <c r="E6" s="99" t="s">
        <v>1380</v>
      </c>
      <c r="F6" s="119" t="s">
        <v>69</v>
      </c>
      <c r="G6" s="119" t="s">
        <v>70</v>
      </c>
      <c r="H6" s="137">
        <v>200</v>
      </c>
      <c r="J6" s="105" t="s">
        <v>50</v>
      </c>
      <c r="K6" s="105" t="s">
        <v>51</v>
      </c>
      <c r="L6" s="107" t="s">
        <v>10</v>
      </c>
      <c r="M6" s="107" t="s">
        <v>13</v>
      </c>
      <c r="N6" s="107" t="s">
        <v>1372</v>
      </c>
      <c r="O6" s="107" t="s">
        <v>16</v>
      </c>
      <c r="P6" s="105" t="s">
        <v>51</v>
      </c>
      <c r="Q6" s="138">
        <v>200061858667</v>
      </c>
      <c r="R6" s="105" t="s">
        <v>55</v>
      </c>
    </row>
    <row r="7" spans="1:22" ht="57.6" x14ac:dyDescent="0.3">
      <c r="A7" s="137">
        <v>6</v>
      </c>
      <c r="B7" s="99" t="s">
        <v>45</v>
      </c>
      <c r="C7" s="99" t="s">
        <v>45</v>
      </c>
      <c r="D7" s="123" t="s">
        <v>1381</v>
      </c>
      <c r="E7" s="99" t="s">
        <v>1382</v>
      </c>
      <c r="F7" s="119" t="s">
        <v>73</v>
      </c>
      <c r="G7" s="119" t="s">
        <v>840</v>
      </c>
      <c r="H7" s="137">
        <v>401</v>
      </c>
      <c r="I7" s="131" t="s">
        <v>1948</v>
      </c>
      <c r="J7" s="105" t="s">
        <v>50</v>
      </c>
      <c r="K7" s="105" t="s">
        <v>51</v>
      </c>
      <c r="L7" s="141" t="s">
        <v>1383</v>
      </c>
      <c r="M7" s="107" t="s">
        <v>13</v>
      </c>
      <c r="N7" s="107" t="s">
        <v>1372</v>
      </c>
      <c r="O7" s="107" t="s">
        <v>16</v>
      </c>
      <c r="P7" s="105" t="s">
        <v>51</v>
      </c>
      <c r="Q7" s="138">
        <v>200061858667</v>
      </c>
      <c r="R7" s="105" t="s">
        <v>55</v>
      </c>
    </row>
    <row r="8" spans="1:22" ht="57.6" x14ac:dyDescent="0.3">
      <c r="A8" s="137">
        <v>7</v>
      </c>
      <c r="B8" s="99" t="s">
        <v>45</v>
      </c>
      <c r="C8" s="99" t="s">
        <v>45</v>
      </c>
      <c r="D8" s="123" t="s">
        <v>1384</v>
      </c>
      <c r="E8" s="99" t="s">
        <v>1385</v>
      </c>
      <c r="F8" s="119" t="s">
        <v>73</v>
      </c>
      <c r="G8" s="119" t="s">
        <v>840</v>
      </c>
      <c r="H8" s="137">
        <v>401</v>
      </c>
      <c r="I8" s="131" t="s">
        <v>1948</v>
      </c>
      <c r="J8" s="105" t="s">
        <v>50</v>
      </c>
      <c r="K8" s="105" t="s">
        <v>51</v>
      </c>
      <c r="L8" s="107" t="s">
        <v>10</v>
      </c>
      <c r="M8" s="141" t="s">
        <v>1386</v>
      </c>
      <c r="N8" s="107" t="s">
        <v>1372</v>
      </c>
      <c r="O8" s="107" t="s">
        <v>16</v>
      </c>
      <c r="P8" s="105" t="s">
        <v>51</v>
      </c>
      <c r="Q8" s="138">
        <v>200061858667</v>
      </c>
      <c r="R8" s="105" t="s">
        <v>55</v>
      </c>
    </row>
    <row r="9" spans="1:22" ht="72" x14ac:dyDescent="0.3">
      <c r="A9" s="137">
        <v>8</v>
      </c>
      <c r="B9" s="99" t="s">
        <v>45</v>
      </c>
      <c r="C9" s="99" t="s">
        <v>45</v>
      </c>
      <c r="D9" s="123" t="s">
        <v>1387</v>
      </c>
      <c r="E9" s="99" t="s">
        <v>1388</v>
      </c>
      <c r="F9" s="119" t="s">
        <v>73</v>
      </c>
      <c r="G9" s="119" t="s">
        <v>840</v>
      </c>
      <c r="H9" s="137">
        <v>401</v>
      </c>
      <c r="I9" s="131" t="s">
        <v>1991</v>
      </c>
      <c r="J9" s="105" t="s">
        <v>50</v>
      </c>
      <c r="K9" s="105" t="s">
        <v>51</v>
      </c>
      <c r="L9" s="141" t="s">
        <v>1982</v>
      </c>
      <c r="M9" s="107" t="s">
        <v>13</v>
      </c>
      <c r="N9" s="107" t="s">
        <v>1372</v>
      </c>
      <c r="O9" s="107" t="s">
        <v>16</v>
      </c>
      <c r="P9" s="105" t="s">
        <v>51</v>
      </c>
      <c r="Q9" s="138">
        <v>200061858667</v>
      </c>
      <c r="R9" s="105" t="s">
        <v>55</v>
      </c>
    </row>
    <row r="10" spans="1:22" ht="72" x14ac:dyDescent="0.3">
      <c r="A10" s="137">
        <v>9</v>
      </c>
      <c r="B10" s="99" t="s">
        <v>45</v>
      </c>
      <c r="C10" s="99" t="s">
        <v>45</v>
      </c>
      <c r="D10" s="123" t="s">
        <v>1389</v>
      </c>
      <c r="E10" s="99" t="s">
        <v>1390</v>
      </c>
      <c r="F10" s="119" t="s">
        <v>73</v>
      </c>
      <c r="G10" s="119" t="s">
        <v>840</v>
      </c>
      <c r="H10" s="137">
        <v>401</v>
      </c>
      <c r="I10" s="131" t="s">
        <v>1991</v>
      </c>
      <c r="J10" s="105" t="s">
        <v>50</v>
      </c>
      <c r="K10" s="105" t="s">
        <v>51</v>
      </c>
      <c r="L10" s="107" t="s">
        <v>10</v>
      </c>
      <c r="M10" s="141" t="s">
        <v>1982</v>
      </c>
      <c r="N10" s="107" t="s">
        <v>1372</v>
      </c>
      <c r="O10" s="107" t="s">
        <v>16</v>
      </c>
      <c r="P10" s="105" t="s">
        <v>51</v>
      </c>
      <c r="Q10" s="138">
        <v>200061858667</v>
      </c>
      <c r="R10" s="105" t="s">
        <v>55</v>
      </c>
    </row>
    <row r="11" spans="1:22" ht="72" x14ac:dyDescent="0.3">
      <c r="A11" s="137">
        <v>10</v>
      </c>
      <c r="B11" s="99" t="s">
        <v>45</v>
      </c>
      <c r="C11" s="99" t="s">
        <v>45</v>
      </c>
      <c r="D11" s="123" t="s">
        <v>1391</v>
      </c>
      <c r="E11" s="99" t="s">
        <v>1392</v>
      </c>
      <c r="F11" s="119" t="s">
        <v>89</v>
      </c>
      <c r="G11" s="119" t="s">
        <v>849</v>
      </c>
      <c r="H11" s="137">
        <v>400</v>
      </c>
      <c r="I11" s="131" t="s">
        <v>1949</v>
      </c>
      <c r="J11" s="105" t="s">
        <v>50</v>
      </c>
      <c r="K11" s="105" t="s">
        <v>51</v>
      </c>
      <c r="L11" s="107" t="s">
        <v>10</v>
      </c>
      <c r="M11" s="107" t="s">
        <v>13</v>
      </c>
      <c r="N11" s="107" t="s">
        <v>1372</v>
      </c>
      <c r="O11" s="107" t="s">
        <v>16</v>
      </c>
      <c r="P11" s="105" t="s">
        <v>51</v>
      </c>
      <c r="Q11" s="142">
        <v>200061859067</v>
      </c>
      <c r="R11" s="105" t="s">
        <v>55</v>
      </c>
    </row>
    <row r="12" spans="1:22" ht="409.6" x14ac:dyDescent="0.3">
      <c r="A12" s="137">
        <v>11</v>
      </c>
      <c r="B12" s="99" t="s">
        <v>45</v>
      </c>
      <c r="C12" s="99" t="s">
        <v>45</v>
      </c>
      <c r="D12" s="123" t="s">
        <v>1393</v>
      </c>
      <c r="E12" s="99" t="s">
        <v>1394</v>
      </c>
      <c r="F12" s="119" t="s">
        <v>89</v>
      </c>
      <c r="G12" s="119" t="s">
        <v>849</v>
      </c>
      <c r="H12" s="137">
        <v>400</v>
      </c>
      <c r="I12" s="131" t="s">
        <v>1976</v>
      </c>
      <c r="J12" s="105" t="s">
        <v>50</v>
      </c>
      <c r="K12" s="105" t="s">
        <v>51</v>
      </c>
      <c r="L12" s="107" t="s">
        <v>10</v>
      </c>
      <c r="M12" s="107" t="s">
        <v>13</v>
      </c>
      <c r="N12" s="107" t="s">
        <v>1372</v>
      </c>
      <c r="O12" s="107" t="s">
        <v>16</v>
      </c>
      <c r="P12" s="105" t="s">
        <v>51</v>
      </c>
      <c r="Q12" s="142" t="s">
        <v>1981</v>
      </c>
      <c r="R12" s="105" t="s">
        <v>55</v>
      </c>
    </row>
    <row r="13" spans="1:22" ht="72" x14ac:dyDescent="0.3">
      <c r="A13" s="137">
        <v>12</v>
      </c>
      <c r="B13" s="99" t="s">
        <v>45</v>
      </c>
      <c r="C13" s="99" t="s">
        <v>45</v>
      </c>
      <c r="D13" s="123" t="s">
        <v>1395</v>
      </c>
      <c r="E13" s="99" t="s">
        <v>1396</v>
      </c>
      <c r="F13" s="119" t="s">
        <v>99</v>
      </c>
      <c r="G13" s="119" t="s">
        <v>849</v>
      </c>
      <c r="H13" s="137">
        <v>400</v>
      </c>
      <c r="I13" s="131" t="s">
        <v>1949</v>
      </c>
      <c r="J13" s="105" t="s">
        <v>50</v>
      </c>
      <c r="K13" s="105" t="s">
        <v>51</v>
      </c>
      <c r="L13" s="107" t="s">
        <v>10</v>
      </c>
      <c r="M13" s="107" t="s">
        <v>13</v>
      </c>
      <c r="N13" s="107" t="s">
        <v>1372</v>
      </c>
      <c r="O13" s="107" t="s">
        <v>16</v>
      </c>
      <c r="P13" s="105" t="s">
        <v>51</v>
      </c>
      <c r="Q13" s="142">
        <v>2000648586907</v>
      </c>
      <c r="R13" s="143" t="s">
        <v>55</v>
      </c>
    </row>
    <row r="14" spans="1:22" ht="409.6" x14ac:dyDescent="0.3">
      <c r="A14" s="137">
        <v>13</v>
      </c>
      <c r="B14" s="99" t="s">
        <v>45</v>
      </c>
      <c r="C14" s="99" t="s">
        <v>45</v>
      </c>
      <c r="D14" s="123" t="s">
        <v>1397</v>
      </c>
      <c r="E14" s="99" t="s">
        <v>1398</v>
      </c>
      <c r="F14" s="119" t="s">
        <v>102</v>
      </c>
      <c r="G14" s="119" t="s">
        <v>849</v>
      </c>
      <c r="H14" s="137">
        <v>400</v>
      </c>
      <c r="I14" s="131" t="s">
        <v>1975</v>
      </c>
      <c r="J14" s="105" t="s">
        <v>50</v>
      </c>
      <c r="K14" s="105" t="s">
        <v>51</v>
      </c>
      <c r="L14" s="107" t="s">
        <v>10</v>
      </c>
      <c r="M14" s="107" t="s">
        <v>13</v>
      </c>
      <c r="N14" s="107" t="s">
        <v>1372</v>
      </c>
      <c r="O14" s="107" t="s">
        <v>16</v>
      </c>
      <c r="P14" s="105" t="s">
        <v>51</v>
      </c>
      <c r="Q14" s="142" t="s">
        <v>1399</v>
      </c>
      <c r="R14" s="143" t="s">
        <v>55</v>
      </c>
    </row>
    <row r="15" spans="1:22" ht="57.6" x14ac:dyDescent="0.3">
      <c r="A15" s="137">
        <v>14</v>
      </c>
      <c r="B15" s="99" t="s">
        <v>45</v>
      </c>
      <c r="C15" s="99" t="s">
        <v>45</v>
      </c>
      <c r="D15" s="123" t="s">
        <v>1400</v>
      </c>
      <c r="E15" s="99" t="s">
        <v>1401</v>
      </c>
      <c r="F15" s="119" t="s">
        <v>106</v>
      </c>
      <c r="G15" s="119" t="s">
        <v>859</v>
      </c>
      <c r="H15" s="137">
        <v>200</v>
      </c>
      <c r="I15" s="127"/>
      <c r="J15" s="105" t="s">
        <v>50</v>
      </c>
      <c r="K15" s="105" t="s">
        <v>51</v>
      </c>
      <c r="L15" s="107" t="s">
        <v>10</v>
      </c>
      <c r="M15" s="107" t="s">
        <v>13</v>
      </c>
      <c r="N15" s="107" t="s">
        <v>1372</v>
      </c>
      <c r="O15" s="107" t="s">
        <v>16</v>
      </c>
      <c r="P15" s="105" t="s">
        <v>51</v>
      </c>
      <c r="Q15" s="138">
        <v>200061858667</v>
      </c>
      <c r="R15" s="207" t="s">
        <v>55</v>
      </c>
    </row>
    <row r="16" spans="1:22" ht="57.6" x14ac:dyDescent="0.3">
      <c r="A16" s="137">
        <v>15</v>
      </c>
      <c r="B16" s="99" t="s">
        <v>45</v>
      </c>
      <c r="C16" s="99" t="s">
        <v>45</v>
      </c>
      <c r="D16" s="123" t="s">
        <v>1402</v>
      </c>
      <c r="E16" s="99" t="s">
        <v>1403</v>
      </c>
      <c r="F16" s="119" t="s">
        <v>110</v>
      </c>
      <c r="G16" s="119" t="s">
        <v>862</v>
      </c>
      <c r="H16" s="137">
        <v>400</v>
      </c>
      <c r="I16" s="131" t="s">
        <v>1950</v>
      </c>
      <c r="J16" s="105" t="s">
        <v>50</v>
      </c>
      <c r="K16" s="105" t="s">
        <v>51</v>
      </c>
      <c r="L16" s="107" t="s">
        <v>10</v>
      </c>
      <c r="M16" s="107" t="s">
        <v>13</v>
      </c>
      <c r="N16" s="107" t="s">
        <v>1372</v>
      </c>
      <c r="O16" s="107" t="s">
        <v>16</v>
      </c>
      <c r="P16" s="105" t="s">
        <v>51</v>
      </c>
      <c r="Q16" s="138">
        <v>200061858667</v>
      </c>
      <c r="R16" s="208" t="s">
        <v>1404</v>
      </c>
    </row>
    <row r="17" spans="1:18" ht="72" x14ac:dyDescent="0.3">
      <c r="A17" s="137">
        <v>16</v>
      </c>
      <c r="B17" s="100" t="s">
        <v>113</v>
      </c>
      <c r="C17" s="100" t="s">
        <v>113</v>
      </c>
      <c r="D17" s="115" t="s">
        <v>114</v>
      </c>
      <c r="E17" s="100" t="s">
        <v>1405</v>
      </c>
      <c r="F17" s="100" t="s">
        <v>116</v>
      </c>
      <c r="G17" s="100" t="s">
        <v>117</v>
      </c>
      <c r="H17" s="144">
        <v>200</v>
      </c>
      <c r="I17" s="127"/>
      <c r="J17" s="100" t="s">
        <v>50</v>
      </c>
      <c r="K17" s="100" t="s">
        <v>51</v>
      </c>
      <c r="L17" s="100"/>
      <c r="M17" s="100"/>
      <c r="N17" s="145"/>
      <c r="O17" s="100"/>
      <c r="P17" s="99" t="s">
        <v>51</v>
      </c>
      <c r="Q17" s="144"/>
      <c r="R17" s="100" t="s">
        <v>55</v>
      </c>
    </row>
    <row r="18" spans="1:18" ht="72" x14ac:dyDescent="0.3">
      <c r="A18" s="137">
        <v>17</v>
      </c>
      <c r="B18" s="100" t="s">
        <v>113</v>
      </c>
      <c r="C18" s="100" t="s">
        <v>113</v>
      </c>
      <c r="D18" s="115" t="s">
        <v>118</v>
      </c>
      <c r="E18" s="100" t="s">
        <v>1406</v>
      </c>
      <c r="F18" s="100" t="s">
        <v>120</v>
      </c>
      <c r="G18" s="100" t="s">
        <v>121</v>
      </c>
      <c r="H18" s="144">
        <v>401</v>
      </c>
      <c r="I18" s="127"/>
      <c r="J18" s="100" t="s">
        <v>50</v>
      </c>
      <c r="K18" s="100" t="s">
        <v>51</v>
      </c>
      <c r="L18" s="100"/>
      <c r="M18" s="100"/>
      <c r="N18" s="145"/>
      <c r="O18" s="100"/>
      <c r="P18" s="99" t="s">
        <v>51</v>
      </c>
      <c r="Q18" s="144"/>
      <c r="R18" s="100" t="s">
        <v>55</v>
      </c>
    </row>
    <row r="19" spans="1:18" ht="72" x14ac:dyDescent="0.3">
      <c r="A19" s="137">
        <v>18</v>
      </c>
      <c r="B19" s="100" t="s">
        <v>113</v>
      </c>
      <c r="C19" s="100" t="s">
        <v>113</v>
      </c>
      <c r="D19" s="115" t="s">
        <v>122</v>
      </c>
      <c r="E19" s="100" t="s">
        <v>1407</v>
      </c>
      <c r="F19" s="100" t="s">
        <v>124</v>
      </c>
      <c r="G19" s="100" t="s">
        <v>125</v>
      </c>
      <c r="H19" s="144">
        <v>401</v>
      </c>
      <c r="I19" s="127"/>
      <c r="J19" s="100" t="s">
        <v>50</v>
      </c>
      <c r="K19" s="100" t="s">
        <v>51</v>
      </c>
      <c r="L19" s="100"/>
      <c r="M19" s="100"/>
      <c r="N19" s="145"/>
      <c r="O19" s="100"/>
      <c r="P19" s="99" t="s">
        <v>51</v>
      </c>
      <c r="Q19" s="144"/>
      <c r="R19" s="100" t="s">
        <v>55</v>
      </c>
    </row>
    <row r="20" spans="1:18" ht="72" x14ac:dyDescent="0.3">
      <c r="A20" s="137">
        <v>19</v>
      </c>
      <c r="B20" s="100" t="s">
        <v>113</v>
      </c>
      <c r="C20" s="100" t="s">
        <v>113</v>
      </c>
      <c r="D20" s="115" t="s">
        <v>126</v>
      </c>
      <c r="E20" s="100" t="s">
        <v>1408</v>
      </c>
      <c r="F20" s="100" t="s">
        <v>128</v>
      </c>
      <c r="G20" s="100" t="s">
        <v>125</v>
      </c>
      <c r="H20" s="144">
        <v>401</v>
      </c>
      <c r="I20" s="127"/>
      <c r="J20" s="100" t="s">
        <v>50</v>
      </c>
      <c r="K20" s="100" t="s">
        <v>51</v>
      </c>
      <c r="L20" s="100"/>
      <c r="M20" s="100"/>
      <c r="N20" s="145"/>
      <c r="O20" s="100"/>
      <c r="P20" s="99" t="s">
        <v>51</v>
      </c>
      <c r="Q20" s="144"/>
      <c r="R20" s="100" t="s">
        <v>55</v>
      </c>
    </row>
    <row r="21" spans="1:18" ht="72" x14ac:dyDescent="0.3">
      <c r="A21" s="137">
        <v>20</v>
      </c>
      <c r="B21" s="100" t="s">
        <v>113</v>
      </c>
      <c r="C21" s="100" t="s">
        <v>113</v>
      </c>
      <c r="D21" s="115" t="s">
        <v>129</v>
      </c>
      <c r="E21" s="100" t="s">
        <v>1409</v>
      </c>
      <c r="F21" s="100" t="s">
        <v>131</v>
      </c>
      <c r="G21" s="100" t="s">
        <v>125</v>
      </c>
      <c r="H21" s="144">
        <v>401</v>
      </c>
      <c r="I21" s="127"/>
      <c r="J21" s="100" t="s">
        <v>50</v>
      </c>
      <c r="K21" s="100" t="s">
        <v>51</v>
      </c>
      <c r="L21" s="100"/>
      <c r="M21" s="100"/>
      <c r="N21" s="145"/>
      <c r="O21" s="100"/>
      <c r="P21" s="99" t="s">
        <v>51</v>
      </c>
      <c r="Q21" s="144"/>
      <c r="R21" s="100" t="s">
        <v>55</v>
      </c>
    </row>
    <row r="22" spans="1:18" ht="86.4" x14ac:dyDescent="0.3">
      <c r="A22" s="137">
        <v>21</v>
      </c>
      <c r="B22" s="100" t="s">
        <v>113</v>
      </c>
      <c r="C22" s="100" t="s">
        <v>113</v>
      </c>
      <c r="D22" s="115" t="s">
        <v>132</v>
      </c>
      <c r="E22" s="100" t="s">
        <v>1410</v>
      </c>
      <c r="F22" s="100" t="s">
        <v>134</v>
      </c>
      <c r="G22" s="100" t="s">
        <v>135</v>
      </c>
      <c r="H22" s="144">
        <v>401</v>
      </c>
      <c r="I22" s="127"/>
      <c r="J22" s="100" t="s">
        <v>50</v>
      </c>
      <c r="K22" s="100" t="s">
        <v>51</v>
      </c>
      <c r="L22" s="100" t="s">
        <v>1411</v>
      </c>
      <c r="M22" s="100" t="s">
        <v>1412</v>
      </c>
      <c r="N22" s="100" t="s">
        <v>1372</v>
      </c>
      <c r="O22" s="100" t="s">
        <v>16</v>
      </c>
      <c r="P22" s="99" t="s">
        <v>51</v>
      </c>
      <c r="Q22" s="144">
        <v>200061858667</v>
      </c>
      <c r="R22" s="100" t="s">
        <v>55</v>
      </c>
    </row>
    <row r="23" spans="1:18" ht="86.4" x14ac:dyDescent="0.3">
      <c r="A23" s="137">
        <v>22</v>
      </c>
      <c r="B23" s="100" t="s">
        <v>113</v>
      </c>
      <c r="C23" s="100" t="s">
        <v>113</v>
      </c>
      <c r="D23" s="115" t="s">
        <v>138</v>
      </c>
      <c r="E23" s="100" t="s">
        <v>130</v>
      </c>
      <c r="F23" s="100" t="s">
        <v>140</v>
      </c>
      <c r="G23" s="100" t="s">
        <v>141</v>
      </c>
      <c r="H23" s="144">
        <v>401</v>
      </c>
      <c r="I23" s="127"/>
      <c r="J23" s="100" t="s">
        <v>50</v>
      </c>
      <c r="K23" s="100" t="s">
        <v>51</v>
      </c>
      <c r="L23" s="108" t="s">
        <v>10</v>
      </c>
      <c r="M23" s="108" t="s">
        <v>13</v>
      </c>
      <c r="N23" s="108" t="s">
        <v>1413</v>
      </c>
      <c r="O23" s="108" t="s">
        <v>16</v>
      </c>
      <c r="P23" s="99" t="s">
        <v>51</v>
      </c>
      <c r="Q23" s="146">
        <v>200061858667</v>
      </c>
      <c r="R23" s="100" t="s">
        <v>55</v>
      </c>
    </row>
    <row r="24" spans="1:18" ht="216" x14ac:dyDescent="0.3">
      <c r="A24" s="137">
        <v>23</v>
      </c>
      <c r="B24" s="100" t="s">
        <v>113</v>
      </c>
      <c r="C24" s="100" t="s">
        <v>113</v>
      </c>
      <c r="D24" s="118" t="s">
        <v>1414</v>
      </c>
      <c r="E24" s="100" t="s">
        <v>1415</v>
      </c>
      <c r="F24" s="100" t="s">
        <v>1416</v>
      </c>
      <c r="G24" s="100" t="s">
        <v>1417</v>
      </c>
      <c r="H24" s="147">
        <v>403</v>
      </c>
      <c r="I24" s="127"/>
      <c r="J24" s="100" t="s">
        <v>50</v>
      </c>
      <c r="K24" s="100" t="s">
        <v>51</v>
      </c>
      <c r="L24" s="108" t="s">
        <v>10</v>
      </c>
      <c r="M24" s="108" t="s">
        <v>13</v>
      </c>
      <c r="N24" s="108" t="s">
        <v>1372</v>
      </c>
      <c r="O24" s="108" t="s">
        <v>16</v>
      </c>
      <c r="P24" s="99" t="s">
        <v>51</v>
      </c>
      <c r="Q24" s="146">
        <v>200061858667</v>
      </c>
      <c r="R24" s="100" t="s">
        <v>55</v>
      </c>
    </row>
    <row r="25" spans="1:18" ht="201.6" x14ac:dyDescent="0.3">
      <c r="A25" s="137">
        <v>24</v>
      </c>
      <c r="B25" s="100" t="s">
        <v>113</v>
      </c>
      <c r="C25" s="100" t="s">
        <v>113</v>
      </c>
      <c r="D25" s="118" t="s">
        <v>1418</v>
      </c>
      <c r="E25" s="100" t="s">
        <v>1419</v>
      </c>
      <c r="F25" s="100" t="s">
        <v>876</v>
      </c>
      <c r="G25" s="100" t="s">
        <v>877</v>
      </c>
      <c r="H25" s="147">
        <v>403</v>
      </c>
      <c r="I25" s="127"/>
      <c r="J25" s="100" t="s">
        <v>50</v>
      </c>
      <c r="K25" s="100" t="s">
        <v>51</v>
      </c>
      <c r="L25" s="108"/>
      <c r="M25" s="108"/>
      <c r="N25" s="148"/>
      <c r="O25" s="108"/>
      <c r="P25" s="99" t="s">
        <v>51</v>
      </c>
      <c r="Q25" s="146"/>
      <c r="R25" s="100" t="s">
        <v>55</v>
      </c>
    </row>
    <row r="26" spans="1:18" ht="43.2" x14ac:dyDescent="0.3">
      <c r="A26" s="137">
        <v>25</v>
      </c>
      <c r="B26" s="100" t="s">
        <v>113</v>
      </c>
      <c r="C26" s="100" t="s">
        <v>113</v>
      </c>
      <c r="D26" s="116" t="s">
        <v>1420</v>
      </c>
      <c r="E26" s="101" t="s">
        <v>1421</v>
      </c>
      <c r="F26" s="101" t="s">
        <v>148</v>
      </c>
      <c r="G26" s="101" t="s">
        <v>149</v>
      </c>
      <c r="H26" s="149">
        <v>200</v>
      </c>
      <c r="I26" s="127"/>
      <c r="J26" s="101" t="s">
        <v>50</v>
      </c>
      <c r="K26" s="101" t="s">
        <v>51</v>
      </c>
      <c r="L26" s="150"/>
      <c r="M26" s="150"/>
      <c r="N26" s="151"/>
      <c r="O26" s="150"/>
      <c r="P26" s="101" t="s">
        <v>51</v>
      </c>
      <c r="Q26" s="152"/>
      <c r="R26" s="101" t="s">
        <v>55</v>
      </c>
    </row>
    <row r="27" spans="1:18" ht="43.2" x14ac:dyDescent="0.3">
      <c r="A27" s="137">
        <v>26</v>
      </c>
      <c r="B27" s="100" t="s">
        <v>113</v>
      </c>
      <c r="C27" s="100" t="s">
        <v>113</v>
      </c>
      <c r="D27" s="116" t="s">
        <v>1422</v>
      </c>
      <c r="E27" s="101" t="s">
        <v>1423</v>
      </c>
      <c r="F27" s="101" t="s">
        <v>144</v>
      </c>
      <c r="G27" s="101" t="s">
        <v>884</v>
      </c>
      <c r="H27" s="149">
        <v>403</v>
      </c>
      <c r="I27" s="127"/>
      <c r="J27" s="101" t="s">
        <v>50</v>
      </c>
      <c r="K27" s="101" t="s">
        <v>51</v>
      </c>
      <c r="L27" s="150"/>
      <c r="M27" s="150"/>
      <c r="N27" s="151"/>
      <c r="O27" s="150"/>
      <c r="P27" s="101" t="s">
        <v>51</v>
      </c>
      <c r="Q27" s="152"/>
      <c r="R27" s="101" t="s">
        <v>55</v>
      </c>
    </row>
    <row r="28" spans="1:18" x14ac:dyDescent="0.3">
      <c r="I28" s="15"/>
    </row>
    <row r="29" spans="1:18" x14ac:dyDescent="0.3">
      <c r="I29" s="15"/>
    </row>
    <row r="30" spans="1:18" x14ac:dyDescent="0.3">
      <c r="I30" s="15"/>
    </row>
    <row r="31" spans="1:18" x14ac:dyDescent="0.3">
      <c r="I31" s="15"/>
    </row>
    <row r="32" spans="1:18" x14ac:dyDescent="0.3">
      <c r="I32" s="15"/>
    </row>
    <row r="33" spans="9:9" x14ac:dyDescent="0.3">
      <c r="I33" s="15"/>
    </row>
    <row r="34" spans="9:9" x14ac:dyDescent="0.3">
      <c r="I34" s="21"/>
    </row>
    <row r="35" spans="9:9" x14ac:dyDescent="0.3">
      <c r="I35" s="21"/>
    </row>
    <row r="36" spans="9:9" x14ac:dyDescent="0.3">
      <c r="I36" s="21"/>
    </row>
    <row r="37" spans="9:9" x14ac:dyDescent="0.3">
      <c r="I37" s="21"/>
    </row>
    <row r="38" spans="9:9" x14ac:dyDescent="0.3">
      <c r="I38" s="21"/>
    </row>
    <row r="39" spans="9:9" x14ac:dyDescent="0.3">
      <c r="I39" s="21"/>
    </row>
    <row r="40" spans="9:9" x14ac:dyDescent="0.3">
      <c r="I40" s="21"/>
    </row>
    <row r="41" spans="9:9" x14ac:dyDescent="0.3">
      <c r="I41" s="21"/>
    </row>
    <row r="42" spans="9:9" x14ac:dyDescent="0.3">
      <c r="I42" s="21"/>
    </row>
    <row r="43" spans="9:9" x14ac:dyDescent="0.3">
      <c r="I43" s="21"/>
    </row>
    <row r="44" spans="9:9" x14ac:dyDescent="0.3">
      <c r="I44" s="21"/>
    </row>
    <row r="45" spans="9:9" x14ac:dyDescent="0.3">
      <c r="I45" s="21"/>
    </row>
    <row r="46" spans="9:9" x14ac:dyDescent="0.3">
      <c r="I46" s="21"/>
    </row>
    <row r="47" spans="9:9" x14ac:dyDescent="0.3">
      <c r="I47" s="21"/>
    </row>
    <row r="48" spans="9:9" x14ac:dyDescent="0.3">
      <c r="I48" s="21"/>
    </row>
    <row r="49" spans="9:9" x14ac:dyDescent="0.3">
      <c r="I49" s="21"/>
    </row>
    <row r="50" spans="9:9" x14ac:dyDescent="0.3">
      <c r="I50" s="21"/>
    </row>
    <row r="51" spans="9:9" x14ac:dyDescent="0.3">
      <c r="I51" s="21"/>
    </row>
    <row r="52" spans="9:9" x14ac:dyDescent="0.3">
      <c r="I52" s="21"/>
    </row>
    <row r="53" spans="9:9" x14ac:dyDescent="0.3">
      <c r="I53" s="21"/>
    </row>
    <row r="54" spans="9:9" x14ac:dyDescent="0.3">
      <c r="I54" s="21"/>
    </row>
    <row r="55" spans="9:9" x14ac:dyDescent="0.3">
      <c r="I55" s="21"/>
    </row>
    <row r="56" spans="9:9" x14ac:dyDescent="0.3">
      <c r="I56" s="21"/>
    </row>
    <row r="57" spans="9:9" x14ac:dyDescent="0.3">
      <c r="I57" s="21"/>
    </row>
    <row r="58" spans="9:9" x14ac:dyDescent="0.3">
      <c r="I58" s="21"/>
    </row>
    <row r="59" spans="9:9" x14ac:dyDescent="0.3">
      <c r="I59" s="21"/>
    </row>
    <row r="60" spans="9:9" x14ac:dyDescent="0.3">
      <c r="I60" s="21"/>
    </row>
    <row r="61" spans="9:9" x14ac:dyDescent="0.3">
      <c r="I61" s="21"/>
    </row>
    <row r="62" spans="9:9" x14ac:dyDescent="0.3">
      <c r="I62" s="21"/>
    </row>
    <row r="63" spans="9:9" x14ac:dyDescent="0.3">
      <c r="I63" s="21"/>
    </row>
    <row r="64" spans="9:9" x14ac:dyDescent="0.3">
      <c r="I64" s="21"/>
    </row>
    <row r="65" spans="9:9" x14ac:dyDescent="0.3">
      <c r="I65" s="21"/>
    </row>
    <row r="66" spans="9:9" x14ac:dyDescent="0.3">
      <c r="I66" s="21"/>
    </row>
    <row r="67" spans="9:9" x14ac:dyDescent="0.3">
      <c r="I67" s="21"/>
    </row>
    <row r="68" spans="9:9" x14ac:dyDescent="0.3">
      <c r="I68" s="21"/>
    </row>
    <row r="69" spans="9:9" x14ac:dyDescent="0.3">
      <c r="I69" s="21"/>
    </row>
    <row r="70" spans="9:9" x14ac:dyDescent="0.3">
      <c r="I70" s="21"/>
    </row>
    <row r="71" spans="9:9" x14ac:dyDescent="0.3">
      <c r="I71" s="21"/>
    </row>
    <row r="72" spans="9:9" x14ac:dyDescent="0.3">
      <c r="I72" s="21"/>
    </row>
    <row r="73" spans="9:9" x14ac:dyDescent="0.3">
      <c r="I73" s="21"/>
    </row>
    <row r="74" spans="9:9" x14ac:dyDescent="0.3">
      <c r="I74" s="15"/>
    </row>
    <row r="75" spans="9:9" x14ac:dyDescent="0.3">
      <c r="I75" s="21"/>
    </row>
    <row r="76" spans="9:9" x14ac:dyDescent="0.3">
      <c r="I76" s="21"/>
    </row>
    <row r="77" spans="9:9" x14ac:dyDescent="0.3">
      <c r="I77" s="21"/>
    </row>
    <row r="78" spans="9:9" x14ac:dyDescent="0.3">
      <c r="I78" s="21"/>
    </row>
    <row r="79" spans="9:9" x14ac:dyDescent="0.3">
      <c r="I79" s="21"/>
    </row>
    <row r="80" spans="9:9"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21"/>
    </row>
    <row r="95" spans="9:9" x14ac:dyDescent="0.3">
      <c r="I95" s="15"/>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21"/>
    </row>
    <row r="114" spans="9:9" x14ac:dyDescent="0.3">
      <c r="I114" s="15"/>
    </row>
    <row r="115" spans="9:9" x14ac:dyDescent="0.3">
      <c r="I115" s="1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outlinePr summaryBelow="0"/>
  </sheetPr>
  <dimension ref="A1:R114"/>
  <sheetViews>
    <sheetView topLeftCell="D1" zoomScale="70" zoomScaleNormal="70" workbookViewId="0">
      <pane ySplit="1" topLeftCell="A14" activePane="bottomLeft" state="frozen"/>
      <selection activeCell="Q5" sqref="Q5"/>
      <selection pane="bottomLeft" activeCell="G20" sqref="G20"/>
    </sheetView>
  </sheetViews>
  <sheetFormatPr defaultRowHeight="14.4" x14ac:dyDescent="0.3"/>
  <cols>
    <col min="1" max="1" width="3.109375" style="24" bestFit="1" customWidth="1"/>
    <col min="2" max="2" width="26.6640625" style="26" bestFit="1" customWidth="1"/>
    <col min="3" max="3" width="9.109375" style="26" bestFit="1" customWidth="1"/>
    <col min="4" max="4" width="32.109375" style="77" bestFit="1" customWidth="1"/>
    <col min="5" max="5" width="58.109375" style="84" bestFit="1" customWidth="1"/>
    <col min="6" max="6" width="35.109375" style="26" bestFit="1" customWidth="1"/>
    <col min="7" max="7" width="54.5546875" style="84" bestFit="1" customWidth="1"/>
    <col min="8" max="8" width="15.33203125" style="35" bestFit="1" customWidth="1"/>
    <col min="9" max="9" width="19.88671875" style="27" customWidth="1"/>
    <col min="10" max="10" width="55.109375" style="80" customWidth="1"/>
    <col min="11" max="11" width="24.109375" style="26" bestFit="1" customWidth="1"/>
    <col min="12" max="12" width="14" style="26" bestFit="1" customWidth="1"/>
    <col min="13" max="14" width="11.44140625" style="26" bestFit="1" customWidth="1"/>
    <col min="15" max="18" width="8.88671875" bestFit="1" customWidth="1"/>
  </cols>
  <sheetData>
    <row r="1" spans="1:18" ht="43.2" x14ac:dyDescent="0.3">
      <c r="A1" s="1" t="s">
        <v>24</v>
      </c>
      <c r="B1" s="2" t="s">
        <v>25</v>
      </c>
      <c r="C1" s="2" t="s">
        <v>26</v>
      </c>
      <c r="D1" s="75" t="s">
        <v>27</v>
      </c>
      <c r="E1" s="78" t="s">
        <v>28</v>
      </c>
      <c r="F1" s="2" t="s">
        <v>29</v>
      </c>
      <c r="G1" s="78" t="s">
        <v>30</v>
      </c>
      <c r="H1" s="32" t="s">
        <v>31</v>
      </c>
      <c r="I1" s="3" t="s">
        <v>1947</v>
      </c>
      <c r="J1" s="88" t="s">
        <v>32</v>
      </c>
      <c r="K1" s="33" t="s">
        <v>150</v>
      </c>
      <c r="L1" s="5" t="s">
        <v>36</v>
      </c>
      <c r="M1" s="5" t="s">
        <v>37</v>
      </c>
      <c r="N1" s="5" t="s">
        <v>151</v>
      </c>
      <c r="O1" s="11" t="s">
        <v>41</v>
      </c>
      <c r="P1" s="11" t="s">
        <v>42</v>
      </c>
      <c r="Q1" s="11" t="s">
        <v>43</v>
      </c>
      <c r="R1" s="11" t="s">
        <v>44</v>
      </c>
    </row>
    <row r="2" spans="1:18" ht="409.6" x14ac:dyDescent="0.3">
      <c r="A2" s="127">
        <v>1</v>
      </c>
      <c r="B2" s="79" t="s">
        <v>45</v>
      </c>
      <c r="C2" s="79" t="s">
        <v>45</v>
      </c>
      <c r="D2" s="76" t="s">
        <v>1424</v>
      </c>
      <c r="E2" s="79" t="s">
        <v>1425</v>
      </c>
      <c r="F2" s="79" t="s">
        <v>154</v>
      </c>
      <c r="G2" s="79" t="s">
        <v>155</v>
      </c>
      <c r="H2" s="110">
        <v>200</v>
      </c>
      <c r="I2" s="131"/>
      <c r="J2" s="102" t="s">
        <v>156</v>
      </c>
      <c r="K2" s="102" t="s">
        <v>171</v>
      </c>
      <c r="L2" s="102" t="s">
        <v>1372</v>
      </c>
      <c r="M2" s="102" t="s">
        <v>16</v>
      </c>
      <c r="N2" s="102" t="s">
        <v>1426</v>
      </c>
      <c r="O2" s="77"/>
      <c r="P2" s="77"/>
      <c r="Q2" s="77"/>
      <c r="R2" s="77"/>
    </row>
    <row r="3" spans="1:18" ht="409.6" x14ac:dyDescent="0.3">
      <c r="A3" s="127">
        <v>2</v>
      </c>
      <c r="B3" s="79" t="s">
        <v>45</v>
      </c>
      <c r="C3" s="79" t="s">
        <v>45</v>
      </c>
      <c r="D3" s="76" t="s">
        <v>1427</v>
      </c>
      <c r="E3" s="79" t="s">
        <v>1428</v>
      </c>
      <c r="F3" s="79" t="s">
        <v>160</v>
      </c>
      <c r="G3" s="79" t="s">
        <v>161</v>
      </c>
      <c r="H3" s="110">
        <v>200</v>
      </c>
      <c r="I3" s="131"/>
      <c r="J3" s="102" t="s">
        <v>156</v>
      </c>
      <c r="K3" s="102"/>
      <c r="L3" s="102" t="s">
        <v>1372</v>
      </c>
      <c r="M3" s="102" t="s">
        <v>16</v>
      </c>
      <c r="N3" s="102" t="s">
        <v>1426</v>
      </c>
      <c r="O3" s="77"/>
      <c r="P3" s="77"/>
      <c r="Q3" s="77"/>
      <c r="R3" s="77"/>
    </row>
    <row r="4" spans="1:18" ht="409.6" x14ac:dyDescent="0.3">
      <c r="A4" s="127">
        <v>3</v>
      </c>
      <c r="B4" s="79" t="s">
        <v>45</v>
      </c>
      <c r="C4" s="79" t="s">
        <v>45</v>
      </c>
      <c r="D4" s="76" t="s">
        <v>1429</v>
      </c>
      <c r="E4" s="79" t="s">
        <v>1430</v>
      </c>
      <c r="F4" s="79" t="s">
        <v>164</v>
      </c>
      <c r="G4" s="79" t="s">
        <v>165</v>
      </c>
      <c r="H4" s="110">
        <v>200</v>
      </c>
      <c r="I4" s="131"/>
      <c r="J4" s="102" t="s">
        <v>1986</v>
      </c>
      <c r="K4" s="102" t="s">
        <v>1431</v>
      </c>
      <c r="L4" s="102" t="s">
        <v>1372</v>
      </c>
      <c r="M4" s="102" t="s">
        <v>16</v>
      </c>
      <c r="N4" s="102" t="s">
        <v>1426</v>
      </c>
      <c r="O4" s="77"/>
      <c r="P4" s="77"/>
      <c r="Q4" s="77"/>
      <c r="R4" s="77"/>
    </row>
    <row r="5" spans="1:18" ht="302.39999999999998" x14ac:dyDescent="0.3">
      <c r="A5" s="127">
        <v>4</v>
      </c>
      <c r="B5" s="79" t="s">
        <v>45</v>
      </c>
      <c r="C5" s="79" t="s">
        <v>45</v>
      </c>
      <c r="D5" s="76" t="s">
        <v>1432</v>
      </c>
      <c r="E5" s="79" t="s">
        <v>1433</v>
      </c>
      <c r="F5" s="79" t="s">
        <v>169</v>
      </c>
      <c r="G5" s="79" t="s">
        <v>170</v>
      </c>
      <c r="H5" s="110">
        <v>200</v>
      </c>
      <c r="I5" s="131"/>
      <c r="J5" s="102" t="s">
        <v>1984</v>
      </c>
      <c r="K5" s="102" t="s">
        <v>1434</v>
      </c>
      <c r="L5" s="102" t="s">
        <v>1372</v>
      </c>
      <c r="M5" s="102" t="s">
        <v>16</v>
      </c>
      <c r="N5" s="102" t="s">
        <v>1426</v>
      </c>
      <c r="O5" s="77"/>
      <c r="P5" s="77"/>
      <c r="Q5" s="77"/>
      <c r="R5" s="77"/>
    </row>
    <row r="6" spans="1:18" ht="302.39999999999998" x14ac:dyDescent="0.3">
      <c r="A6" s="127">
        <v>5</v>
      </c>
      <c r="B6" s="79" t="s">
        <v>45</v>
      </c>
      <c r="C6" s="79" t="s">
        <v>45</v>
      </c>
      <c r="D6" s="76" t="s">
        <v>1435</v>
      </c>
      <c r="E6" s="79" t="s">
        <v>1436</v>
      </c>
      <c r="F6" s="79" t="s">
        <v>174</v>
      </c>
      <c r="G6" s="79" t="s">
        <v>175</v>
      </c>
      <c r="H6" s="110">
        <v>200</v>
      </c>
      <c r="I6" s="131"/>
      <c r="J6" s="102" t="s">
        <v>156</v>
      </c>
      <c r="K6" s="102"/>
      <c r="L6" s="102" t="s">
        <v>1372</v>
      </c>
      <c r="M6" s="102" t="s">
        <v>16</v>
      </c>
      <c r="N6" s="102" t="s">
        <v>1426</v>
      </c>
      <c r="O6" s="77"/>
      <c r="P6" s="77"/>
      <c r="Q6" s="77"/>
      <c r="R6" s="77"/>
    </row>
    <row r="7" spans="1:18" ht="72" x14ac:dyDescent="0.3">
      <c r="A7" s="127">
        <v>6</v>
      </c>
      <c r="B7" s="79" t="s">
        <v>45</v>
      </c>
      <c r="C7" s="79" t="s">
        <v>45</v>
      </c>
      <c r="D7" s="76" t="s">
        <v>1437</v>
      </c>
      <c r="E7" s="79" t="s">
        <v>1438</v>
      </c>
      <c r="F7" s="79" t="s">
        <v>178</v>
      </c>
      <c r="G7" s="79" t="s">
        <v>179</v>
      </c>
      <c r="H7" s="110">
        <v>400</v>
      </c>
      <c r="I7" s="131" t="s">
        <v>1953</v>
      </c>
      <c r="J7" s="102" t="s">
        <v>1987</v>
      </c>
      <c r="K7" s="129" t="s">
        <v>1439</v>
      </c>
      <c r="L7" s="102" t="s">
        <v>1372</v>
      </c>
      <c r="M7" s="102" t="s">
        <v>16</v>
      </c>
      <c r="N7" s="102" t="s">
        <v>1426</v>
      </c>
      <c r="O7" s="77"/>
      <c r="P7" s="77"/>
      <c r="Q7" s="77"/>
      <c r="R7" s="77"/>
    </row>
    <row r="8" spans="1:18" ht="72" x14ac:dyDescent="0.3">
      <c r="A8" s="127">
        <v>7</v>
      </c>
      <c r="B8" s="79" t="s">
        <v>45</v>
      </c>
      <c r="C8" s="79" t="s">
        <v>45</v>
      </c>
      <c r="D8" s="76" t="s">
        <v>1440</v>
      </c>
      <c r="E8" s="79" t="s">
        <v>1441</v>
      </c>
      <c r="F8" s="79" t="s">
        <v>182</v>
      </c>
      <c r="G8" s="79" t="s">
        <v>189</v>
      </c>
      <c r="H8" s="110">
        <v>401</v>
      </c>
      <c r="I8" s="131" t="s">
        <v>1954</v>
      </c>
      <c r="J8" s="102" t="s">
        <v>156</v>
      </c>
      <c r="K8" s="102"/>
      <c r="L8" s="102" t="s">
        <v>1372</v>
      </c>
      <c r="M8" s="129" t="s">
        <v>1977</v>
      </c>
      <c r="N8" s="102" t="s">
        <v>1426</v>
      </c>
      <c r="O8" s="77"/>
      <c r="P8" s="77"/>
      <c r="Q8" s="77"/>
      <c r="R8" s="77"/>
    </row>
    <row r="9" spans="1:18" ht="72" x14ac:dyDescent="0.3">
      <c r="A9" s="127">
        <v>8</v>
      </c>
      <c r="B9" s="79" t="s">
        <v>45</v>
      </c>
      <c r="C9" s="79" t="s">
        <v>45</v>
      </c>
      <c r="D9" s="76" t="s">
        <v>1442</v>
      </c>
      <c r="E9" s="79" t="s">
        <v>1443</v>
      </c>
      <c r="F9" s="79" t="s">
        <v>185</v>
      </c>
      <c r="G9" s="79" t="s">
        <v>189</v>
      </c>
      <c r="H9" s="110">
        <v>401</v>
      </c>
      <c r="I9" s="131" t="s">
        <v>1955</v>
      </c>
      <c r="J9" s="102" t="s">
        <v>156</v>
      </c>
      <c r="K9" s="102"/>
      <c r="L9" s="129" t="s">
        <v>1989</v>
      </c>
      <c r="M9" s="102" t="s">
        <v>16</v>
      </c>
      <c r="N9" s="102" t="s">
        <v>1426</v>
      </c>
      <c r="O9" s="77"/>
      <c r="P9" s="77"/>
      <c r="Q9" s="77"/>
      <c r="R9" s="77"/>
    </row>
    <row r="10" spans="1:18" ht="72" x14ac:dyDescent="0.3">
      <c r="A10" s="127">
        <v>9</v>
      </c>
      <c r="B10" s="79" t="s">
        <v>45</v>
      </c>
      <c r="C10" s="79" t="s">
        <v>45</v>
      </c>
      <c r="D10" s="76" t="s">
        <v>1444</v>
      </c>
      <c r="E10" s="79" t="s">
        <v>1445</v>
      </c>
      <c r="F10" s="79" t="s">
        <v>188</v>
      </c>
      <c r="G10" s="79" t="s">
        <v>189</v>
      </c>
      <c r="H10" s="110">
        <v>401</v>
      </c>
      <c r="I10" s="131" t="s">
        <v>1956</v>
      </c>
      <c r="J10" s="102" t="s">
        <v>156</v>
      </c>
      <c r="K10" s="102"/>
      <c r="L10" s="102" t="s">
        <v>1372</v>
      </c>
      <c r="M10" s="129" t="s">
        <v>1446</v>
      </c>
      <c r="N10" s="102" t="s">
        <v>1426</v>
      </c>
      <c r="O10" s="77"/>
      <c r="P10" s="77"/>
      <c r="Q10" s="77"/>
      <c r="R10" s="77"/>
    </row>
    <row r="11" spans="1:18" ht="72" x14ac:dyDescent="0.3">
      <c r="A11" s="127">
        <v>10</v>
      </c>
      <c r="B11" s="79" t="s">
        <v>45</v>
      </c>
      <c r="C11" s="79" t="s">
        <v>45</v>
      </c>
      <c r="D11" s="76" t="s">
        <v>1447</v>
      </c>
      <c r="E11" s="79" t="s">
        <v>1448</v>
      </c>
      <c r="F11" s="79" t="s">
        <v>193</v>
      </c>
      <c r="G11" s="79" t="s">
        <v>189</v>
      </c>
      <c r="H11" s="110">
        <v>401</v>
      </c>
      <c r="I11" s="131" t="s">
        <v>1973</v>
      </c>
      <c r="J11" s="102" t="s">
        <v>156</v>
      </c>
      <c r="K11" s="102"/>
      <c r="L11" s="129" t="s">
        <v>1449</v>
      </c>
      <c r="M11" s="102" t="s">
        <v>16</v>
      </c>
      <c r="N11" s="102" t="s">
        <v>1426</v>
      </c>
      <c r="O11" s="77"/>
      <c r="P11" s="77"/>
      <c r="Q11" s="77"/>
      <c r="R11" s="77"/>
    </row>
    <row r="12" spans="1:18" ht="72" x14ac:dyDescent="0.3">
      <c r="A12" s="127">
        <v>11</v>
      </c>
      <c r="B12" s="79" t="s">
        <v>45</v>
      </c>
      <c r="C12" s="79" t="s">
        <v>45</v>
      </c>
      <c r="D12" s="76" t="s">
        <v>1450</v>
      </c>
      <c r="E12" s="79" t="s">
        <v>1451</v>
      </c>
      <c r="F12" s="79" t="s">
        <v>216</v>
      </c>
      <c r="G12" s="79" t="s">
        <v>217</v>
      </c>
      <c r="H12" s="110">
        <v>403</v>
      </c>
      <c r="I12" s="131" t="s">
        <v>1956</v>
      </c>
      <c r="J12" s="102" t="s">
        <v>156</v>
      </c>
      <c r="K12" s="102"/>
      <c r="L12" s="102" t="s">
        <v>1372</v>
      </c>
      <c r="M12" s="129" t="s">
        <v>1452</v>
      </c>
      <c r="N12" s="102" t="s">
        <v>1426</v>
      </c>
      <c r="O12" s="77"/>
      <c r="P12" s="77"/>
      <c r="Q12" s="77"/>
      <c r="R12" s="77"/>
    </row>
    <row r="13" spans="1:18" ht="72" x14ac:dyDescent="0.3">
      <c r="A13" s="127">
        <v>12</v>
      </c>
      <c r="B13" s="79" t="s">
        <v>45</v>
      </c>
      <c r="C13" s="79" t="s">
        <v>45</v>
      </c>
      <c r="D13" s="76" t="s">
        <v>1453</v>
      </c>
      <c r="E13" s="79" t="s">
        <v>1454</v>
      </c>
      <c r="F13" s="79" t="s">
        <v>154</v>
      </c>
      <c r="G13" s="79" t="s">
        <v>197</v>
      </c>
      <c r="H13" s="110">
        <v>200</v>
      </c>
      <c r="I13" s="131"/>
      <c r="J13" s="102" t="s">
        <v>156</v>
      </c>
      <c r="K13" s="102"/>
      <c r="L13" s="102" t="s">
        <v>1372</v>
      </c>
      <c r="M13" s="102" t="s">
        <v>16</v>
      </c>
      <c r="N13" s="102" t="s">
        <v>1426</v>
      </c>
      <c r="O13" s="77"/>
      <c r="P13" s="77"/>
      <c r="Q13" s="77"/>
      <c r="R13" s="77"/>
    </row>
    <row r="14" spans="1:18" ht="72" x14ac:dyDescent="0.3">
      <c r="A14" s="127">
        <v>13</v>
      </c>
      <c r="B14" s="79" t="s">
        <v>45</v>
      </c>
      <c r="C14" s="79" t="s">
        <v>45</v>
      </c>
      <c r="D14" s="76" t="s">
        <v>1455</v>
      </c>
      <c r="E14" s="79" t="s">
        <v>1456</v>
      </c>
      <c r="F14" s="79" t="s">
        <v>200</v>
      </c>
      <c r="G14" s="79" t="s">
        <v>201</v>
      </c>
      <c r="H14" s="110">
        <v>200</v>
      </c>
      <c r="I14" s="127"/>
      <c r="J14" s="102" t="s">
        <v>156</v>
      </c>
      <c r="K14" s="102"/>
      <c r="L14" s="102" t="s">
        <v>1372</v>
      </c>
      <c r="M14" s="102" t="s">
        <v>16</v>
      </c>
      <c r="N14" s="102" t="s">
        <v>1426</v>
      </c>
      <c r="O14" s="77"/>
      <c r="P14" s="77"/>
      <c r="Q14" s="77"/>
      <c r="R14" s="77"/>
    </row>
    <row r="15" spans="1:18" ht="72" x14ac:dyDescent="0.3">
      <c r="A15" s="127">
        <v>14</v>
      </c>
      <c r="B15" s="79" t="s">
        <v>45</v>
      </c>
      <c r="C15" s="79" t="s">
        <v>45</v>
      </c>
      <c r="D15" s="76" t="s">
        <v>1457</v>
      </c>
      <c r="E15" s="79" t="s">
        <v>1458</v>
      </c>
      <c r="F15" s="79" t="s">
        <v>178</v>
      </c>
      <c r="G15" s="79" t="s">
        <v>204</v>
      </c>
      <c r="H15" s="110">
        <v>400</v>
      </c>
      <c r="I15" s="131" t="s">
        <v>1953</v>
      </c>
      <c r="J15" s="102" t="s">
        <v>1988</v>
      </c>
      <c r="K15" s="129" t="s">
        <v>1459</v>
      </c>
      <c r="L15" s="102" t="s">
        <v>1372</v>
      </c>
      <c r="M15" s="102" t="s">
        <v>16</v>
      </c>
      <c r="N15" s="102" t="s">
        <v>905</v>
      </c>
      <c r="O15" s="77"/>
      <c r="P15" s="77"/>
      <c r="Q15" s="77"/>
      <c r="R15" s="77"/>
    </row>
    <row r="16" spans="1:18" ht="72" x14ac:dyDescent="0.3">
      <c r="A16" s="127">
        <v>15</v>
      </c>
      <c r="B16" s="79" t="s">
        <v>45</v>
      </c>
      <c r="C16" s="79" t="s">
        <v>45</v>
      </c>
      <c r="D16" s="76" t="s">
        <v>1460</v>
      </c>
      <c r="E16" s="79" t="s">
        <v>1461</v>
      </c>
      <c r="F16" s="79" t="s">
        <v>182</v>
      </c>
      <c r="G16" s="79" t="s">
        <v>207</v>
      </c>
      <c r="H16" s="110">
        <v>401</v>
      </c>
      <c r="I16" s="131" t="s">
        <v>1954</v>
      </c>
      <c r="J16" s="102" t="s">
        <v>156</v>
      </c>
      <c r="K16" s="102"/>
      <c r="L16" s="102" t="s">
        <v>1372</v>
      </c>
      <c r="M16" s="129" t="s">
        <v>1977</v>
      </c>
      <c r="N16" s="102" t="s">
        <v>908</v>
      </c>
      <c r="O16" s="77"/>
      <c r="P16" s="77"/>
      <c r="Q16" s="77"/>
      <c r="R16" s="77"/>
    </row>
    <row r="17" spans="1:18" ht="72" x14ac:dyDescent="0.3">
      <c r="A17" s="127">
        <v>16</v>
      </c>
      <c r="B17" s="79" t="s">
        <v>45</v>
      </c>
      <c r="C17" s="79" t="s">
        <v>45</v>
      </c>
      <c r="D17" s="76" t="s">
        <v>1462</v>
      </c>
      <c r="E17" s="79" t="s">
        <v>1463</v>
      </c>
      <c r="F17" s="79" t="s">
        <v>185</v>
      </c>
      <c r="G17" s="79" t="s">
        <v>207</v>
      </c>
      <c r="H17" s="110">
        <v>401</v>
      </c>
      <c r="I17" s="131" t="s">
        <v>1955</v>
      </c>
      <c r="J17" s="102" t="s">
        <v>156</v>
      </c>
      <c r="K17" s="102"/>
      <c r="L17" s="129" t="s">
        <v>1963</v>
      </c>
      <c r="M17" s="102" t="s">
        <v>16</v>
      </c>
      <c r="N17" s="102" t="s">
        <v>911</v>
      </c>
      <c r="O17" s="77"/>
      <c r="P17" s="77"/>
      <c r="Q17" s="77"/>
      <c r="R17" s="77"/>
    </row>
    <row r="18" spans="1:18" ht="72" x14ac:dyDescent="0.3">
      <c r="A18" s="127">
        <v>17</v>
      </c>
      <c r="B18" s="79" t="s">
        <v>45</v>
      </c>
      <c r="C18" s="79" t="s">
        <v>45</v>
      </c>
      <c r="D18" s="76" t="s">
        <v>1464</v>
      </c>
      <c r="E18" s="79" t="s">
        <v>1465</v>
      </c>
      <c r="F18" s="79" t="s">
        <v>188</v>
      </c>
      <c r="G18" s="79" t="s">
        <v>207</v>
      </c>
      <c r="H18" s="110">
        <v>401</v>
      </c>
      <c r="I18" s="131" t="s">
        <v>1956</v>
      </c>
      <c r="J18" s="102" t="s">
        <v>156</v>
      </c>
      <c r="K18" s="102"/>
      <c r="L18" s="102" t="s">
        <v>1372</v>
      </c>
      <c r="M18" s="129" t="s">
        <v>914</v>
      </c>
      <c r="N18" s="102" t="s">
        <v>911</v>
      </c>
      <c r="O18" s="77"/>
      <c r="P18" s="77"/>
      <c r="Q18" s="77"/>
      <c r="R18" s="77"/>
    </row>
    <row r="19" spans="1:18" ht="72" x14ac:dyDescent="0.3">
      <c r="A19" s="127">
        <v>18</v>
      </c>
      <c r="B19" s="79" t="s">
        <v>45</v>
      </c>
      <c r="C19" s="79" t="s">
        <v>45</v>
      </c>
      <c r="D19" s="76" t="s">
        <v>1466</v>
      </c>
      <c r="E19" s="79" t="s">
        <v>1467</v>
      </c>
      <c r="F19" s="79" t="s">
        <v>193</v>
      </c>
      <c r="G19" s="79" t="s">
        <v>207</v>
      </c>
      <c r="H19" s="110">
        <v>401</v>
      </c>
      <c r="I19" s="131" t="s">
        <v>1973</v>
      </c>
      <c r="J19" s="102" t="s">
        <v>156</v>
      </c>
      <c r="K19" s="102"/>
      <c r="L19" s="129" t="s">
        <v>917</v>
      </c>
      <c r="M19" s="102" t="s">
        <v>16</v>
      </c>
      <c r="N19" s="102" t="s">
        <v>918</v>
      </c>
      <c r="O19" s="77"/>
      <c r="P19" s="77"/>
      <c r="Q19" s="77"/>
      <c r="R19" s="77"/>
    </row>
    <row r="20" spans="1:18" ht="72" x14ac:dyDescent="0.3">
      <c r="A20" s="127">
        <v>19</v>
      </c>
      <c r="B20" s="79" t="s">
        <v>45</v>
      </c>
      <c r="C20" s="79" t="s">
        <v>45</v>
      </c>
      <c r="D20" s="76" t="s">
        <v>1468</v>
      </c>
      <c r="E20" s="79" t="s">
        <v>1469</v>
      </c>
      <c r="F20" s="79" t="s">
        <v>216</v>
      </c>
      <c r="G20" s="79" t="s">
        <v>941</v>
      </c>
      <c r="H20" s="110">
        <v>403</v>
      </c>
      <c r="I20" s="131" t="s">
        <v>1956</v>
      </c>
      <c r="J20" s="102" t="s">
        <v>156</v>
      </c>
      <c r="K20" s="102"/>
      <c r="L20" s="102" t="s">
        <v>1372</v>
      </c>
      <c r="M20" s="129" t="s">
        <v>1452</v>
      </c>
      <c r="N20" s="102" t="s">
        <v>922</v>
      </c>
      <c r="O20" s="77"/>
      <c r="P20" s="77"/>
      <c r="Q20" s="77"/>
      <c r="R20" s="77"/>
    </row>
    <row r="21" spans="1:18" x14ac:dyDescent="0.3">
      <c r="A21" s="135"/>
      <c r="B21" s="80"/>
      <c r="C21" s="80"/>
      <c r="E21" s="80"/>
      <c r="F21" s="80"/>
      <c r="G21" s="80"/>
      <c r="H21" s="136"/>
      <c r="I21" s="127"/>
      <c r="K21" s="80"/>
      <c r="L21" s="80"/>
      <c r="M21" s="80"/>
      <c r="N21" s="80"/>
      <c r="O21" s="77"/>
      <c r="P21" s="77"/>
      <c r="Q21" s="77"/>
      <c r="R21" s="77"/>
    </row>
    <row r="22" spans="1:18" x14ac:dyDescent="0.3">
      <c r="A22" s="135"/>
      <c r="B22" s="80"/>
      <c r="C22" s="80"/>
      <c r="E22" s="80"/>
      <c r="F22" s="80"/>
      <c r="G22" s="80"/>
      <c r="H22" s="136"/>
      <c r="I22" s="127"/>
      <c r="K22" s="80"/>
      <c r="L22" s="80"/>
      <c r="M22" s="80"/>
      <c r="N22" s="80"/>
      <c r="O22" s="77"/>
      <c r="P22" s="77"/>
      <c r="Q22" s="77"/>
      <c r="R22" s="77"/>
    </row>
    <row r="23" spans="1:18" x14ac:dyDescent="0.3">
      <c r="A23" s="135"/>
      <c r="B23" s="80"/>
      <c r="C23" s="80"/>
      <c r="E23" s="80"/>
      <c r="F23" s="80"/>
      <c r="G23" s="80"/>
      <c r="H23" s="136"/>
      <c r="I23" s="127"/>
      <c r="K23" s="80"/>
      <c r="L23" s="80"/>
      <c r="M23" s="80"/>
      <c r="N23" s="80"/>
      <c r="O23" s="77"/>
      <c r="P23" s="77"/>
      <c r="Q23" s="77"/>
      <c r="R23" s="77"/>
    </row>
    <row r="24" spans="1:18" x14ac:dyDescent="0.3">
      <c r="A24" s="135"/>
      <c r="B24" s="80"/>
      <c r="C24" s="80"/>
      <c r="E24" s="80"/>
      <c r="F24" s="80"/>
      <c r="G24" s="80"/>
      <c r="H24" s="136"/>
      <c r="I24" s="127"/>
      <c r="K24" s="80"/>
      <c r="L24" s="80"/>
      <c r="M24" s="80"/>
      <c r="N24" s="80"/>
      <c r="O24" s="77"/>
      <c r="P24" s="77"/>
      <c r="Q24" s="77"/>
      <c r="R24" s="77"/>
    </row>
    <row r="25" spans="1:18" x14ac:dyDescent="0.3">
      <c r="A25" s="135"/>
      <c r="B25" s="80"/>
      <c r="C25" s="80"/>
      <c r="E25" s="80"/>
      <c r="F25" s="80"/>
      <c r="G25" s="80"/>
      <c r="H25" s="136"/>
      <c r="I25" s="127"/>
      <c r="K25" s="80"/>
      <c r="L25" s="80"/>
      <c r="M25" s="80"/>
      <c r="N25" s="80"/>
      <c r="O25" s="77"/>
      <c r="P25" s="77"/>
      <c r="Q25" s="77"/>
      <c r="R25" s="77"/>
    </row>
    <row r="26" spans="1:18" x14ac:dyDescent="0.3">
      <c r="A26" s="135"/>
      <c r="B26" s="80"/>
      <c r="C26" s="80"/>
      <c r="E26" s="80"/>
      <c r="F26" s="80"/>
      <c r="G26" s="80"/>
      <c r="H26" s="136"/>
      <c r="I26" s="127"/>
      <c r="K26" s="80"/>
      <c r="L26" s="80"/>
      <c r="M26" s="80"/>
      <c r="N26" s="80"/>
      <c r="O26" s="77"/>
      <c r="P26" s="77"/>
      <c r="Q26" s="77"/>
      <c r="R26" s="77"/>
    </row>
    <row r="27" spans="1:18" x14ac:dyDescent="0.3">
      <c r="I27" s="15"/>
    </row>
    <row r="28" spans="1:18" x14ac:dyDescent="0.3">
      <c r="I28" s="15"/>
    </row>
    <row r="29" spans="1:18" x14ac:dyDescent="0.3">
      <c r="I29" s="15"/>
    </row>
    <row r="30" spans="1:18" x14ac:dyDescent="0.3">
      <c r="I30" s="15"/>
    </row>
    <row r="31" spans="1:18" x14ac:dyDescent="0.3">
      <c r="I31" s="15"/>
    </row>
    <row r="32" spans="1:18" x14ac:dyDescent="0.3">
      <c r="I32" s="15"/>
    </row>
    <row r="33" spans="9:9" x14ac:dyDescent="0.3">
      <c r="I33" s="21"/>
    </row>
    <row r="34" spans="9:9" x14ac:dyDescent="0.3">
      <c r="I34" s="21"/>
    </row>
    <row r="35" spans="9:9" x14ac:dyDescent="0.3">
      <c r="I35" s="21"/>
    </row>
    <row r="36" spans="9:9" x14ac:dyDescent="0.3">
      <c r="I36" s="21"/>
    </row>
    <row r="37" spans="9:9" x14ac:dyDescent="0.3">
      <c r="I37" s="21"/>
    </row>
    <row r="38" spans="9:9" x14ac:dyDescent="0.3">
      <c r="I38" s="21"/>
    </row>
    <row r="39" spans="9:9" x14ac:dyDescent="0.3">
      <c r="I39" s="21"/>
    </row>
    <row r="40" spans="9:9" x14ac:dyDescent="0.3">
      <c r="I40" s="21"/>
    </row>
    <row r="41" spans="9:9" x14ac:dyDescent="0.3">
      <c r="I41" s="21"/>
    </row>
    <row r="42" spans="9:9" x14ac:dyDescent="0.3">
      <c r="I42" s="21"/>
    </row>
    <row r="43" spans="9:9" x14ac:dyDescent="0.3">
      <c r="I43" s="21"/>
    </row>
    <row r="44" spans="9:9" x14ac:dyDescent="0.3">
      <c r="I44" s="21"/>
    </row>
    <row r="45" spans="9:9" x14ac:dyDescent="0.3">
      <c r="I45" s="21"/>
    </row>
    <row r="46" spans="9:9" x14ac:dyDescent="0.3">
      <c r="I46" s="21"/>
    </row>
    <row r="47" spans="9:9" x14ac:dyDescent="0.3">
      <c r="I47" s="21"/>
    </row>
    <row r="48" spans="9:9" x14ac:dyDescent="0.3">
      <c r="I48" s="21"/>
    </row>
    <row r="49" spans="9:9" x14ac:dyDescent="0.3">
      <c r="I49" s="21"/>
    </row>
    <row r="50" spans="9:9" x14ac:dyDescent="0.3">
      <c r="I50" s="21"/>
    </row>
    <row r="51" spans="9:9" x14ac:dyDescent="0.3">
      <c r="I51" s="21"/>
    </row>
    <row r="52" spans="9:9" x14ac:dyDescent="0.3">
      <c r="I52" s="21"/>
    </row>
    <row r="53" spans="9:9" x14ac:dyDescent="0.3">
      <c r="I53" s="21"/>
    </row>
    <row r="54" spans="9:9" x14ac:dyDescent="0.3">
      <c r="I54" s="21"/>
    </row>
    <row r="55" spans="9:9" x14ac:dyDescent="0.3">
      <c r="I55" s="21"/>
    </row>
    <row r="56" spans="9:9" x14ac:dyDescent="0.3">
      <c r="I56" s="21"/>
    </row>
    <row r="57" spans="9:9" x14ac:dyDescent="0.3">
      <c r="I57" s="21"/>
    </row>
    <row r="58" spans="9:9" x14ac:dyDescent="0.3">
      <c r="I58" s="21"/>
    </row>
    <row r="59" spans="9:9" x14ac:dyDescent="0.3">
      <c r="I59" s="21"/>
    </row>
    <row r="60" spans="9:9" x14ac:dyDescent="0.3">
      <c r="I60" s="21"/>
    </row>
    <row r="61" spans="9:9" x14ac:dyDescent="0.3">
      <c r="I61" s="21"/>
    </row>
    <row r="62" spans="9:9" x14ac:dyDescent="0.3">
      <c r="I62" s="21"/>
    </row>
    <row r="63" spans="9:9" x14ac:dyDescent="0.3">
      <c r="I63" s="21"/>
    </row>
    <row r="64" spans="9:9" x14ac:dyDescent="0.3">
      <c r="I64" s="21"/>
    </row>
    <row r="65" spans="9:9" x14ac:dyDescent="0.3">
      <c r="I65" s="21"/>
    </row>
    <row r="66" spans="9:9" x14ac:dyDescent="0.3">
      <c r="I66" s="21"/>
    </row>
    <row r="67" spans="9:9" x14ac:dyDescent="0.3">
      <c r="I67" s="21"/>
    </row>
    <row r="68" spans="9:9" x14ac:dyDescent="0.3">
      <c r="I68" s="21"/>
    </row>
    <row r="69" spans="9:9" x14ac:dyDescent="0.3">
      <c r="I69" s="21"/>
    </row>
    <row r="70" spans="9:9" x14ac:dyDescent="0.3">
      <c r="I70" s="21"/>
    </row>
    <row r="71" spans="9:9" x14ac:dyDescent="0.3">
      <c r="I71" s="21"/>
    </row>
    <row r="72" spans="9:9" x14ac:dyDescent="0.3">
      <c r="I72" s="21"/>
    </row>
    <row r="73" spans="9:9" x14ac:dyDescent="0.3">
      <c r="I73" s="15"/>
    </row>
    <row r="74" spans="9:9" x14ac:dyDescent="0.3">
      <c r="I74" s="21"/>
    </row>
    <row r="75" spans="9:9" x14ac:dyDescent="0.3">
      <c r="I75" s="21"/>
    </row>
    <row r="76" spans="9:9" x14ac:dyDescent="0.3">
      <c r="I76" s="21"/>
    </row>
    <row r="77" spans="9:9" x14ac:dyDescent="0.3">
      <c r="I77" s="21"/>
    </row>
    <row r="78" spans="9:9" x14ac:dyDescent="0.3">
      <c r="I78" s="21"/>
    </row>
    <row r="79" spans="9:9" x14ac:dyDescent="0.3">
      <c r="I79" s="21"/>
    </row>
    <row r="80" spans="9:9"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15"/>
    </row>
    <row r="95" spans="9:9" x14ac:dyDescent="0.3">
      <c r="I95" s="21"/>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15"/>
    </row>
    <row r="114" spans="9:9" x14ac:dyDescent="0.3">
      <c r="I114"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outlinePr summaryBelow="0"/>
  </sheetPr>
  <dimension ref="A1:U114"/>
  <sheetViews>
    <sheetView zoomScale="55" zoomScaleNormal="55" workbookViewId="0">
      <pane ySplit="1" topLeftCell="A56" activePane="bottomLeft" state="frozen"/>
      <selection activeCell="Q5" sqref="Q5"/>
      <selection pane="bottomLeft" activeCell="E57" sqref="E57"/>
    </sheetView>
  </sheetViews>
  <sheetFormatPr defaultRowHeight="14.4" x14ac:dyDescent="0.3"/>
  <cols>
    <col min="1" max="1" width="9.88671875" style="27" bestFit="1" customWidth="1"/>
    <col min="2" max="2" width="20.6640625" style="28" bestFit="1" customWidth="1"/>
    <col min="3" max="3" width="9.109375" style="28" bestFit="1" customWidth="1"/>
    <col min="4" max="4" width="32.109375" style="77" bestFit="1" customWidth="1"/>
    <col min="5" max="5" width="84" style="84" customWidth="1"/>
    <col min="6" max="6" width="35.109375" style="28" bestFit="1" customWidth="1"/>
    <col min="7" max="7" width="54.5546875" style="84" bestFit="1" customWidth="1"/>
    <col min="8" max="8" width="15.33203125" style="29" bestFit="1" customWidth="1"/>
    <col min="9" max="9" width="19.88671875" style="27" customWidth="1"/>
    <col min="10" max="10" width="28.6640625" style="80" bestFit="1" customWidth="1"/>
    <col min="11" max="12" width="10.44140625" style="28" bestFit="1" customWidth="1"/>
    <col min="13" max="13" width="11.44140625" style="28" bestFit="1" customWidth="1"/>
    <col min="14" max="14" width="14" style="28" bestFit="1" customWidth="1"/>
    <col min="15" max="17" width="11.44140625" style="28" bestFit="1" customWidth="1"/>
    <col min="18" max="21" width="8.88671875" style="20" bestFit="1" customWidth="1"/>
  </cols>
  <sheetData>
    <row r="1" spans="1:21" ht="43.2" x14ac:dyDescent="0.3">
      <c r="A1" s="1" t="s">
        <v>24</v>
      </c>
      <c r="B1" s="2" t="s">
        <v>25</v>
      </c>
      <c r="C1" s="2" t="s">
        <v>26</v>
      </c>
      <c r="D1" s="75" t="s">
        <v>27</v>
      </c>
      <c r="E1" s="78" t="s">
        <v>28</v>
      </c>
      <c r="F1" s="2" t="s">
        <v>29</v>
      </c>
      <c r="G1" s="78" t="s">
        <v>30</v>
      </c>
      <c r="H1" s="32" t="s">
        <v>31</v>
      </c>
      <c r="I1" s="3" t="s">
        <v>1947</v>
      </c>
      <c r="J1" s="88" t="s">
        <v>32</v>
      </c>
      <c r="K1" s="33" t="s">
        <v>218</v>
      </c>
      <c r="L1" s="33" t="s">
        <v>219</v>
      </c>
      <c r="M1" s="33" t="s">
        <v>220</v>
      </c>
      <c r="N1" s="5" t="s">
        <v>36</v>
      </c>
      <c r="O1" s="5" t="s">
        <v>37</v>
      </c>
      <c r="P1" s="5" t="s">
        <v>38</v>
      </c>
      <c r="Q1" s="5" t="s">
        <v>151</v>
      </c>
      <c r="R1" s="11" t="s">
        <v>41</v>
      </c>
      <c r="S1" s="11" t="s">
        <v>42</v>
      </c>
      <c r="T1" s="11" t="s">
        <v>43</v>
      </c>
      <c r="U1" s="11" t="s">
        <v>44</v>
      </c>
    </row>
    <row r="2" spans="1:21" ht="158.4" x14ac:dyDescent="0.3">
      <c r="A2" s="127">
        <v>1</v>
      </c>
      <c r="B2" s="79" t="str">
        <f>C2</f>
        <v>N</v>
      </c>
      <c r="C2" s="79" t="s">
        <v>113</v>
      </c>
      <c r="D2" s="76" t="s">
        <v>1470</v>
      </c>
      <c r="E2" s="79" t="s">
        <v>1471</v>
      </c>
      <c r="F2" s="79" t="s">
        <v>250</v>
      </c>
      <c r="G2" s="79" t="s">
        <v>1472</v>
      </c>
      <c r="H2" s="110">
        <v>200</v>
      </c>
      <c r="I2" s="131"/>
      <c r="J2" s="79" t="s">
        <v>225</v>
      </c>
      <c r="K2" s="79"/>
      <c r="L2" s="79"/>
      <c r="M2" s="79"/>
      <c r="N2" s="79" t="s">
        <v>1372</v>
      </c>
      <c r="O2" s="79" t="s">
        <v>16</v>
      </c>
      <c r="P2" s="79" t="s">
        <v>51</v>
      </c>
      <c r="Q2" s="79" t="s">
        <v>1473</v>
      </c>
      <c r="R2" s="134"/>
      <c r="S2" s="19"/>
      <c r="T2" s="19"/>
      <c r="U2" s="19"/>
    </row>
    <row r="3" spans="1:21" ht="158.4" x14ac:dyDescent="0.3">
      <c r="A3" s="127">
        <v>2</v>
      </c>
      <c r="B3" s="79" t="str">
        <f t="shared" ref="B3:B57" si="0">C3</f>
        <v>N</v>
      </c>
      <c r="C3" s="79" t="s">
        <v>113</v>
      </c>
      <c r="D3" s="76" t="s">
        <v>1474</v>
      </c>
      <c r="E3" s="79" t="s">
        <v>1475</v>
      </c>
      <c r="F3" s="79" t="s">
        <v>372</v>
      </c>
      <c r="G3" s="79" t="s">
        <v>1476</v>
      </c>
      <c r="H3" s="110">
        <v>403</v>
      </c>
      <c r="I3" s="131"/>
      <c r="J3" s="79" t="s">
        <v>225</v>
      </c>
      <c r="K3" s="79"/>
      <c r="L3" s="79"/>
      <c r="M3" s="79"/>
      <c r="N3" s="79" t="s">
        <v>1372</v>
      </c>
      <c r="O3" s="79" t="s">
        <v>16</v>
      </c>
      <c r="P3" s="79" t="s">
        <v>51</v>
      </c>
      <c r="Q3" s="79" t="s">
        <v>1473</v>
      </c>
      <c r="R3" s="134"/>
      <c r="S3" s="19"/>
      <c r="T3" s="19"/>
      <c r="U3" s="19"/>
    </row>
    <row r="4" spans="1:21" ht="72" x14ac:dyDescent="0.3">
      <c r="A4" s="127">
        <v>3</v>
      </c>
      <c r="B4" s="79" t="str">
        <f t="shared" si="0"/>
        <v>N</v>
      </c>
      <c r="C4" s="79" t="s">
        <v>113</v>
      </c>
      <c r="D4" s="76" t="s">
        <v>1477</v>
      </c>
      <c r="E4" s="79" t="s">
        <v>1478</v>
      </c>
      <c r="F4" s="79" t="s">
        <v>255</v>
      </c>
      <c r="G4" s="79" t="s">
        <v>318</v>
      </c>
      <c r="H4" s="110">
        <v>401</v>
      </c>
      <c r="I4" s="131"/>
      <c r="J4" s="79" t="s">
        <v>225</v>
      </c>
      <c r="K4" s="79"/>
      <c r="L4" s="79"/>
      <c r="M4" s="79"/>
      <c r="N4" s="79" t="s">
        <v>1372</v>
      </c>
      <c r="O4" s="79" t="s">
        <v>16</v>
      </c>
      <c r="P4" s="79" t="s">
        <v>51</v>
      </c>
      <c r="Q4" s="79" t="s">
        <v>1473</v>
      </c>
      <c r="R4" s="134"/>
      <c r="S4" s="19"/>
      <c r="T4" s="19"/>
      <c r="U4" s="19"/>
    </row>
    <row r="5" spans="1:21" ht="72" x14ac:dyDescent="0.3">
      <c r="A5" s="127">
        <v>4</v>
      </c>
      <c r="B5" s="79" t="str">
        <f t="shared" si="0"/>
        <v>N</v>
      </c>
      <c r="C5" s="79" t="s">
        <v>113</v>
      </c>
      <c r="D5" s="76" t="s">
        <v>1479</v>
      </c>
      <c r="E5" s="79" t="s">
        <v>1480</v>
      </c>
      <c r="F5" s="79" t="s">
        <v>432</v>
      </c>
      <c r="G5" s="79" t="s">
        <v>447</v>
      </c>
      <c r="H5" s="110">
        <v>403</v>
      </c>
      <c r="I5" s="131"/>
      <c r="J5" s="79" t="s">
        <v>225</v>
      </c>
      <c r="K5" s="79"/>
      <c r="L5" s="79"/>
      <c r="M5" s="79"/>
      <c r="N5" s="79" t="s">
        <v>1372</v>
      </c>
      <c r="O5" s="79" t="s">
        <v>16</v>
      </c>
      <c r="P5" s="79" t="s">
        <v>51</v>
      </c>
      <c r="Q5" s="79" t="s">
        <v>1473</v>
      </c>
      <c r="R5" s="134"/>
      <c r="S5" s="19"/>
      <c r="T5" s="19"/>
      <c r="U5" s="19"/>
    </row>
    <row r="6" spans="1:21" ht="72" x14ac:dyDescent="0.3">
      <c r="A6" s="127">
        <v>5</v>
      </c>
      <c r="B6" s="79" t="str">
        <f t="shared" si="0"/>
        <v>N</v>
      </c>
      <c r="C6" s="79" t="s">
        <v>113</v>
      </c>
      <c r="D6" s="76" t="s">
        <v>1481</v>
      </c>
      <c r="E6" s="79" t="s">
        <v>1482</v>
      </c>
      <c r="F6" s="79" t="s">
        <v>260</v>
      </c>
      <c r="G6" s="79" t="s">
        <v>1483</v>
      </c>
      <c r="H6" s="110">
        <v>200</v>
      </c>
      <c r="I6" s="131"/>
      <c r="J6" s="79" t="s">
        <v>225</v>
      </c>
      <c r="K6" s="79"/>
      <c r="L6" s="79"/>
      <c r="M6" s="79"/>
      <c r="N6" s="79" t="s">
        <v>1372</v>
      </c>
      <c r="O6" s="79" t="s">
        <v>16</v>
      </c>
      <c r="P6" s="79" t="s">
        <v>51</v>
      </c>
      <c r="Q6" s="79" t="s">
        <v>1473</v>
      </c>
      <c r="R6" s="134"/>
      <c r="S6" s="19"/>
      <c r="T6" s="19"/>
      <c r="U6" s="19"/>
    </row>
    <row r="7" spans="1:21" ht="172.8" x14ac:dyDescent="0.3">
      <c r="A7" s="127">
        <v>6</v>
      </c>
      <c r="B7" s="79" t="str">
        <f t="shared" si="0"/>
        <v>N</v>
      </c>
      <c r="C7" s="79" t="s">
        <v>113</v>
      </c>
      <c r="D7" s="76" t="s">
        <v>1484</v>
      </c>
      <c r="E7" s="79" t="s">
        <v>1485</v>
      </c>
      <c r="F7" s="79" t="s">
        <v>266</v>
      </c>
      <c r="G7" s="79" t="s">
        <v>1486</v>
      </c>
      <c r="H7" s="110">
        <v>200</v>
      </c>
      <c r="I7" s="131"/>
      <c r="J7" s="79" t="s">
        <v>225</v>
      </c>
      <c r="K7" s="79"/>
      <c r="L7" s="79"/>
      <c r="M7" s="79"/>
      <c r="N7" s="79" t="s">
        <v>1372</v>
      </c>
      <c r="O7" s="79" t="s">
        <v>16</v>
      </c>
      <c r="P7" s="79" t="s">
        <v>51</v>
      </c>
      <c r="Q7" s="79" t="s">
        <v>1473</v>
      </c>
      <c r="R7" s="134"/>
      <c r="S7" s="19"/>
      <c r="T7" s="19"/>
      <c r="U7" s="19"/>
    </row>
    <row r="8" spans="1:21" ht="72" x14ac:dyDescent="0.3">
      <c r="A8" s="127">
        <v>7</v>
      </c>
      <c r="B8" s="79" t="str">
        <f t="shared" si="0"/>
        <v>N</v>
      </c>
      <c r="C8" s="79" t="s">
        <v>113</v>
      </c>
      <c r="D8" s="76" t="s">
        <v>1487</v>
      </c>
      <c r="E8" s="79" t="s">
        <v>1488</v>
      </c>
      <c r="F8" s="79" t="s">
        <v>1489</v>
      </c>
      <c r="G8" s="79" t="s">
        <v>332</v>
      </c>
      <c r="H8" s="110" t="s">
        <v>942</v>
      </c>
      <c r="I8" s="131"/>
      <c r="J8" s="79" t="s">
        <v>225</v>
      </c>
      <c r="K8" s="79"/>
      <c r="L8" s="79"/>
      <c r="M8" s="79"/>
      <c r="N8" s="79" t="s">
        <v>1372</v>
      </c>
      <c r="O8" s="79" t="s">
        <v>16</v>
      </c>
      <c r="P8" s="79" t="s">
        <v>51</v>
      </c>
      <c r="Q8" s="79" t="s">
        <v>1473</v>
      </c>
      <c r="R8" s="134"/>
      <c r="S8" s="19"/>
      <c r="T8" s="19"/>
      <c r="U8" s="19"/>
    </row>
    <row r="9" spans="1:21" ht="72" x14ac:dyDescent="0.3">
      <c r="A9" s="127">
        <v>8</v>
      </c>
      <c r="B9" s="79" t="str">
        <f t="shared" si="0"/>
        <v>N</v>
      </c>
      <c r="C9" s="79" t="s">
        <v>113</v>
      </c>
      <c r="D9" s="76" t="s">
        <v>1490</v>
      </c>
      <c r="E9" s="79" t="s">
        <v>1491</v>
      </c>
      <c r="F9" s="79" t="s">
        <v>276</v>
      </c>
      <c r="G9" s="79" t="s">
        <v>332</v>
      </c>
      <c r="H9" s="110" t="s">
        <v>942</v>
      </c>
      <c r="I9" s="131"/>
      <c r="J9" s="79" t="s">
        <v>225</v>
      </c>
      <c r="K9" s="79"/>
      <c r="L9" s="79"/>
      <c r="M9" s="79"/>
      <c r="N9" s="79" t="s">
        <v>1372</v>
      </c>
      <c r="O9" s="79" t="s">
        <v>16</v>
      </c>
      <c r="P9" s="79" t="s">
        <v>51</v>
      </c>
      <c r="Q9" s="79" t="s">
        <v>1473</v>
      </c>
      <c r="R9" s="134"/>
      <c r="S9" s="19"/>
      <c r="T9" s="19"/>
      <c r="U9" s="19"/>
    </row>
    <row r="10" spans="1:21" ht="72" x14ac:dyDescent="0.3">
      <c r="A10" s="127">
        <v>9</v>
      </c>
      <c r="B10" s="79" t="str">
        <f t="shared" si="0"/>
        <v>N</v>
      </c>
      <c r="C10" s="79" t="s">
        <v>113</v>
      </c>
      <c r="D10" s="76" t="s">
        <v>1492</v>
      </c>
      <c r="E10" s="79" t="s">
        <v>1493</v>
      </c>
      <c r="F10" s="79" t="s">
        <v>437</v>
      </c>
      <c r="G10" s="79" t="s">
        <v>438</v>
      </c>
      <c r="H10" s="110">
        <v>403</v>
      </c>
      <c r="I10" s="131"/>
      <c r="J10" s="79" t="s">
        <v>225</v>
      </c>
      <c r="K10" s="79"/>
      <c r="L10" s="79"/>
      <c r="M10" s="79"/>
      <c r="N10" s="79" t="s">
        <v>1372</v>
      </c>
      <c r="O10" s="79" t="s">
        <v>16</v>
      </c>
      <c r="P10" s="79" t="s">
        <v>51</v>
      </c>
      <c r="Q10" s="79" t="s">
        <v>1473</v>
      </c>
      <c r="R10" s="134"/>
      <c r="S10" s="19"/>
      <c r="T10" s="19"/>
      <c r="U10" s="19"/>
    </row>
    <row r="11" spans="1:21" ht="158.4" x14ac:dyDescent="0.3">
      <c r="A11" s="127">
        <v>10</v>
      </c>
      <c r="B11" s="79" t="str">
        <f t="shared" si="0"/>
        <v>N</v>
      </c>
      <c r="C11" s="79" t="s">
        <v>113</v>
      </c>
      <c r="D11" s="76" t="s">
        <v>1494</v>
      </c>
      <c r="E11" s="79" t="s">
        <v>1495</v>
      </c>
      <c r="F11" s="79" t="s">
        <v>279</v>
      </c>
      <c r="G11" s="79" t="s">
        <v>1472</v>
      </c>
      <c r="H11" s="110">
        <v>200</v>
      </c>
      <c r="I11" s="131"/>
      <c r="J11" s="79" t="s">
        <v>225</v>
      </c>
      <c r="K11" s="79"/>
      <c r="L11" s="79"/>
      <c r="M11" s="79"/>
      <c r="N11" s="79" t="s">
        <v>1372</v>
      </c>
      <c r="O11" s="79" t="s">
        <v>16</v>
      </c>
      <c r="P11" s="79" t="s">
        <v>51</v>
      </c>
      <c r="Q11" s="79" t="s">
        <v>1473</v>
      </c>
      <c r="R11" s="134"/>
      <c r="S11" s="19"/>
      <c r="T11" s="19"/>
      <c r="U11" s="19"/>
    </row>
    <row r="12" spans="1:21" ht="72" x14ac:dyDescent="0.3">
      <c r="A12" s="127">
        <v>11</v>
      </c>
      <c r="B12" s="79" t="str">
        <f t="shared" si="0"/>
        <v>N</v>
      </c>
      <c r="C12" s="79" t="s">
        <v>113</v>
      </c>
      <c r="D12" s="76" t="s">
        <v>1496</v>
      </c>
      <c r="E12" s="79" t="s">
        <v>1497</v>
      </c>
      <c r="F12" s="79" t="s">
        <v>283</v>
      </c>
      <c r="G12" s="79" t="s">
        <v>346</v>
      </c>
      <c r="H12" s="110">
        <v>400</v>
      </c>
      <c r="I12" s="131"/>
      <c r="J12" s="79" t="s">
        <v>225</v>
      </c>
      <c r="K12" s="79"/>
      <c r="L12" s="79"/>
      <c r="M12" s="79"/>
      <c r="N12" s="79" t="s">
        <v>1372</v>
      </c>
      <c r="O12" s="79" t="s">
        <v>16</v>
      </c>
      <c r="P12" s="79" t="s">
        <v>51</v>
      </c>
      <c r="Q12" s="79" t="s">
        <v>1473</v>
      </c>
      <c r="R12" s="134"/>
      <c r="S12" s="19"/>
      <c r="T12" s="19"/>
      <c r="U12" s="19"/>
    </row>
    <row r="13" spans="1:21" ht="72" x14ac:dyDescent="0.3">
      <c r="A13" s="127">
        <v>12</v>
      </c>
      <c r="B13" s="79" t="str">
        <f t="shared" si="0"/>
        <v>N</v>
      </c>
      <c r="C13" s="79" t="s">
        <v>113</v>
      </c>
      <c r="D13" s="76" t="s">
        <v>1498</v>
      </c>
      <c r="E13" s="79" t="s">
        <v>1499</v>
      </c>
      <c r="F13" s="79" t="s">
        <v>287</v>
      </c>
      <c r="G13" s="79" t="s">
        <v>1500</v>
      </c>
      <c r="H13" s="110">
        <v>400</v>
      </c>
      <c r="I13" s="131"/>
      <c r="J13" s="79" t="s">
        <v>225</v>
      </c>
      <c r="K13" s="79"/>
      <c r="L13" s="79"/>
      <c r="M13" s="79"/>
      <c r="N13" s="79" t="s">
        <v>1372</v>
      </c>
      <c r="O13" s="79" t="s">
        <v>16</v>
      </c>
      <c r="P13" s="79" t="s">
        <v>51</v>
      </c>
      <c r="Q13" s="79" t="s">
        <v>1473</v>
      </c>
      <c r="R13" s="134"/>
      <c r="S13" s="19"/>
      <c r="T13" s="19"/>
      <c r="U13" s="19"/>
    </row>
    <row r="14" spans="1:21" ht="158.4" x14ac:dyDescent="0.3">
      <c r="A14" s="127">
        <v>13</v>
      </c>
      <c r="B14" s="79" t="str">
        <f t="shared" si="0"/>
        <v>N</v>
      </c>
      <c r="C14" s="79" t="s">
        <v>113</v>
      </c>
      <c r="D14" s="76" t="s">
        <v>1501</v>
      </c>
      <c r="E14" s="79" t="s">
        <v>1502</v>
      </c>
      <c r="F14" s="79" t="s">
        <v>1503</v>
      </c>
      <c r="G14" s="79" t="s">
        <v>1472</v>
      </c>
      <c r="H14" s="110">
        <v>200</v>
      </c>
      <c r="I14" s="127"/>
      <c r="J14" s="79" t="s">
        <v>225</v>
      </c>
      <c r="K14" s="79"/>
      <c r="L14" s="79"/>
      <c r="M14" s="79"/>
      <c r="N14" s="79" t="s">
        <v>1372</v>
      </c>
      <c r="O14" s="79" t="s">
        <v>16</v>
      </c>
      <c r="P14" s="79" t="s">
        <v>51</v>
      </c>
      <c r="Q14" s="79" t="s">
        <v>1473</v>
      </c>
      <c r="R14" s="134"/>
      <c r="S14" s="19"/>
      <c r="T14" s="19"/>
      <c r="U14" s="19"/>
    </row>
    <row r="15" spans="1:21" ht="72" x14ac:dyDescent="0.3">
      <c r="A15" s="127">
        <v>14</v>
      </c>
      <c r="B15" s="79" t="str">
        <f t="shared" si="0"/>
        <v>N</v>
      </c>
      <c r="C15" s="79" t="s">
        <v>113</v>
      </c>
      <c r="D15" s="76" t="s">
        <v>1504</v>
      </c>
      <c r="E15" s="79" t="s">
        <v>1505</v>
      </c>
      <c r="F15" s="79" t="s">
        <v>294</v>
      </c>
      <c r="G15" s="79" t="s">
        <v>359</v>
      </c>
      <c r="H15" s="110">
        <v>400</v>
      </c>
      <c r="I15" s="127"/>
      <c r="J15" s="79" t="s">
        <v>225</v>
      </c>
      <c r="K15" s="79"/>
      <c r="L15" s="79"/>
      <c r="M15" s="79"/>
      <c r="N15" s="79" t="s">
        <v>1372</v>
      </c>
      <c r="O15" s="79" t="s">
        <v>16</v>
      </c>
      <c r="P15" s="79" t="s">
        <v>51</v>
      </c>
      <c r="Q15" s="79" t="s">
        <v>1473</v>
      </c>
      <c r="R15" s="134"/>
      <c r="S15" s="19"/>
      <c r="T15" s="19"/>
      <c r="U15" s="19"/>
    </row>
    <row r="16" spans="1:21" ht="86.4" x14ac:dyDescent="0.3">
      <c r="A16" s="127">
        <v>15</v>
      </c>
      <c r="B16" s="79" t="str">
        <f t="shared" si="0"/>
        <v>N</v>
      </c>
      <c r="C16" s="79" t="s">
        <v>113</v>
      </c>
      <c r="D16" s="76" t="s">
        <v>1506</v>
      </c>
      <c r="E16" s="79" t="s">
        <v>1507</v>
      </c>
      <c r="F16" s="79" t="s">
        <v>223</v>
      </c>
      <c r="G16" s="79" t="s">
        <v>234</v>
      </c>
      <c r="H16" s="110">
        <v>400</v>
      </c>
      <c r="I16" s="127"/>
      <c r="J16" s="79" t="s">
        <v>225</v>
      </c>
      <c r="K16" s="79"/>
      <c r="L16" s="79"/>
      <c r="M16" s="79"/>
      <c r="N16" s="79" t="s">
        <v>1372</v>
      </c>
      <c r="O16" s="79" t="s">
        <v>16</v>
      </c>
      <c r="P16" s="79" t="s">
        <v>51</v>
      </c>
      <c r="Q16" s="79" t="s">
        <v>1473</v>
      </c>
      <c r="R16" s="134"/>
      <c r="S16" s="19"/>
      <c r="T16" s="19"/>
      <c r="U16" s="19"/>
    </row>
    <row r="17" spans="1:21" ht="86.4" x14ac:dyDescent="0.3">
      <c r="A17" s="127">
        <v>16</v>
      </c>
      <c r="B17" s="79" t="str">
        <f t="shared" si="0"/>
        <v>N</v>
      </c>
      <c r="C17" s="79" t="s">
        <v>113</v>
      </c>
      <c r="D17" s="76" t="s">
        <v>1508</v>
      </c>
      <c r="E17" s="79" t="s">
        <v>1509</v>
      </c>
      <c r="F17" s="79" t="s">
        <v>229</v>
      </c>
      <c r="G17" s="79" t="s">
        <v>234</v>
      </c>
      <c r="H17" s="110">
        <v>400</v>
      </c>
      <c r="I17" s="127"/>
      <c r="J17" s="79" t="s">
        <v>225</v>
      </c>
      <c r="K17" s="79"/>
      <c r="L17" s="79"/>
      <c r="M17" s="79"/>
      <c r="N17" s="79" t="s">
        <v>1372</v>
      </c>
      <c r="O17" s="79" t="s">
        <v>16</v>
      </c>
      <c r="P17" s="79" t="s">
        <v>51</v>
      </c>
      <c r="Q17" s="79" t="s">
        <v>1473</v>
      </c>
      <c r="R17" s="134"/>
      <c r="S17" s="19"/>
      <c r="T17" s="19"/>
      <c r="U17" s="19"/>
    </row>
    <row r="18" spans="1:21" ht="72" x14ac:dyDescent="0.3">
      <c r="A18" s="127">
        <v>17</v>
      </c>
      <c r="B18" s="79" t="str">
        <f t="shared" si="0"/>
        <v>N</v>
      </c>
      <c r="C18" s="79" t="s">
        <v>113</v>
      </c>
      <c r="D18" s="76" t="s">
        <v>1510</v>
      </c>
      <c r="E18" s="79" t="s">
        <v>1511</v>
      </c>
      <c r="F18" s="79" t="s">
        <v>299</v>
      </c>
      <c r="G18" s="79" t="s">
        <v>366</v>
      </c>
      <c r="H18" s="110">
        <v>400</v>
      </c>
      <c r="I18" s="127"/>
      <c r="J18" s="79" t="s">
        <v>225</v>
      </c>
      <c r="K18" s="79"/>
      <c r="L18" s="79"/>
      <c r="M18" s="79"/>
      <c r="N18" s="79" t="s">
        <v>1372</v>
      </c>
      <c r="O18" s="79" t="s">
        <v>16</v>
      </c>
      <c r="P18" s="79" t="s">
        <v>51</v>
      </c>
      <c r="Q18" s="79" t="s">
        <v>1473</v>
      </c>
      <c r="R18" s="134"/>
      <c r="S18" s="19"/>
      <c r="T18" s="19"/>
      <c r="U18" s="19"/>
    </row>
    <row r="19" spans="1:21" ht="158.4" x14ac:dyDescent="0.3">
      <c r="A19" s="127">
        <v>18</v>
      </c>
      <c r="B19" s="79" t="str">
        <f t="shared" si="0"/>
        <v>N</v>
      </c>
      <c r="C19" s="79" t="s">
        <v>113</v>
      </c>
      <c r="D19" s="76" t="s">
        <v>1512</v>
      </c>
      <c r="E19" s="79" t="s">
        <v>1513</v>
      </c>
      <c r="F19" s="79" t="s">
        <v>390</v>
      </c>
      <c r="G19" s="79" t="s">
        <v>391</v>
      </c>
      <c r="H19" s="110">
        <v>200</v>
      </c>
      <c r="I19" s="127"/>
      <c r="J19" s="79" t="s">
        <v>225</v>
      </c>
      <c r="K19" s="79"/>
      <c r="L19" s="79"/>
      <c r="M19" s="79"/>
      <c r="N19" s="79" t="s">
        <v>1372</v>
      </c>
      <c r="O19" s="79" t="s">
        <v>16</v>
      </c>
      <c r="P19" s="79" t="s">
        <v>51</v>
      </c>
      <c r="Q19" s="79" t="s">
        <v>1473</v>
      </c>
      <c r="R19" s="134"/>
      <c r="S19" s="19"/>
      <c r="T19" s="19"/>
      <c r="U19" s="19"/>
    </row>
    <row r="20" spans="1:21" ht="72" x14ac:dyDescent="0.3">
      <c r="A20" s="127">
        <v>19</v>
      </c>
      <c r="B20" s="79" t="str">
        <f t="shared" si="0"/>
        <v>N</v>
      </c>
      <c r="C20" s="79" t="s">
        <v>113</v>
      </c>
      <c r="D20" s="76" t="s">
        <v>1514</v>
      </c>
      <c r="E20" s="79" t="s">
        <v>1515</v>
      </c>
      <c r="F20" s="79" t="s">
        <v>442</v>
      </c>
      <c r="G20" s="79" t="s">
        <v>443</v>
      </c>
      <c r="H20" s="110">
        <v>403</v>
      </c>
      <c r="I20" s="127"/>
      <c r="J20" s="79" t="s">
        <v>225</v>
      </c>
      <c r="K20" s="79"/>
      <c r="L20" s="79"/>
      <c r="M20" s="79"/>
      <c r="N20" s="79" t="s">
        <v>1372</v>
      </c>
      <c r="O20" s="79" t="s">
        <v>16</v>
      </c>
      <c r="P20" s="79" t="s">
        <v>51</v>
      </c>
      <c r="Q20" s="79" t="s">
        <v>1473</v>
      </c>
      <c r="R20" s="134"/>
      <c r="S20" s="19"/>
      <c r="T20" s="19"/>
      <c r="U20" s="19"/>
    </row>
    <row r="21" spans="1:21" ht="172.8" x14ac:dyDescent="0.3">
      <c r="A21" s="127">
        <v>20</v>
      </c>
      <c r="B21" s="79" t="str">
        <f t="shared" si="0"/>
        <v>N</v>
      </c>
      <c r="C21" s="79" t="s">
        <v>113</v>
      </c>
      <c r="D21" s="76" t="s">
        <v>1516</v>
      </c>
      <c r="E21" s="79" t="s">
        <v>1517</v>
      </c>
      <c r="F21" s="79" t="s">
        <v>303</v>
      </c>
      <c r="G21" s="79" t="s">
        <v>946</v>
      </c>
      <c r="H21" s="110">
        <v>200</v>
      </c>
      <c r="I21" s="127"/>
      <c r="J21" s="79" t="s">
        <v>225</v>
      </c>
      <c r="K21" s="79"/>
      <c r="L21" s="79"/>
      <c r="M21" s="79"/>
      <c r="N21" s="79" t="s">
        <v>1372</v>
      </c>
      <c r="O21" s="79" t="s">
        <v>16</v>
      </c>
      <c r="P21" s="79" t="s">
        <v>51</v>
      </c>
      <c r="Q21" s="79" t="s">
        <v>1473</v>
      </c>
      <c r="R21" s="134"/>
      <c r="S21" s="19"/>
      <c r="T21" s="19"/>
      <c r="U21" s="19"/>
    </row>
    <row r="22" spans="1:21" ht="172.8" x14ac:dyDescent="0.3">
      <c r="A22" s="127">
        <v>21</v>
      </c>
      <c r="B22" s="79" t="str">
        <f t="shared" si="0"/>
        <v>N</v>
      </c>
      <c r="C22" s="79" t="s">
        <v>113</v>
      </c>
      <c r="D22" s="76" t="s">
        <v>1518</v>
      </c>
      <c r="E22" s="79" t="s">
        <v>1519</v>
      </c>
      <c r="F22" s="79" t="s">
        <v>308</v>
      </c>
      <c r="G22" s="79" t="s">
        <v>309</v>
      </c>
      <c r="H22" s="110">
        <v>200</v>
      </c>
      <c r="I22" s="127"/>
      <c r="J22" s="79" t="s">
        <v>225</v>
      </c>
      <c r="K22" s="79"/>
      <c r="L22" s="79"/>
      <c r="M22" s="79"/>
      <c r="N22" s="79" t="s">
        <v>1372</v>
      </c>
      <c r="O22" s="79" t="s">
        <v>16</v>
      </c>
      <c r="P22" s="79" t="s">
        <v>51</v>
      </c>
      <c r="Q22" s="79" t="s">
        <v>1473</v>
      </c>
      <c r="R22" s="134"/>
      <c r="S22" s="19"/>
      <c r="T22" s="19"/>
      <c r="U22" s="19"/>
    </row>
    <row r="23" spans="1:21" ht="72" x14ac:dyDescent="0.3">
      <c r="A23" s="127">
        <v>22</v>
      </c>
      <c r="B23" s="79" t="str">
        <f t="shared" si="0"/>
        <v>N</v>
      </c>
      <c r="C23" s="79" t="s">
        <v>113</v>
      </c>
      <c r="D23" s="76" t="s">
        <v>1520</v>
      </c>
      <c r="E23" s="79" t="s">
        <v>130</v>
      </c>
      <c r="F23" s="79" t="s">
        <v>313</v>
      </c>
      <c r="G23" s="79" t="s">
        <v>318</v>
      </c>
      <c r="H23" s="110">
        <v>401</v>
      </c>
      <c r="I23" s="127"/>
      <c r="J23" s="79" t="s">
        <v>225</v>
      </c>
      <c r="K23" s="79"/>
      <c r="L23" s="79"/>
      <c r="M23" s="79"/>
      <c r="N23" s="79" t="s">
        <v>1372</v>
      </c>
      <c r="O23" s="79" t="s">
        <v>16</v>
      </c>
      <c r="P23" s="79" t="s">
        <v>51</v>
      </c>
      <c r="Q23" s="79" t="s">
        <v>1473</v>
      </c>
      <c r="R23" s="134"/>
      <c r="S23" s="19"/>
      <c r="T23" s="19"/>
      <c r="U23" s="19"/>
    </row>
    <row r="24" spans="1:21" ht="72" x14ac:dyDescent="0.3">
      <c r="A24" s="127">
        <v>23</v>
      </c>
      <c r="B24" s="79" t="str">
        <f t="shared" si="0"/>
        <v>N</v>
      </c>
      <c r="C24" s="79" t="s">
        <v>113</v>
      </c>
      <c r="D24" s="76" t="s">
        <v>1521</v>
      </c>
      <c r="E24" s="79" t="s">
        <v>1522</v>
      </c>
      <c r="F24" s="79" t="s">
        <v>317</v>
      </c>
      <c r="G24" s="79" t="s">
        <v>318</v>
      </c>
      <c r="H24" s="110">
        <v>401</v>
      </c>
      <c r="I24" s="127"/>
      <c r="J24" s="79" t="s">
        <v>225</v>
      </c>
      <c r="K24" s="79"/>
      <c r="L24" s="79"/>
      <c r="M24" s="79"/>
      <c r="N24" s="79" t="s">
        <v>1372</v>
      </c>
      <c r="O24" s="79" t="s">
        <v>16</v>
      </c>
      <c r="P24" s="79" t="s">
        <v>51</v>
      </c>
      <c r="Q24" s="79" t="s">
        <v>1473</v>
      </c>
      <c r="R24" s="134"/>
      <c r="S24" s="19"/>
      <c r="T24" s="19"/>
      <c r="U24" s="19"/>
    </row>
    <row r="25" spans="1:21" ht="86.4" x14ac:dyDescent="0.3">
      <c r="A25" s="127">
        <v>24</v>
      </c>
      <c r="B25" s="79" t="str">
        <f t="shared" si="0"/>
        <v>N</v>
      </c>
      <c r="C25" s="79" t="s">
        <v>113</v>
      </c>
      <c r="D25" s="76" t="s">
        <v>1523</v>
      </c>
      <c r="E25" s="79" t="s">
        <v>1524</v>
      </c>
      <c r="F25" s="79" t="s">
        <v>398</v>
      </c>
      <c r="G25" s="79" t="s">
        <v>1525</v>
      </c>
      <c r="H25" s="110">
        <v>401</v>
      </c>
      <c r="I25" s="127"/>
      <c r="J25" s="79" t="s">
        <v>225</v>
      </c>
      <c r="K25" s="79"/>
      <c r="L25" s="79"/>
      <c r="M25" s="79"/>
      <c r="N25" s="79" t="s">
        <v>1372</v>
      </c>
      <c r="O25" s="79" t="s">
        <v>16</v>
      </c>
      <c r="P25" s="79" t="s">
        <v>51</v>
      </c>
      <c r="Q25" s="79" t="s">
        <v>1473</v>
      </c>
      <c r="R25" s="134"/>
      <c r="S25" s="19"/>
      <c r="T25" s="19"/>
      <c r="U25" s="19"/>
    </row>
    <row r="26" spans="1:21" ht="86.4" x14ac:dyDescent="0.3">
      <c r="A26" s="127">
        <v>25</v>
      </c>
      <c r="B26" s="79" t="str">
        <f t="shared" si="0"/>
        <v>N</v>
      </c>
      <c r="C26" s="79" t="s">
        <v>113</v>
      </c>
      <c r="D26" s="76" t="s">
        <v>1526</v>
      </c>
      <c r="E26" s="79" t="s">
        <v>1527</v>
      </c>
      <c r="F26" s="79" t="s">
        <v>401</v>
      </c>
      <c r="G26" s="79" t="s">
        <v>1528</v>
      </c>
      <c r="H26" s="110">
        <v>401</v>
      </c>
      <c r="I26" s="127"/>
      <c r="J26" s="79" t="s">
        <v>225</v>
      </c>
      <c r="K26" s="79"/>
      <c r="L26" s="79"/>
      <c r="M26" s="79"/>
      <c r="N26" s="79" t="s">
        <v>1372</v>
      </c>
      <c r="O26" s="79" t="s">
        <v>16</v>
      </c>
      <c r="P26" s="79" t="s">
        <v>51</v>
      </c>
      <c r="Q26" s="79" t="s">
        <v>1473</v>
      </c>
      <c r="R26" s="134"/>
      <c r="S26" s="19"/>
      <c r="T26" s="19"/>
      <c r="U26" s="19"/>
    </row>
    <row r="27" spans="1:21" ht="72" x14ac:dyDescent="0.3">
      <c r="A27" s="127">
        <v>26</v>
      </c>
      <c r="B27" s="79" t="str">
        <f t="shared" si="0"/>
        <v>N</v>
      </c>
      <c r="C27" s="79" t="s">
        <v>113</v>
      </c>
      <c r="D27" s="76" t="s">
        <v>1529</v>
      </c>
      <c r="E27" s="79" t="s">
        <v>1530</v>
      </c>
      <c r="F27" s="79" t="s">
        <v>446</v>
      </c>
      <c r="G27" s="79" t="s">
        <v>447</v>
      </c>
      <c r="H27" s="110">
        <v>403</v>
      </c>
      <c r="I27" s="15"/>
      <c r="J27" s="79" t="s">
        <v>225</v>
      </c>
      <c r="K27" s="79"/>
      <c r="L27" s="79"/>
      <c r="M27" s="79"/>
      <c r="N27" s="79" t="s">
        <v>1372</v>
      </c>
      <c r="O27" s="79" t="s">
        <v>16</v>
      </c>
      <c r="P27" s="79" t="s">
        <v>51</v>
      </c>
      <c r="Q27" s="79" t="s">
        <v>1473</v>
      </c>
      <c r="R27" s="134"/>
      <c r="S27" s="19"/>
      <c r="T27" s="19"/>
      <c r="U27" s="19"/>
    </row>
    <row r="28" spans="1:21" ht="72" x14ac:dyDescent="0.3">
      <c r="A28" s="127">
        <v>27</v>
      </c>
      <c r="B28" s="79" t="str">
        <f t="shared" si="0"/>
        <v>N</v>
      </c>
      <c r="C28" s="79" t="s">
        <v>113</v>
      </c>
      <c r="D28" s="76" t="s">
        <v>1531</v>
      </c>
      <c r="E28" s="82" t="s">
        <v>1532</v>
      </c>
      <c r="F28" s="13" t="s">
        <v>450</v>
      </c>
      <c r="G28" s="79" t="s">
        <v>447</v>
      </c>
      <c r="H28" s="22">
        <v>403</v>
      </c>
      <c r="I28" s="15"/>
      <c r="J28" s="79" t="s">
        <v>225</v>
      </c>
      <c r="K28" s="16"/>
      <c r="L28" s="16"/>
      <c r="M28" s="13"/>
      <c r="N28" s="13" t="s">
        <v>1372</v>
      </c>
      <c r="O28" s="13" t="s">
        <v>16</v>
      </c>
      <c r="P28" s="13" t="s">
        <v>51</v>
      </c>
      <c r="Q28" s="13" t="s">
        <v>1473</v>
      </c>
      <c r="R28" s="19"/>
      <c r="S28" s="19"/>
      <c r="T28" s="19"/>
      <c r="U28" s="19"/>
    </row>
    <row r="29" spans="1:21" ht="187.2" x14ac:dyDescent="0.3">
      <c r="A29" s="127">
        <v>28</v>
      </c>
      <c r="B29" s="79" t="str">
        <f t="shared" si="0"/>
        <v>N</v>
      </c>
      <c r="C29" s="79" t="s">
        <v>113</v>
      </c>
      <c r="D29" s="76" t="s">
        <v>1533</v>
      </c>
      <c r="E29" s="82" t="s">
        <v>1534</v>
      </c>
      <c r="F29" s="13" t="s">
        <v>321</v>
      </c>
      <c r="G29" s="79" t="s">
        <v>322</v>
      </c>
      <c r="H29" s="22">
        <v>200</v>
      </c>
      <c r="I29" s="15"/>
      <c r="J29" s="79" t="s">
        <v>225</v>
      </c>
      <c r="K29" s="16"/>
      <c r="L29" s="16"/>
      <c r="M29" s="13"/>
      <c r="N29" s="13" t="s">
        <v>1372</v>
      </c>
      <c r="O29" s="13" t="s">
        <v>16</v>
      </c>
      <c r="P29" s="13" t="s">
        <v>51</v>
      </c>
      <c r="Q29" s="13" t="s">
        <v>1473</v>
      </c>
      <c r="R29" s="19"/>
      <c r="S29" s="19"/>
      <c r="T29" s="19"/>
      <c r="U29" s="19"/>
    </row>
    <row r="30" spans="1:21" ht="187.2" x14ac:dyDescent="0.3">
      <c r="A30" s="127">
        <v>29</v>
      </c>
      <c r="B30" s="79" t="str">
        <f t="shared" si="0"/>
        <v>N</v>
      </c>
      <c r="C30" s="79" t="s">
        <v>113</v>
      </c>
      <c r="D30" s="76" t="s">
        <v>1535</v>
      </c>
      <c r="E30" s="82" t="s">
        <v>1536</v>
      </c>
      <c r="F30" s="13" t="s">
        <v>326</v>
      </c>
      <c r="G30" s="79" t="s">
        <v>327</v>
      </c>
      <c r="H30" s="22">
        <v>200</v>
      </c>
      <c r="I30" s="15"/>
      <c r="J30" s="79" t="s">
        <v>225</v>
      </c>
      <c r="K30" s="16"/>
      <c r="L30" s="16"/>
      <c r="M30" s="13"/>
      <c r="N30" s="13" t="s">
        <v>1372</v>
      </c>
      <c r="O30" s="13" t="s">
        <v>16</v>
      </c>
      <c r="P30" s="13" t="s">
        <v>51</v>
      </c>
      <c r="Q30" s="13" t="s">
        <v>1473</v>
      </c>
      <c r="R30" s="19"/>
      <c r="S30" s="19"/>
      <c r="T30" s="19"/>
      <c r="U30" s="19"/>
    </row>
    <row r="31" spans="1:21" ht="72" x14ac:dyDescent="0.3">
      <c r="A31" s="127">
        <v>30</v>
      </c>
      <c r="B31" s="79" t="str">
        <f t="shared" si="0"/>
        <v>N</v>
      </c>
      <c r="C31" s="79" t="s">
        <v>113</v>
      </c>
      <c r="D31" s="76" t="s">
        <v>1537</v>
      </c>
      <c r="E31" s="82" t="s">
        <v>1538</v>
      </c>
      <c r="F31" s="13" t="s">
        <v>331</v>
      </c>
      <c r="G31" s="79" t="s">
        <v>332</v>
      </c>
      <c r="H31" s="22" t="s">
        <v>942</v>
      </c>
      <c r="I31" s="15"/>
      <c r="J31" s="79" t="s">
        <v>225</v>
      </c>
      <c r="K31" s="16"/>
      <c r="L31" s="16"/>
      <c r="M31" s="13"/>
      <c r="N31" s="13" t="s">
        <v>1372</v>
      </c>
      <c r="O31" s="13" t="s">
        <v>16</v>
      </c>
      <c r="P31" s="13" t="s">
        <v>51</v>
      </c>
      <c r="Q31" s="13" t="s">
        <v>1473</v>
      </c>
      <c r="R31" s="19"/>
      <c r="S31" s="19"/>
      <c r="T31" s="19"/>
      <c r="U31" s="19"/>
    </row>
    <row r="32" spans="1:21" ht="72" x14ac:dyDescent="0.3">
      <c r="A32" s="127">
        <v>31</v>
      </c>
      <c r="B32" s="79" t="str">
        <f t="shared" si="0"/>
        <v>N</v>
      </c>
      <c r="C32" s="79" t="s">
        <v>113</v>
      </c>
      <c r="D32" s="76" t="s">
        <v>1539</v>
      </c>
      <c r="E32" s="82" t="s">
        <v>1540</v>
      </c>
      <c r="F32" s="13" t="s">
        <v>335</v>
      </c>
      <c r="G32" s="79" t="s">
        <v>332</v>
      </c>
      <c r="H32" s="22" t="s">
        <v>942</v>
      </c>
      <c r="I32" s="15"/>
      <c r="J32" s="79" t="s">
        <v>225</v>
      </c>
      <c r="K32" s="16"/>
      <c r="L32" s="16"/>
      <c r="M32" s="13"/>
      <c r="N32" s="13" t="s">
        <v>1372</v>
      </c>
      <c r="O32" s="13" t="s">
        <v>16</v>
      </c>
      <c r="P32" s="13" t="s">
        <v>51</v>
      </c>
      <c r="Q32" s="13" t="s">
        <v>1473</v>
      </c>
      <c r="R32" s="19"/>
      <c r="S32" s="19"/>
      <c r="T32" s="19"/>
      <c r="U32" s="19"/>
    </row>
    <row r="33" spans="1:21" ht="72" x14ac:dyDescent="0.3">
      <c r="A33" s="127">
        <v>32</v>
      </c>
      <c r="B33" s="79" t="str">
        <f t="shared" si="0"/>
        <v>N</v>
      </c>
      <c r="C33" s="79" t="s">
        <v>113</v>
      </c>
      <c r="D33" s="76" t="s">
        <v>1541</v>
      </c>
      <c r="E33" s="82" t="s">
        <v>1542</v>
      </c>
      <c r="F33" s="13" t="s">
        <v>338</v>
      </c>
      <c r="G33" s="79" t="s">
        <v>332</v>
      </c>
      <c r="H33" s="22" t="s">
        <v>942</v>
      </c>
      <c r="I33" s="21"/>
      <c r="J33" s="79" t="s">
        <v>225</v>
      </c>
      <c r="K33" s="16"/>
      <c r="L33" s="16"/>
      <c r="M33" s="13"/>
      <c r="N33" s="13" t="s">
        <v>1372</v>
      </c>
      <c r="O33" s="13" t="s">
        <v>16</v>
      </c>
      <c r="P33" s="13" t="s">
        <v>51</v>
      </c>
      <c r="Q33" s="13" t="s">
        <v>1473</v>
      </c>
      <c r="R33" s="19"/>
      <c r="S33" s="19"/>
      <c r="T33" s="19"/>
      <c r="U33" s="19"/>
    </row>
    <row r="34" spans="1:21" ht="72" x14ac:dyDescent="0.3">
      <c r="A34" s="127">
        <v>33</v>
      </c>
      <c r="B34" s="79" t="str">
        <f t="shared" si="0"/>
        <v>N</v>
      </c>
      <c r="C34" s="79" t="s">
        <v>113</v>
      </c>
      <c r="D34" s="76" t="s">
        <v>1543</v>
      </c>
      <c r="E34" s="82" t="s">
        <v>1544</v>
      </c>
      <c r="F34" s="13" t="s">
        <v>342</v>
      </c>
      <c r="G34" s="79" t="s">
        <v>332</v>
      </c>
      <c r="H34" s="22" t="s">
        <v>942</v>
      </c>
      <c r="I34" s="21"/>
      <c r="J34" s="79" t="s">
        <v>225</v>
      </c>
      <c r="K34" s="16"/>
      <c r="L34" s="16"/>
      <c r="M34" s="13"/>
      <c r="N34" s="13" t="s">
        <v>1372</v>
      </c>
      <c r="O34" s="13" t="s">
        <v>16</v>
      </c>
      <c r="P34" s="13" t="s">
        <v>51</v>
      </c>
      <c r="Q34" s="13" t="s">
        <v>1473</v>
      </c>
      <c r="R34" s="19"/>
      <c r="S34" s="19"/>
      <c r="T34" s="19"/>
      <c r="U34" s="19"/>
    </row>
    <row r="35" spans="1:21" ht="172.8" x14ac:dyDescent="0.3">
      <c r="A35" s="127">
        <v>34</v>
      </c>
      <c r="B35" s="79" t="str">
        <f t="shared" si="0"/>
        <v>N</v>
      </c>
      <c r="C35" s="79" t="s">
        <v>113</v>
      </c>
      <c r="D35" s="76" t="s">
        <v>1545</v>
      </c>
      <c r="E35" s="82" t="s">
        <v>1546</v>
      </c>
      <c r="F35" s="13" t="s">
        <v>404</v>
      </c>
      <c r="G35" s="79" t="s">
        <v>1547</v>
      </c>
      <c r="H35" s="22">
        <v>200</v>
      </c>
      <c r="I35" s="21"/>
      <c r="J35" s="79" t="s">
        <v>225</v>
      </c>
      <c r="K35" s="16"/>
      <c r="L35" s="16"/>
      <c r="M35" s="13"/>
      <c r="N35" s="13" t="s">
        <v>1372</v>
      </c>
      <c r="O35" s="13" t="s">
        <v>16</v>
      </c>
      <c r="P35" s="13" t="s">
        <v>51</v>
      </c>
      <c r="Q35" s="13" t="s">
        <v>1473</v>
      </c>
      <c r="R35" s="19"/>
      <c r="S35" s="19"/>
      <c r="T35" s="19"/>
      <c r="U35" s="19"/>
    </row>
    <row r="36" spans="1:21" ht="172.8" x14ac:dyDescent="0.3">
      <c r="A36" s="127">
        <v>35</v>
      </c>
      <c r="B36" s="79" t="str">
        <f t="shared" si="0"/>
        <v>N</v>
      </c>
      <c r="C36" s="79" t="s">
        <v>113</v>
      </c>
      <c r="D36" s="76" t="s">
        <v>1548</v>
      </c>
      <c r="E36" s="82" t="s">
        <v>1549</v>
      </c>
      <c r="F36" s="13" t="s">
        <v>408</v>
      </c>
      <c r="G36" s="79" t="s">
        <v>1550</v>
      </c>
      <c r="H36" s="22">
        <v>200</v>
      </c>
      <c r="I36" s="21"/>
      <c r="J36" s="79" t="s">
        <v>225</v>
      </c>
      <c r="K36" s="16"/>
      <c r="L36" s="16"/>
      <c r="M36" s="13"/>
      <c r="N36" s="13" t="s">
        <v>1372</v>
      </c>
      <c r="O36" s="13" t="s">
        <v>16</v>
      </c>
      <c r="P36" s="13" t="s">
        <v>51</v>
      </c>
      <c r="Q36" s="13" t="s">
        <v>1473</v>
      </c>
      <c r="R36" s="19"/>
      <c r="S36" s="19"/>
      <c r="T36" s="19"/>
      <c r="U36" s="19"/>
    </row>
    <row r="37" spans="1:21" ht="72" x14ac:dyDescent="0.3">
      <c r="A37" s="127">
        <v>36</v>
      </c>
      <c r="B37" s="79" t="str">
        <f t="shared" si="0"/>
        <v>N</v>
      </c>
      <c r="C37" s="79" t="s">
        <v>113</v>
      </c>
      <c r="D37" s="76" t="s">
        <v>1551</v>
      </c>
      <c r="E37" s="82" t="s">
        <v>1552</v>
      </c>
      <c r="F37" s="13" t="s">
        <v>345</v>
      </c>
      <c r="G37" s="79" t="s">
        <v>346</v>
      </c>
      <c r="H37" s="22">
        <v>400</v>
      </c>
      <c r="I37" s="21"/>
      <c r="J37" s="79" t="s">
        <v>225</v>
      </c>
      <c r="K37" s="16"/>
      <c r="L37" s="16"/>
      <c r="M37" s="13"/>
      <c r="N37" s="13" t="s">
        <v>1372</v>
      </c>
      <c r="O37" s="13" t="s">
        <v>16</v>
      </c>
      <c r="P37" s="13" t="s">
        <v>51</v>
      </c>
      <c r="Q37" s="13" t="s">
        <v>1473</v>
      </c>
      <c r="R37" s="19"/>
      <c r="S37" s="19"/>
      <c r="T37" s="19"/>
      <c r="U37" s="19"/>
    </row>
    <row r="38" spans="1:21" ht="72" x14ac:dyDescent="0.3">
      <c r="A38" s="127">
        <v>37</v>
      </c>
      <c r="B38" s="79" t="str">
        <f t="shared" si="0"/>
        <v>N</v>
      </c>
      <c r="C38" s="79" t="s">
        <v>113</v>
      </c>
      <c r="D38" s="76" t="s">
        <v>1553</v>
      </c>
      <c r="E38" s="82" t="s">
        <v>1554</v>
      </c>
      <c r="F38" s="13" t="s">
        <v>349</v>
      </c>
      <c r="G38" s="79" t="s">
        <v>346</v>
      </c>
      <c r="H38" s="22">
        <v>400</v>
      </c>
      <c r="I38" s="21"/>
      <c r="J38" s="79" t="s">
        <v>225</v>
      </c>
      <c r="K38" s="16"/>
      <c r="L38" s="16"/>
      <c r="M38" s="13"/>
      <c r="N38" s="13" t="s">
        <v>1372</v>
      </c>
      <c r="O38" s="13" t="s">
        <v>16</v>
      </c>
      <c r="P38" s="13" t="s">
        <v>51</v>
      </c>
      <c r="Q38" s="13" t="s">
        <v>1473</v>
      </c>
      <c r="R38" s="19"/>
      <c r="S38" s="19"/>
      <c r="T38" s="19"/>
      <c r="U38" s="19"/>
    </row>
    <row r="39" spans="1:21" ht="72" x14ac:dyDescent="0.3">
      <c r="A39" s="127">
        <v>38</v>
      </c>
      <c r="B39" s="79" t="str">
        <f t="shared" si="0"/>
        <v>N</v>
      </c>
      <c r="C39" s="79" t="s">
        <v>113</v>
      </c>
      <c r="D39" s="76" t="s">
        <v>1555</v>
      </c>
      <c r="E39" s="82" t="s">
        <v>1556</v>
      </c>
      <c r="F39" s="13" t="s">
        <v>352</v>
      </c>
      <c r="G39" s="79" t="s">
        <v>1500</v>
      </c>
      <c r="H39" s="22">
        <v>400</v>
      </c>
      <c r="I39" s="21"/>
      <c r="J39" s="79" t="s">
        <v>225</v>
      </c>
      <c r="K39" s="16"/>
      <c r="L39" s="16"/>
      <c r="M39" s="13"/>
      <c r="N39" s="13" t="s">
        <v>1372</v>
      </c>
      <c r="O39" s="13" t="s">
        <v>16</v>
      </c>
      <c r="P39" s="13" t="s">
        <v>51</v>
      </c>
      <c r="Q39" s="13" t="s">
        <v>1473</v>
      </c>
      <c r="R39" s="19"/>
      <c r="S39" s="19"/>
      <c r="T39" s="19"/>
      <c r="U39" s="19"/>
    </row>
    <row r="40" spans="1:21" ht="72" x14ac:dyDescent="0.3">
      <c r="A40" s="127">
        <v>39</v>
      </c>
      <c r="B40" s="79" t="str">
        <f t="shared" si="0"/>
        <v>N</v>
      </c>
      <c r="C40" s="79" t="s">
        <v>113</v>
      </c>
      <c r="D40" s="76" t="s">
        <v>1557</v>
      </c>
      <c r="E40" s="82" t="s">
        <v>1558</v>
      </c>
      <c r="F40" s="13" t="s">
        <v>355</v>
      </c>
      <c r="G40" s="79" t="s">
        <v>1500</v>
      </c>
      <c r="H40" s="22">
        <v>400</v>
      </c>
      <c r="I40" s="21"/>
      <c r="J40" s="79" t="s">
        <v>225</v>
      </c>
      <c r="K40" s="16"/>
      <c r="L40" s="16"/>
      <c r="M40" s="13"/>
      <c r="N40" s="13" t="s">
        <v>1372</v>
      </c>
      <c r="O40" s="13" t="s">
        <v>16</v>
      </c>
      <c r="P40" s="13" t="s">
        <v>51</v>
      </c>
      <c r="Q40" s="13" t="s">
        <v>1473</v>
      </c>
      <c r="R40" s="19"/>
      <c r="S40" s="19"/>
      <c r="T40" s="19"/>
      <c r="U40" s="19"/>
    </row>
    <row r="41" spans="1:21" ht="172.8" x14ac:dyDescent="0.3">
      <c r="A41" s="127">
        <v>40</v>
      </c>
      <c r="B41" s="79" t="str">
        <f t="shared" si="0"/>
        <v>N</v>
      </c>
      <c r="C41" s="79" t="s">
        <v>113</v>
      </c>
      <c r="D41" s="76" t="s">
        <v>1559</v>
      </c>
      <c r="E41" s="82" t="s">
        <v>1560</v>
      </c>
      <c r="F41" s="13" t="s">
        <v>412</v>
      </c>
      <c r="G41" s="79" t="s">
        <v>1561</v>
      </c>
      <c r="H41" s="22">
        <v>200</v>
      </c>
      <c r="I41" s="21"/>
      <c r="J41" s="79" t="s">
        <v>225</v>
      </c>
      <c r="K41" s="16"/>
      <c r="L41" s="16"/>
      <c r="M41" s="13"/>
      <c r="N41" s="13" t="s">
        <v>1372</v>
      </c>
      <c r="O41" s="13" t="s">
        <v>16</v>
      </c>
      <c r="P41" s="13" t="s">
        <v>51</v>
      </c>
      <c r="Q41" s="13" t="s">
        <v>1473</v>
      </c>
      <c r="R41" s="19"/>
      <c r="S41" s="19"/>
      <c r="T41" s="19"/>
      <c r="U41" s="19"/>
    </row>
    <row r="42" spans="1:21" ht="172.8" x14ac:dyDescent="0.3">
      <c r="A42" s="127">
        <v>41</v>
      </c>
      <c r="B42" s="79" t="str">
        <f t="shared" si="0"/>
        <v>N</v>
      </c>
      <c r="C42" s="79" t="s">
        <v>113</v>
      </c>
      <c r="D42" s="76" t="s">
        <v>1562</v>
      </c>
      <c r="E42" s="82" t="s">
        <v>1563</v>
      </c>
      <c r="F42" s="13" t="s">
        <v>416</v>
      </c>
      <c r="G42" s="79" t="s">
        <v>1564</v>
      </c>
      <c r="H42" s="22">
        <v>200</v>
      </c>
      <c r="I42" s="21"/>
      <c r="J42" s="79" t="s">
        <v>225</v>
      </c>
      <c r="K42" s="16"/>
      <c r="L42" s="16"/>
      <c r="M42" s="13"/>
      <c r="N42" s="13" t="s">
        <v>1372</v>
      </c>
      <c r="O42" s="13" t="s">
        <v>16</v>
      </c>
      <c r="P42" s="13" t="s">
        <v>51</v>
      </c>
      <c r="Q42" s="13" t="s">
        <v>1473</v>
      </c>
      <c r="R42" s="19"/>
      <c r="S42" s="19"/>
      <c r="T42" s="19"/>
      <c r="U42" s="19"/>
    </row>
    <row r="43" spans="1:21" ht="72" x14ac:dyDescent="0.3">
      <c r="A43" s="127">
        <v>42</v>
      </c>
      <c r="B43" s="79" t="str">
        <f t="shared" si="0"/>
        <v>N</v>
      </c>
      <c r="C43" s="79" t="s">
        <v>113</v>
      </c>
      <c r="D43" s="76" t="s">
        <v>1565</v>
      </c>
      <c r="E43" s="82" t="s">
        <v>1566</v>
      </c>
      <c r="F43" s="13" t="s">
        <v>1567</v>
      </c>
      <c r="G43" s="79" t="s">
        <v>1568</v>
      </c>
      <c r="H43" s="22" t="s">
        <v>942</v>
      </c>
      <c r="I43" s="21"/>
      <c r="J43" s="79" t="s">
        <v>225</v>
      </c>
      <c r="K43" s="16"/>
      <c r="L43" s="16"/>
      <c r="M43" s="13"/>
      <c r="N43" s="13" t="s">
        <v>1372</v>
      </c>
      <c r="O43" s="13" t="s">
        <v>16</v>
      </c>
      <c r="P43" s="13" t="s">
        <v>51</v>
      </c>
      <c r="Q43" s="13" t="s">
        <v>1473</v>
      </c>
      <c r="R43" s="19"/>
      <c r="S43" s="19"/>
      <c r="T43" s="19"/>
      <c r="U43" s="19"/>
    </row>
    <row r="44" spans="1:21" ht="72" x14ac:dyDescent="0.3">
      <c r="A44" s="127">
        <v>43</v>
      </c>
      <c r="B44" s="79" t="str">
        <f t="shared" si="0"/>
        <v>N</v>
      </c>
      <c r="C44" s="79" t="s">
        <v>113</v>
      </c>
      <c r="D44" s="76" t="s">
        <v>1569</v>
      </c>
      <c r="E44" s="82" t="s">
        <v>1570</v>
      </c>
      <c r="F44" s="13" t="s">
        <v>1571</v>
      </c>
      <c r="G44" s="79" t="s">
        <v>359</v>
      </c>
      <c r="H44" s="22" t="s">
        <v>942</v>
      </c>
      <c r="I44" s="21"/>
      <c r="J44" s="79" t="s">
        <v>225</v>
      </c>
      <c r="K44" s="16"/>
      <c r="L44" s="16"/>
      <c r="M44" s="13"/>
      <c r="N44" s="13" t="s">
        <v>1372</v>
      </c>
      <c r="O44" s="13" t="s">
        <v>16</v>
      </c>
      <c r="P44" s="13" t="s">
        <v>51</v>
      </c>
      <c r="Q44" s="13" t="s">
        <v>1473</v>
      </c>
      <c r="R44" s="19"/>
      <c r="S44" s="19"/>
      <c r="T44" s="19"/>
      <c r="U44" s="19"/>
    </row>
    <row r="45" spans="1:21" ht="86.4" x14ac:dyDescent="0.3">
      <c r="A45" s="127">
        <v>44</v>
      </c>
      <c r="B45" s="79" t="str">
        <f t="shared" si="0"/>
        <v>N</v>
      </c>
      <c r="C45" s="79" t="s">
        <v>113</v>
      </c>
      <c r="D45" s="76" t="s">
        <v>1572</v>
      </c>
      <c r="E45" s="82" t="s">
        <v>1573</v>
      </c>
      <c r="F45" s="13" t="s">
        <v>1574</v>
      </c>
      <c r="G45" s="79" t="s">
        <v>234</v>
      </c>
      <c r="H45" s="22" t="s">
        <v>942</v>
      </c>
      <c r="I45" s="21"/>
      <c r="J45" s="79" t="s">
        <v>225</v>
      </c>
      <c r="K45" s="16"/>
      <c r="L45" s="16"/>
      <c r="M45" s="13"/>
      <c r="N45" s="13" t="s">
        <v>1372</v>
      </c>
      <c r="O45" s="13" t="s">
        <v>16</v>
      </c>
      <c r="P45" s="13" t="s">
        <v>51</v>
      </c>
      <c r="Q45" s="13" t="s">
        <v>1473</v>
      </c>
      <c r="R45" s="19"/>
      <c r="S45" s="19"/>
      <c r="T45" s="19"/>
      <c r="U45" s="19"/>
    </row>
    <row r="46" spans="1:21" ht="86.4" x14ac:dyDescent="0.3">
      <c r="A46" s="127">
        <v>45</v>
      </c>
      <c r="B46" s="79" t="str">
        <f t="shared" si="0"/>
        <v>N</v>
      </c>
      <c r="C46" s="79" t="s">
        <v>113</v>
      </c>
      <c r="D46" s="76" t="s">
        <v>1575</v>
      </c>
      <c r="E46" s="82" t="s">
        <v>1576</v>
      </c>
      <c r="F46" s="13" t="s">
        <v>238</v>
      </c>
      <c r="G46" s="79" t="s">
        <v>234</v>
      </c>
      <c r="H46" s="22" t="s">
        <v>942</v>
      </c>
      <c r="I46" s="21"/>
      <c r="J46" s="79" t="s">
        <v>225</v>
      </c>
      <c r="K46" s="16"/>
      <c r="L46" s="16"/>
      <c r="M46" s="13"/>
      <c r="N46" s="13" t="s">
        <v>1372</v>
      </c>
      <c r="O46" s="13" t="s">
        <v>16</v>
      </c>
      <c r="P46" s="13" t="s">
        <v>51</v>
      </c>
      <c r="Q46" s="13" t="s">
        <v>1473</v>
      </c>
      <c r="R46" s="19"/>
      <c r="S46" s="19"/>
      <c r="T46" s="19"/>
      <c r="U46" s="19"/>
    </row>
    <row r="47" spans="1:21" ht="86.4" x14ac:dyDescent="0.3">
      <c r="A47" s="127">
        <v>46</v>
      </c>
      <c r="B47" s="79" t="str">
        <f t="shared" si="0"/>
        <v>N</v>
      </c>
      <c r="C47" s="79" t="s">
        <v>113</v>
      </c>
      <c r="D47" s="76" t="s">
        <v>1577</v>
      </c>
      <c r="E47" s="82" t="s">
        <v>1578</v>
      </c>
      <c r="F47" s="13" t="s">
        <v>1579</v>
      </c>
      <c r="G47" s="79" t="s">
        <v>234</v>
      </c>
      <c r="H47" s="22" t="s">
        <v>942</v>
      </c>
      <c r="I47" s="21"/>
      <c r="J47" s="79" t="s">
        <v>225</v>
      </c>
      <c r="K47" s="16"/>
      <c r="L47" s="16"/>
      <c r="M47" s="13"/>
      <c r="N47" s="13" t="s">
        <v>1372</v>
      </c>
      <c r="O47" s="13" t="s">
        <v>16</v>
      </c>
      <c r="P47" s="13" t="s">
        <v>51</v>
      </c>
      <c r="Q47" s="13" t="s">
        <v>1473</v>
      </c>
      <c r="R47" s="19"/>
      <c r="S47" s="19"/>
      <c r="T47" s="19"/>
      <c r="U47" s="19"/>
    </row>
    <row r="48" spans="1:21" ht="86.4" x14ac:dyDescent="0.3">
      <c r="A48" s="127">
        <v>47</v>
      </c>
      <c r="B48" s="79" t="str">
        <f t="shared" si="0"/>
        <v>N</v>
      </c>
      <c r="C48" s="79" t="s">
        <v>113</v>
      </c>
      <c r="D48" s="76" t="s">
        <v>1580</v>
      </c>
      <c r="E48" s="82" t="s">
        <v>1581</v>
      </c>
      <c r="F48" s="13" t="s">
        <v>1582</v>
      </c>
      <c r="G48" s="79" t="s">
        <v>234</v>
      </c>
      <c r="H48" s="22" t="s">
        <v>942</v>
      </c>
      <c r="I48" s="21"/>
      <c r="J48" s="79" t="s">
        <v>225</v>
      </c>
      <c r="K48" s="16"/>
      <c r="L48" s="16"/>
      <c r="M48" s="13"/>
      <c r="N48" s="13" t="s">
        <v>1372</v>
      </c>
      <c r="O48" s="13" t="s">
        <v>16</v>
      </c>
      <c r="P48" s="13" t="s">
        <v>51</v>
      </c>
      <c r="Q48" s="13" t="s">
        <v>1473</v>
      </c>
      <c r="R48" s="19"/>
      <c r="S48" s="19"/>
      <c r="T48" s="19"/>
      <c r="U48" s="19"/>
    </row>
    <row r="49" spans="1:21" ht="72" x14ac:dyDescent="0.3">
      <c r="A49" s="127">
        <v>48</v>
      </c>
      <c r="B49" s="79" t="str">
        <f t="shared" si="0"/>
        <v>N</v>
      </c>
      <c r="C49" s="79" t="s">
        <v>113</v>
      </c>
      <c r="D49" s="76" t="s">
        <v>1583</v>
      </c>
      <c r="E49" s="82" t="s">
        <v>1584</v>
      </c>
      <c r="F49" s="13" t="s">
        <v>1585</v>
      </c>
      <c r="G49" s="79" t="s">
        <v>366</v>
      </c>
      <c r="H49" s="22" t="s">
        <v>942</v>
      </c>
      <c r="I49" s="21"/>
      <c r="J49" s="79" t="s">
        <v>225</v>
      </c>
      <c r="K49" s="16"/>
      <c r="L49" s="16"/>
      <c r="M49" s="13"/>
      <c r="N49" s="13" t="s">
        <v>1372</v>
      </c>
      <c r="O49" s="13" t="s">
        <v>16</v>
      </c>
      <c r="P49" s="13" t="s">
        <v>51</v>
      </c>
      <c r="Q49" s="13" t="s">
        <v>1473</v>
      </c>
      <c r="R49" s="19"/>
      <c r="S49" s="19"/>
      <c r="T49" s="19"/>
      <c r="U49" s="19"/>
    </row>
    <row r="50" spans="1:21" ht="72" x14ac:dyDescent="0.3">
      <c r="A50" s="127">
        <v>49</v>
      </c>
      <c r="B50" s="79" t="str">
        <f t="shared" si="0"/>
        <v>N</v>
      </c>
      <c r="C50" s="79" t="s">
        <v>113</v>
      </c>
      <c r="D50" s="76" t="s">
        <v>1586</v>
      </c>
      <c r="E50" s="82" t="s">
        <v>1587</v>
      </c>
      <c r="F50" s="13" t="s">
        <v>1588</v>
      </c>
      <c r="G50" s="79" t="s">
        <v>366</v>
      </c>
      <c r="H50" s="22">
        <v>400</v>
      </c>
      <c r="I50" s="21"/>
      <c r="J50" s="79" t="s">
        <v>225</v>
      </c>
      <c r="K50" s="16"/>
      <c r="L50" s="16"/>
      <c r="M50" s="13"/>
      <c r="N50" s="13" t="s">
        <v>1372</v>
      </c>
      <c r="O50" s="13" t="s">
        <v>16</v>
      </c>
      <c r="P50" s="13" t="s">
        <v>51</v>
      </c>
      <c r="Q50" s="13" t="s">
        <v>1473</v>
      </c>
      <c r="R50" s="19"/>
      <c r="S50" s="19"/>
      <c r="T50" s="19"/>
      <c r="U50" s="19"/>
    </row>
    <row r="51" spans="1:21" ht="216" x14ac:dyDescent="0.3">
      <c r="A51" s="127">
        <v>50</v>
      </c>
      <c r="B51" s="79" t="str">
        <f t="shared" si="0"/>
        <v>N</v>
      </c>
      <c r="C51" s="79" t="s">
        <v>113</v>
      </c>
      <c r="D51" s="76" t="s">
        <v>1589</v>
      </c>
      <c r="E51" s="82" t="s">
        <v>1590</v>
      </c>
      <c r="F51" s="13" t="s">
        <v>420</v>
      </c>
      <c r="G51" s="79" t="s">
        <v>1591</v>
      </c>
      <c r="H51" s="22">
        <v>200</v>
      </c>
      <c r="I51" s="21"/>
      <c r="J51" s="79" t="s">
        <v>225</v>
      </c>
      <c r="K51" s="16"/>
      <c r="L51" s="16"/>
      <c r="M51" s="13"/>
      <c r="N51" s="13" t="s">
        <v>1372</v>
      </c>
      <c r="O51" s="13" t="s">
        <v>16</v>
      </c>
      <c r="P51" s="13" t="s">
        <v>51</v>
      </c>
      <c r="Q51" s="13" t="s">
        <v>1473</v>
      </c>
      <c r="R51" s="19"/>
      <c r="S51" s="19"/>
      <c r="T51" s="19"/>
      <c r="U51" s="19"/>
    </row>
    <row r="52" spans="1:21" ht="216" x14ac:dyDescent="0.3">
      <c r="A52" s="127">
        <v>51</v>
      </c>
      <c r="B52" s="79" t="str">
        <f t="shared" si="0"/>
        <v>N</v>
      </c>
      <c r="C52" s="79" t="s">
        <v>113</v>
      </c>
      <c r="D52" s="76" t="s">
        <v>1592</v>
      </c>
      <c r="E52" s="82" t="s">
        <v>1593</v>
      </c>
      <c r="F52" s="13" t="s">
        <v>424</v>
      </c>
      <c r="G52" s="79" t="s">
        <v>1594</v>
      </c>
      <c r="H52" s="22">
        <v>200</v>
      </c>
      <c r="I52" s="21"/>
      <c r="J52" s="79" t="s">
        <v>225</v>
      </c>
      <c r="K52" s="16"/>
      <c r="L52" s="16"/>
      <c r="M52" s="13"/>
      <c r="N52" s="13" t="s">
        <v>1372</v>
      </c>
      <c r="O52" s="13" t="s">
        <v>16</v>
      </c>
      <c r="P52" s="13" t="s">
        <v>51</v>
      </c>
      <c r="Q52" s="13" t="s">
        <v>1473</v>
      </c>
      <c r="R52" s="19"/>
      <c r="S52" s="19"/>
      <c r="T52" s="19"/>
      <c r="U52" s="19"/>
    </row>
    <row r="53" spans="1:21" ht="72" x14ac:dyDescent="0.3">
      <c r="A53" s="127">
        <v>52</v>
      </c>
      <c r="B53" s="79" t="str">
        <f t="shared" si="0"/>
        <v>N</v>
      </c>
      <c r="C53" s="79" t="s">
        <v>113</v>
      </c>
      <c r="D53" s="76" t="s">
        <v>1595</v>
      </c>
      <c r="E53" s="82" t="s">
        <v>1596</v>
      </c>
      <c r="F53" s="13" t="s">
        <v>453</v>
      </c>
      <c r="G53" s="79" t="s">
        <v>443</v>
      </c>
      <c r="H53" s="22">
        <v>403</v>
      </c>
      <c r="I53" s="21"/>
      <c r="J53" s="79" t="s">
        <v>225</v>
      </c>
      <c r="K53" s="16"/>
      <c r="L53" s="16"/>
      <c r="M53" s="13"/>
      <c r="N53" s="13" t="s">
        <v>1372</v>
      </c>
      <c r="O53" s="13" t="s">
        <v>16</v>
      </c>
      <c r="P53" s="13" t="s">
        <v>51</v>
      </c>
      <c r="Q53" s="13" t="s">
        <v>1473</v>
      </c>
      <c r="R53" s="19"/>
      <c r="S53" s="19"/>
      <c r="T53" s="19"/>
      <c r="U53" s="19"/>
    </row>
    <row r="54" spans="1:21" ht="72" x14ac:dyDescent="0.3">
      <c r="A54" s="127">
        <v>53</v>
      </c>
      <c r="B54" s="79" t="str">
        <f t="shared" si="0"/>
        <v>N</v>
      </c>
      <c r="C54" s="79" t="s">
        <v>113</v>
      </c>
      <c r="D54" s="76" t="s">
        <v>1597</v>
      </c>
      <c r="E54" s="82" t="s">
        <v>1598</v>
      </c>
      <c r="F54" s="13" t="s">
        <v>456</v>
      </c>
      <c r="G54" s="79" t="s">
        <v>443</v>
      </c>
      <c r="H54" s="22">
        <v>403</v>
      </c>
      <c r="I54" s="21"/>
      <c r="J54" s="79" t="s">
        <v>225</v>
      </c>
      <c r="K54" s="16"/>
      <c r="L54" s="16"/>
      <c r="M54" s="13"/>
      <c r="N54" s="13" t="s">
        <v>1372</v>
      </c>
      <c r="O54" s="13" t="s">
        <v>16</v>
      </c>
      <c r="P54" s="13" t="s">
        <v>51</v>
      </c>
      <c r="Q54" s="13" t="s">
        <v>1473</v>
      </c>
      <c r="R54" s="19"/>
      <c r="S54" s="19"/>
      <c r="T54" s="19"/>
      <c r="U54" s="19"/>
    </row>
    <row r="55" spans="1:21" ht="288" x14ac:dyDescent="0.3">
      <c r="A55" s="127">
        <v>54</v>
      </c>
      <c r="B55" s="79" t="str">
        <f t="shared" si="0"/>
        <v>N</v>
      </c>
      <c r="C55" s="79" t="s">
        <v>113</v>
      </c>
      <c r="D55" s="76" t="s">
        <v>1599</v>
      </c>
      <c r="E55" s="82" t="s">
        <v>1600</v>
      </c>
      <c r="F55" s="13" t="s">
        <v>1601</v>
      </c>
      <c r="G55" s="79" t="s">
        <v>1602</v>
      </c>
      <c r="H55" s="22">
        <v>200</v>
      </c>
      <c r="I55" s="21"/>
      <c r="J55" s="79" t="s">
        <v>225</v>
      </c>
      <c r="K55" s="16"/>
      <c r="L55" s="16"/>
      <c r="M55" s="13"/>
      <c r="N55" s="13" t="s">
        <v>1372</v>
      </c>
      <c r="O55" s="13" t="s">
        <v>16</v>
      </c>
      <c r="P55" s="13" t="s">
        <v>51</v>
      </c>
      <c r="Q55" s="13" t="s">
        <v>1473</v>
      </c>
      <c r="R55" s="19"/>
      <c r="S55" s="19"/>
      <c r="T55" s="19"/>
      <c r="U55" s="19"/>
    </row>
    <row r="56" spans="1:21" ht="409.6" x14ac:dyDescent="0.3">
      <c r="A56" s="127">
        <v>55</v>
      </c>
      <c r="B56" s="79" t="str">
        <f t="shared" si="0"/>
        <v>N</v>
      </c>
      <c r="C56" s="79" t="s">
        <v>113</v>
      </c>
      <c r="D56" s="76" t="s">
        <v>1603</v>
      </c>
      <c r="E56" s="82" t="s">
        <v>1604</v>
      </c>
      <c r="F56" s="13" t="s">
        <v>428</v>
      </c>
      <c r="G56" s="79" t="s">
        <v>1605</v>
      </c>
      <c r="H56" s="22">
        <v>200</v>
      </c>
      <c r="I56" s="21"/>
      <c r="J56" s="79" t="s">
        <v>225</v>
      </c>
      <c r="K56" s="16"/>
      <c r="L56" s="16"/>
      <c r="M56" s="13"/>
      <c r="N56" s="13" t="s">
        <v>1372</v>
      </c>
      <c r="O56" s="13" t="s">
        <v>16</v>
      </c>
      <c r="P56" s="13" t="s">
        <v>51</v>
      </c>
      <c r="Q56" s="13" t="s">
        <v>1473</v>
      </c>
      <c r="R56" s="19"/>
      <c r="S56" s="19"/>
      <c r="T56" s="19"/>
      <c r="U56" s="19"/>
    </row>
    <row r="57" spans="1:21" ht="288" x14ac:dyDescent="0.3">
      <c r="A57" s="127">
        <v>56</v>
      </c>
      <c r="B57" s="79" t="str">
        <f t="shared" si="0"/>
        <v>N</v>
      </c>
      <c r="C57" s="79" t="s">
        <v>113</v>
      </c>
      <c r="D57" s="76" t="s">
        <v>1606</v>
      </c>
      <c r="E57" s="82" t="s">
        <v>1607</v>
      </c>
      <c r="F57" s="13" t="s">
        <v>428</v>
      </c>
      <c r="G57" s="79" t="s">
        <v>1608</v>
      </c>
      <c r="H57" s="22">
        <v>400</v>
      </c>
      <c r="I57" s="21"/>
      <c r="J57" s="79" t="s">
        <v>225</v>
      </c>
      <c r="K57" s="16"/>
      <c r="L57" s="16"/>
      <c r="M57" s="13"/>
      <c r="N57" s="13" t="s">
        <v>1372</v>
      </c>
      <c r="O57" s="13" t="s">
        <v>16</v>
      </c>
      <c r="P57" s="13" t="s">
        <v>51</v>
      </c>
      <c r="Q57" s="13" t="s">
        <v>1473</v>
      </c>
      <c r="R57" s="19"/>
      <c r="S57" s="19"/>
      <c r="T57" s="19"/>
      <c r="U57" s="19"/>
    </row>
    <row r="58" spans="1:21" s="20" customFormat="1" x14ac:dyDescent="0.3">
      <c r="A58" s="18"/>
      <c r="B58" s="16"/>
      <c r="C58" s="16"/>
      <c r="D58" s="76"/>
      <c r="E58" s="82"/>
      <c r="F58" s="16"/>
      <c r="G58" s="82"/>
      <c r="H58" s="17"/>
      <c r="I58" s="21"/>
      <c r="J58" s="79"/>
      <c r="K58" s="16"/>
      <c r="L58" s="16"/>
      <c r="M58" s="13"/>
      <c r="N58" s="16"/>
      <c r="O58" s="16"/>
      <c r="P58" s="16"/>
      <c r="Q58" s="16"/>
      <c r="R58" s="16"/>
      <c r="S58" s="16"/>
      <c r="T58" s="16"/>
      <c r="U58" s="16"/>
    </row>
    <row r="59" spans="1:21" s="20" customFormat="1" x14ac:dyDescent="0.3">
      <c r="A59" s="18"/>
      <c r="B59" s="16"/>
      <c r="C59" s="16"/>
      <c r="D59" s="76"/>
      <c r="E59" s="82"/>
      <c r="F59" s="16"/>
      <c r="G59" s="82"/>
      <c r="H59" s="17"/>
      <c r="I59" s="21"/>
      <c r="J59" s="79"/>
      <c r="K59" s="16"/>
      <c r="L59" s="16"/>
      <c r="M59" s="13"/>
      <c r="N59" s="16"/>
      <c r="O59" s="16"/>
      <c r="P59" s="16"/>
      <c r="Q59" s="16"/>
      <c r="R59" s="16"/>
      <c r="S59" s="16"/>
      <c r="T59" s="16"/>
      <c r="U59" s="16"/>
    </row>
    <row r="60" spans="1:21" s="20" customFormat="1" x14ac:dyDescent="0.3">
      <c r="A60" s="18"/>
      <c r="B60" s="16"/>
      <c r="C60" s="16"/>
      <c r="D60" s="76"/>
      <c r="E60" s="82"/>
      <c r="F60" s="16"/>
      <c r="G60" s="82"/>
      <c r="H60" s="17"/>
      <c r="I60" s="21"/>
      <c r="J60" s="79"/>
      <c r="K60" s="16"/>
      <c r="L60" s="16"/>
      <c r="M60" s="13"/>
      <c r="N60" s="16"/>
      <c r="O60" s="16"/>
      <c r="P60" s="16"/>
      <c r="Q60" s="16"/>
      <c r="R60" s="16"/>
      <c r="S60" s="16"/>
      <c r="T60" s="16"/>
      <c r="U60" s="16"/>
    </row>
    <row r="61" spans="1:21" x14ac:dyDescent="0.3">
      <c r="A61" s="15"/>
      <c r="B61" s="16"/>
      <c r="C61" s="16"/>
      <c r="D61" s="76"/>
      <c r="E61" s="82"/>
      <c r="F61" s="16"/>
      <c r="G61" s="82"/>
      <c r="H61" s="17"/>
      <c r="I61" s="21"/>
      <c r="J61" s="79"/>
      <c r="K61" s="16"/>
      <c r="L61" s="16"/>
      <c r="M61" s="16"/>
      <c r="N61" s="16"/>
      <c r="O61" s="16"/>
      <c r="P61" s="16"/>
      <c r="Q61" s="16"/>
      <c r="R61" s="19"/>
      <c r="S61" s="19"/>
      <c r="T61" s="19"/>
      <c r="U61" s="19"/>
    </row>
    <row r="62" spans="1:21" x14ac:dyDescent="0.3">
      <c r="A62" s="15"/>
      <c r="B62" s="16"/>
      <c r="C62" s="16"/>
      <c r="D62" s="76"/>
      <c r="E62" s="82"/>
      <c r="F62" s="16"/>
      <c r="G62" s="82"/>
      <c r="H62" s="17"/>
      <c r="I62" s="21"/>
      <c r="J62" s="79"/>
      <c r="K62" s="16"/>
      <c r="L62" s="16"/>
      <c r="M62" s="16"/>
      <c r="N62" s="16"/>
      <c r="O62" s="16"/>
      <c r="P62" s="16"/>
      <c r="Q62" s="16"/>
      <c r="R62" s="19"/>
      <c r="S62" s="19"/>
      <c r="T62" s="19"/>
      <c r="U62" s="19"/>
    </row>
    <row r="63" spans="1:21" x14ac:dyDescent="0.3">
      <c r="A63" s="15"/>
      <c r="B63" s="16"/>
      <c r="C63" s="16"/>
      <c r="D63" s="76"/>
      <c r="E63" s="82"/>
      <c r="F63" s="16"/>
      <c r="G63" s="82"/>
      <c r="H63" s="17"/>
      <c r="I63" s="21"/>
      <c r="J63" s="79"/>
      <c r="K63" s="16"/>
      <c r="L63" s="16"/>
      <c r="M63" s="16"/>
      <c r="N63" s="16"/>
      <c r="O63" s="16"/>
      <c r="P63" s="16"/>
      <c r="Q63" s="16"/>
      <c r="R63" s="19"/>
      <c r="S63" s="19"/>
      <c r="T63" s="19"/>
      <c r="U63" s="19"/>
    </row>
    <row r="64" spans="1:21" x14ac:dyDescent="0.3">
      <c r="A64" s="15"/>
      <c r="B64" s="16"/>
      <c r="C64" s="16"/>
      <c r="D64" s="76"/>
      <c r="E64" s="82"/>
      <c r="F64" s="16"/>
      <c r="G64" s="82"/>
      <c r="H64" s="17"/>
      <c r="I64" s="21"/>
      <c r="J64" s="79"/>
      <c r="K64" s="16"/>
      <c r="L64" s="16"/>
      <c r="M64" s="16"/>
      <c r="N64" s="16"/>
      <c r="O64" s="16"/>
      <c r="P64" s="16"/>
      <c r="Q64" s="16"/>
      <c r="R64" s="19"/>
      <c r="S64" s="19"/>
      <c r="T64" s="19"/>
      <c r="U64" s="19"/>
    </row>
    <row r="65" spans="1:21" x14ac:dyDescent="0.3">
      <c r="A65" s="15"/>
      <c r="B65" s="16"/>
      <c r="C65" s="16"/>
      <c r="D65" s="76"/>
      <c r="E65" s="82"/>
      <c r="F65" s="16"/>
      <c r="G65" s="82"/>
      <c r="H65" s="17"/>
      <c r="I65" s="21"/>
      <c r="J65" s="79"/>
      <c r="K65" s="16"/>
      <c r="L65" s="16"/>
      <c r="M65" s="16"/>
      <c r="N65" s="16"/>
      <c r="O65" s="16"/>
      <c r="P65" s="16"/>
      <c r="Q65" s="16"/>
      <c r="R65" s="19"/>
      <c r="S65" s="19"/>
      <c r="T65" s="19"/>
      <c r="U65" s="19"/>
    </row>
    <row r="66" spans="1:21" x14ac:dyDescent="0.3">
      <c r="A66" s="15"/>
      <c r="B66" s="16"/>
      <c r="C66" s="16"/>
      <c r="D66" s="76"/>
      <c r="E66" s="82"/>
      <c r="F66" s="16"/>
      <c r="G66" s="82"/>
      <c r="H66" s="17"/>
      <c r="I66" s="21"/>
      <c r="J66" s="79"/>
      <c r="K66" s="16"/>
      <c r="L66" s="16"/>
      <c r="M66" s="16"/>
      <c r="N66" s="16"/>
      <c r="O66" s="16"/>
      <c r="P66" s="16"/>
      <c r="Q66" s="16"/>
      <c r="R66" s="19"/>
      <c r="S66" s="19"/>
      <c r="T66" s="19"/>
      <c r="U66" s="19"/>
    </row>
    <row r="67" spans="1:21" x14ac:dyDescent="0.3">
      <c r="I67" s="21"/>
    </row>
    <row r="68" spans="1:21" x14ac:dyDescent="0.3">
      <c r="I68" s="21"/>
    </row>
    <row r="69" spans="1:21" x14ac:dyDescent="0.3">
      <c r="I69" s="21"/>
    </row>
    <row r="70" spans="1:21" x14ac:dyDescent="0.3">
      <c r="I70" s="21"/>
    </row>
    <row r="71" spans="1:21" x14ac:dyDescent="0.3">
      <c r="I71" s="21"/>
    </row>
    <row r="72" spans="1:21" x14ac:dyDescent="0.3">
      <c r="I72" s="21"/>
    </row>
    <row r="73" spans="1:21" x14ac:dyDescent="0.3">
      <c r="I73" s="15"/>
    </row>
    <row r="74" spans="1:21" x14ac:dyDescent="0.3">
      <c r="I74" s="21"/>
    </row>
    <row r="75" spans="1:21" x14ac:dyDescent="0.3">
      <c r="I75" s="21"/>
    </row>
    <row r="76" spans="1:21" x14ac:dyDescent="0.3">
      <c r="I76" s="21"/>
    </row>
    <row r="77" spans="1:21" x14ac:dyDescent="0.3">
      <c r="I77" s="21"/>
    </row>
    <row r="78" spans="1:21" x14ac:dyDescent="0.3">
      <c r="I78" s="21"/>
    </row>
    <row r="79" spans="1:21" x14ac:dyDescent="0.3">
      <c r="I79" s="21"/>
    </row>
    <row r="80" spans="1:21" x14ac:dyDescent="0.3">
      <c r="I80" s="21"/>
    </row>
    <row r="81" spans="9:9" x14ac:dyDescent="0.3">
      <c r="I81" s="21"/>
    </row>
    <row r="82" spans="9:9" x14ac:dyDescent="0.3">
      <c r="I82" s="21"/>
    </row>
    <row r="83" spans="9:9" x14ac:dyDescent="0.3">
      <c r="I83" s="21"/>
    </row>
    <row r="84" spans="9:9" x14ac:dyDescent="0.3">
      <c r="I84" s="21"/>
    </row>
    <row r="85" spans="9:9" x14ac:dyDescent="0.3">
      <c r="I85" s="21"/>
    </row>
    <row r="86" spans="9:9" x14ac:dyDescent="0.3">
      <c r="I86" s="21"/>
    </row>
    <row r="87" spans="9:9" x14ac:dyDescent="0.3">
      <c r="I87" s="21"/>
    </row>
    <row r="88" spans="9:9" x14ac:dyDescent="0.3">
      <c r="I88" s="21"/>
    </row>
    <row r="89" spans="9:9" x14ac:dyDescent="0.3">
      <c r="I89" s="21"/>
    </row>
    <row r="90" spans="9:9" x14ac:dyDescent="0.3">
      <c r="I90" s="21"/>
    </row>
    <row r="91" spans="9:9" x14ac:dyDescent="0.3">
      <c r="I91" s="21"/>
    </row>
    <row r="92" spans="9:9" x14ac:dyDescent="0.3">
      <c r="I92" s="21"/>
    </row>
    <row r="93" spans="9:9" x14ac:dyDescent="0.3">
      <c r="I93" s="21"/>
    </row>
    <row r="94" spans="9:9" x14ac:dyDescent="0.3">
      <c r="I94" s="15"/>
    </row>
    <row r="95" spans="9:9" x14ac:dyDescent="0.3">
      <c r="I95" s="21"/>
    </row>
    <row r="96" spans="9:9" x14ac:dyDescent="0.3">
      <c r="I96" s="21"/>
    </row>
    <row r="97" spans="9:9" x14ac:dyDescent="0.3">
      <c r="I97" s="21"/>
    </row>
    <row r="98" spans="9:9" x14ac:dyDescent="0.3">
      <c r="I98" s="21"/>
    </row>
    <row r="99" spans="9:9" x14ac:dyDescent="0.3">
      <c r="I99" s="21"/>
    </row>
    <row r="100" spans="9:9" x14ac:dyDescent="0.3">
      <c r="I100" s="21"/>
    </row>
    <row r="101" spans="9:9" x14ac:dyDescent="0.3">
      <c r="I101" s="21"/>
    </row>
    <row r="102" spans="9:9" x14ac:dyDescent="0.3">
      <c r="I102" s="21"/>
    </row>
    <row r="103" spans="9:9" x14ac:dyDescent="0.3">
      <c r="I103" s="21"/>
    </row>
    <row r="104" spans="9:9" x14ac:dyDescent="0.3">
      <c r="I104" s="21"/>
    </row>
    <row r="105" spans="9:9" x14ac:dyDescent="0.3">
      <c r="I105" s="21"/>
    </row>
    <row r="106" spans="9:9" x14ac:dyDescent="0.3">
      <c r="I106" s="21"/>
    </row>
    <row r="107" spans="9:9" x14ac:dyDescent="0.3">
      <c r="I107" s="21"/>
    </row>
    <row r="108" spans="9:9" x14ac:dyDescent="0.3">
      <c r="I108" s="21"/>
    </row>
    <row r="109" spans="9:9" x14ac:dyDescent="0.3">
      <c r="I109" s="21"/>
    </row>
    <row r="110" spans="9:9" x14ac:dyDescent="0.3">
      <c r="I110" s="21"/>
    </row>
    <row r="111" spans="9:9" x14ac:dyDescent="0.3">
      <c r="I111" s="21"/>
    </row>
    <row r="112" spans="9:9" x14ac:dyDescent="0.3">
      <c r="I112" s="21"/>
    </row>
    <row r="113" spans="9:9" x14ac:dyDescent="0.3">
      <c r="I113" s="15"/>
    </row>
    <row r="114" spans="9:9" x14ac:dyDescent="0.3">
      <c r="I114"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outlinePr summaryBelow="0"/>
  </sheetPr>
  <dimension ref="A1:AO303"/>
  <sheetViews>
    <sheetView tabSelected="1" zoomScale="70" zoomScaleNormal="70" workbookViewId="0">
      <pane ySplit="1" topLeftCell="A289" activePane="bottomLeft" state="frozen"/>
      <selection activeCell="I1" sqref="I1"/>
      <selection pane="bottomLeft" activeCell="E292" sqref="E292"/>
    </sheetView>
  </sheetViews>
  <sheetFormatPr defaultColWidth="9.109375" defaultRowHeight="14.4" x14ac:dyDescent="0.3"/>
  <cols>
    <col min="1" max="1" width="7.5546875" style="97" bestFit="1" customWidth="1"/>
    <col min="2" max="2" width="18.33203125" style="77" bestFit="1" customWidth="1"/>
    <col min="3" max="3" width="11.44140625" style="97" bestFit="1" customWidth="1"/>
    <col min="4" max="4" width="33.88671875" style="77" customWidth="1"/>
    <col min="5" max="5" width="70" style="84" customWidth="1"/>
    <col min="6" max="6" width="34.44140625" style="80" customWidth="1"/>
    <col min="7" max="7" width="48.88671875" style="96" customWidth="1"/>
    <col min="8" max="8" width="19.88671875" style="97" bestFit="1" customWidth="1"/>
    <col min="9" max="9" width="19.88671875" style="27" customWidth="1"/>
    <col min="10" max="10" width="30.109375" style="77" bestFit="1" customWidth="1"/>
    <col min="11" max="11" width="28" style="97" bestFit="1" customWidth="1"/>
    <col min="12" max="12" width="11.44140625" style="80" bestFit="1" customWidth="1"/>
    <col min="13" max="13" width="16" style="80" bestFit="1" customWidth="1"/>
    <col min="14" max="14" width="12.44140625" style="80" bestFit="1" customWidth="1"/>
    <col min="15" max="15" width="22" style="97" bestFit="1" customWidth="1"/>
    <col min="16" max="16" width="26.6640625" style="97" customWidth="1"/>
    <col min="17" max="17" width="31.88671875" style="97" customWidth="1"/>
    <col min="18" max="19" width="22.44140625" style="97" customWidth="1"/>
    <col min="20" max="20" width="16.109375" style="77" bestFit="1" customWidth="1"/>
    <col min="21" max="21" width="18" style="80" bestFit="1" customWidth="1"/>
    <col min="22" max="22" width="29.6640625" style="77" bestFit="1" customWidth="1"/>
    <col min="23" max="23" width="28.33203125" style="77" bestFit="1" customWidth="1"/>
    <col min="24" max="24" width="17.88671875" style="77" bestFit="1" customWidth="1"/>
    <col min="25" max="25" width="29" style="86" bestFit="1" customWidth="1"/>
    <col min="26" max="26" width="32.109375" style="77" customWidth="1"/>
    <col min="27" max="27" width="15.6640625" style="77" bestFit="1" customWidth="1"/>
    <col min="28" max="28" width="17.88671875" style="77" bestFit="1" customWidth="1"/>
    <col min="29" max="29" width="19.33203125" style="77" bestFit="1" customWidth="1"/>
    <col min="30" max="30" width="21.33203125" style="77" bestFit="1" customWidth="1"/>
    <col min="31" max="31" width="16.44140625" style="77" bestFit="1" customWidth="1"/>
    <col min="32" max="32" width="19" style="77" bestFit="1" customWidth="1"/>
    <col min="33" max="33" width="15.6640625" style="77" bestFit="1" customWidth="1"/>
    <col min="34" max="34" width="23.109375" style="77" bestFit="1" customWidth="1"/>
    <col min="35" max="35" width="14.33203125" style="77" bestFit="1" customWidth="1"/>
    <col min="36" max="16384" width="9.109375" style="97"/>
  </cols>
  <sheetData>
    <row r="1" spans="1:41" s="96" customFormat="1" ht="43.2" x14ac:dyDescent="0.3">
      <c r="A1" s="87" t="s">
        <v>24</v>
      </c>
      <c r="B1" s="78" t="s">
        <v>25</v>
      </c>
      <c r="C1" s="78" t="s">
        <v>26</v>
      </c>
      <c r="D1" s="75" t="s">
        <v>27</v>
      </c>
      <c r="E1" s="78" t="s">
        <v>28</v>
      </c>
      <c r="F1" s="78" t="s">
        <v>29</v>
      </c>
      <c r="G1" s="81" t="s">
        <v>30</v>
      </c>
      <c r="H1" s="87" t="s">
        <v>31</v>
      </c>
      <c r="I1" s="3" t="s">
        <v>1947</v>
      </c>
      <c r="J1" s="88" t="s">
        <v>461</v>
      </c>
      <c r="K1" s="88" t="s">
        <v>32</v>
      </c>
      <c r="L1" s="89" t="s">
        <v>33</v>
      </c>
      <c r="M1" s="89" t="s">
        <v>35</v>
      </c>
      <c r="N1" s="89" t="s">
        <v>34</v>
      </c>
      <c r="O1" s="89" t="s">
        <v>36</v>
      </c>
      <c r="P1" s="89" t="s">
        <v>37</v>
      </c>
      <c r="Q1" s="89" t="s">
        <v>151</v>
      </c>
      <c r="R1" s="89" t="s">
        <v>38</v>
      </c>
      <c r="S1" s="89" t="s">
        <v>2169</v>
      </c>
      <c r="T1" s="90" t="s">
        <v>462</v>
      </c>
      <c r="U1" s="90" t="s">
        <v>40</v>
      </c>
      <c r="V1" s="91" t="s">
        <v>463</v>
      </c>
      <c r="W1" s="90" t="s">
        <v>464</v>
      </c>
      <c r="X1" s="90" t="s">
        <v>465</v>
      </c>
      <c r="Y1" s="92" t="s">
        <v>466</v>
      </c>
      <c r="Z1" s="90" t="s">
        <v>467</v>
      </c>
      <c r="AA1" s="93" t="s">
        <v>468</v>
      </c>
      <c r="AB1" s="90" t="s">
        <v>469</v>
      </c>
      <c r="AC1" s="94" t="s">
        <v>1992</v>
      </c>
      <c r="AD1" s="94" t="s">
        <v>470</v>
      </c>
      <c r="AE1" s="90" t="s">
        <v>471</v>
      </c>
      <c r="AF1" s="90" t="s">
        <v>472</v>
      </c>
      <c r="AG1" s="90" t="s">
        <v>473</v>
      </c>
      <c r="AH1" s="90" t="s">
        <v>474</v>
      </c>
      <c r="AI1" s="90" t="s">
        <v>475</v>
      </c>
      <c r="AJ1" s="95" t="s">
        <v>476</v>
      </c>
      <c r="AK1" s="95" t="s">
        <v>477</v>
      </c>
      <c r="AL1" s="95" t="s">
        <v>41</v>
      </c>
      <c r="AM1" s="95" t="s">
        <v>42</v>
      </c>
      <c r="AN1" s="95" t="s">
        <v>43</v>
      </c>
      <c r="AO1" s="95" t="s">
        <v>44</v>
      </c>
    </row>
    <row r="2" spans="1:41" ht="302.39999999999998" x14ac:dyDescent="0.3">
      <c r="A2" s="77">
        <v>1</v>
      </c>
      <c r="B2" s="77" t="str">
        <f>C2</f>
        <v>Y</v>
      </c>
      <c r="C2" s="77" t="s">
        <v>45</v>
      </c>
      <c r="D2" s="77" t="s">
        <v>1609</v>
      </c>
      <c r="E2" s="80" t="s">
        <v>1610</v>
      </c>
      <c r="F2" s="80" t="s">
        <v>480</v>
      </c>
      <c r="G2" s="80" t="s">
        <v>1611</v>
      </c>
      <c r="H2" s="257">
        <v>200</v>
      </c>
      <c r="I2" s="131"/>
      <c r="J2" s="259" t="s">
        <v>50</v>
      </c>
      <c r="K2" s="259" t="s">
        <v>482</v>
      </c>
      <c r="L2" s="259" t="s">
        <v>51</v>
      </c>
      <c r="M2" s="259" t="s">
        <v>13</v>
      </c>
      <c r="N2" s="259" t="s">
        <v>10</v>
      </c>
      <c r="O2" s="259" t="s">
        <v>1372</v>
      </c>
      <c r="P2" s="259" t="s">
        <v>16</v>
      </c>
      <c r="Q2" s="259" t="s">
        <v>952</v>
      </c>
      <c r="R2" s="259" t="s">
        <v>51</v>
      </c>
      <c r="S2" s="260"/>
      <c r="T2" s="259" t="s">
        <v>484</v>
      </c>
      <c r="U2" s="259" t="s">
        <v>55</v>
      </c>
      <c r="V2" s="261" t="s">
        <v>2277</v>
      </c>
      <c r="W2" s="259" t="s">
        <v>2278</v>
      </c>
      <c r="X2" s="261" t="s">
        <v>486</v>
      </c>
      <c r="Y2" s="262" t="s">
        <v>2279</v>
      </c>
      <c r="Z2" s="261" t="s">
        <v>955</v>
      </c>
      <c r="AA2" s="259">
        <v>1</v>
      </c>
      <c r="AB2" s="261" t="s">
        <v>488</v>
      </c>
      <c r="AC2" s="261" t="s">
        <v>489</v>
      </c>
      <c r="AD2" s="261" t="s">
        <v>490</v>
      </c>
      <c r="AE2" s="261" t="s">
        <v>491</v>
      </c>
      <c r="AF2" s="261" t="s">
        <v>492</v>
      </c>
      <c r="AG2" s="261" t="s">
        <v>493</v>
      </c>
      <c r="AH2" s="261" t="s">
        <v>494</v>
      </c>
      <c r="AI2" s="261" t="s">
        <v>495</v>
      </c>
    </row>
    <row r="3" spans="1:41" ht="316.8" x14ac:dyDescent="0.3">
      <c r="A3" s="77">
        <v>2</v>
      </c>
      <c r="B3" s="77" t="str">
        <f t="shared" ref="B3:B108" si="0">C3</f>
        <v>Y</v>
      </c>
      <c r="C3" s="77" t="s">
        <v>45</v>
      </c>
      <c r="D3" s="77" t="s">
        <v>1612</v>
      </c>
      <c r="E3" s="80" t="s">
        <v>1613</v>
      </c>
      <c r="F3" s="80" t="s">
        <v>498</v>
      </c>
      <c r="G3" s="80" t="s">
        <v>1614</v>
      </c>
      <c r="H3" s="257">
        <v>200</v>
      </c>
      <c r="I3" s="131"/>
      <c r="J3" s="259" t="s">
        <v>50</v>
      </c>
      <c r="K3" s="259" t="s">
        <v>482</v>
      </c>
      <c r="L3" s="259" t="s">
        <v>51</v>
      </c>
      <c r="M3" s="259" t="s">
        <v>13</v>
      </c>
      <c r="N3" s="259" t="s">
        <v>10</v>
      </c>
      <c r="O3" s="259" t="s">
        <v>1372</v>
      </c>
      <c r="P3" s="259" t="s">
        <v>16</v>
      </c>
      <c r="Q3" s="259" t="s">
        <v>952</v>
      </c>
      <c r="R3" s="259" t="s">
        <v>51</v>
      </c>
      <c r="S3" s="263"/>
      <c r="T3" s="257" t="s">
        <v>484</v>
      </c>
      <c r="U3" s="259" t="s">
        <v>55</v>
      </c>
      <c r="V3" s="261" t="s">
        <v>2277</v>
      </c>
      <c r="W3" s="259" t="s">
        <v>2278</v>
      </c>
      <c r="X3" s="264" t="s">
        <v>517</v>
      </c>
      <c r="Y3" s="265" t="s">
        <v>2280</v>
      </c>
      <c r="Z3" s="257" t="s">
        <v>955</v>
      </c>
      <c r="AA3" s="257">
        <v>2</v>
      </c>
      <c r="AB3" s="261" t="s">
        <v>488</v>
      </c>
      <c r="AC3" s="261" t="s">
        <v>489</v>
      </c>
      <c r="AD3" s="261" t="s">
        <v>490</v>
      </c>
      <c r="AE3" s="261" t="s">
        <v>491</v>
      </c>
      <c r="AF3" s="261" t="s">
        <v>492</v>
      </c>
      <c r="AG3" s="261" t="s">
        <v>493</v>
      </c>
      <c r="AH3" s="261" t="s">
        <v>494</v>
      </c>
      <c r="AI3" s="261" t="s">
        <v>495</v>
      </c>
    </row>
    <row r="4" spans="1:41" ht="316.8" x14ac:dyDescent="0.3">
      <c r="A4" s="77">
        <v>3</v>
      </c>
      <c r="B4" s="77" t="str">
        <f t="shared" si="0"/>
        <v>Y</v>
      </c>
      <c r="C4" s="77" t="s">
        <v>45</v>
      </c>
      <c r="D4" s="77" t="s">
        <v>1615</v>
      </c>
      <c r="E4" s="80" t="s">
        <v>1616</v>
      </c>
      <c r="F4" s="80" t="s">
        <v>502</v>
      </c>
      <c r="G4" s="80" t="s">
        <v>1617</v>
      </c>
      <c r="H4" s="257">
        <v>200</v>
      </c>
      <c r="I4" s="131"/>
      <c r="J4" s="259" t="s">
        <v>50</v>
      </c>
      <c r="K4" s="259" t="s">
        <v>482</v>
      </c>
      <c r="L4" s="259" t="s">
        <v>51</v>
      </c>
      <c r="M4" s="259" t="s">
        <v>13</v>
      </c>
      <c r="N4" s="259" t="s">
        <v>10</v>
      </c>
      <c r="O4" s="259" t="s">
        <v>1372</v>
      </c>
      <c r="P4" s="259" t="s">
        <v>16</v>
      </c>
      <c r="Q4" s="259" t="s">
        <v>952</v>
      </c>
      <c r="R4" s="259" t="s">
        <v>51</v>
      </c>
      <c r="S4" s="263"/>
      <c r="T4" s="257" t="s">
        <v>520</v>
      </c>
      <c r="U4" s="259" t="s">
        <v>55</v>
      </c>
      <c r="V4" s="261" t="s">
        <v>2277</v>
      </c>
      <c r="W4" s="259" t="s">
        <v>2278</v>
      </c>
      <c r="X4" s="266" t="s">
        <v>2281</v>
      </c>
      <c r="Y4" s="267" t="s">
        <v>2282</v>
      </c>
      <c r="Z4" s="257" t="s">
        <v>2283</v>
      </c>
      <c r="AA4" s="257">
        <v>3</v>
      </c>
      <c r="AB4" s="261" t="s">
        <v>488</v>
      </c>
      <c r="AC4" s="261" t="s">
        <v>489</v>
      </c>
      <c r="AD4" s="261" t="s">
        <v>490</v>
      </c>
      <c r="AE4" s="261" t="s">
        <v>491</v>
      </c>
      <c r="AF4" s="261" t="s">
        <v>492</v>
      </c>
      <c r="AG4" s="261" t="s">
        <v>493</v>
      </c>
      <c r="AH4" s="261" t="s">
        <v>494</v>
      </c>
      <c r="AI4" s="261" t="s">
        <v>495</v>
      </c>
    </row>
    <row r="5" spans="1:41" ht="316.8" x14ac:dyDescent="0.3">
      <c r="A5" s="77">
        <v>4</v>
      </c>
      <c r="B5" s="77" t="str">
        <f t="shared" si="0"/>
        <v>Y</v>
      </c>
      <c r="C5" s="77" t="s">
        <v>45</v>
      </c>
      <c r="D5" s="77" t="s">
        <v>1618</v>
      </c>
      <c r="E5" s="80" t="s">
        <v>1619</v>
      </c>
      <c r="F5" s="80" t="s">
        <v>506</v>
      </c>
      <c r="G5" s="80" t="s">
        <v>1617</v>
      </c>
      <c r="H5" s="257">
        <v>200</v>
      </c>
      <c r="I5" s="131"/>
      <c r="J5" s="259" t="s">
        <v>50</v>
      </c>
      <c r="K5" s="259" t="s">
        <v>482</v>
      </c>
      <c r="L5" s="259" t="s">
        <v>51</v>
      </c>
      <c r="M5" s="259" t="s">
        <v>13</v>
      </c>
      <c r="N5" s="259" t="s">
        <v>10</v>
      </c>
      <c r="O5" s="259" t="s">
        <v>1372</v>
      </c>
      <c r="P5" s="259" t="s">
        <v>16</v>
      </c>
      <c r="Q5" s="259" t="s">
        <v>952</v>
      </c>
      <c r="R5" s="259" t="s">
        <v>51</v>
      </c>
      <c r="S5" s="263"/>
      <c r="T5" s="257" t="s">
        <v>171</v>
      </c>
      <c r="U5" s="259" t="s">
        <v>55</v>
      </c>
      <c r="V5" s="261" t="s">
        <v>2277</v>
      </c>
      <c r="W5" s="259" t="s">
        <v>2278</v>
      </c>
      <c r="X5" s="264" t="s">
        <v>964</v>
      </c>
      <c r="Y5" s="265" t="s">
        <v>1159</v>
      </c>
      <c r="Z5" s="257" t="s">
        <v>2284</v>
      </c>
      <c r="AA5" s="257">
        <v>4</v>
      </c>
      <c r="AB5" s="261" t="s">
        <v>488</v>
      </c>
      <c r="AC5" s="261" t="s">
        <v>489</v>
      </c>
      <c r="AD5" s="261" t="s">
        <v>490</v>
      </c>
      <c r="AE5" s="261" t="s">
        <v>491</v>
      </c>
      <c r="AF5" s="261" t="s">
        <v>492</v>
      </c>
      <c r="AG5" s="261" t="s">
        <v>493</v>
      </c>
      <c r="AH5" s="261" t="s">
        <v>494</v>
      </c>
      <c r="AI5" s="261" t="s">
        <v>495</v>
      </c>
    </row>
    <row r="6" spans="1:41" ht="57.6" x14ac:dyDescent="0.3">
      <c r="A6" s="77">
        <v>5</v>
      </c>
      <c r="B6" s="77" t="str">
        <f>C6</f>
        <v>Y</v>
      </c>
      <c r="C6" s="77" t="s">
        <v>45</v>
      </c>
      <c r="D6" s="77" t="s">
        <v>2285</v>
      </c>
      <c r="E6" s="80" t="s">
        <v>2286</v>
      </c>
      <c r="F6" s="80" t="s">
        <v>965</v>
      </c>
      <c r="G6" s="80" t="s">
        <v>1620</v>
      </c>
      <c r="H6" s="257">
        <v>200</v>
      </c>
      <c r="I6" s="131"/>
      <c r="J6" s="259" t="s">
        <v>50</v>
      </c>
      <c r="K6" s="259" t="s">
        <v>482</v>
      </c>
      <c r="L6" s="259" t="s">
        <v>51</v>
      </c>
      <c r="M6" s="259" t="s">
        <v>13</v>
      </c>
      <c r="N6" s="259" t="s">
        <v>10</v>
      </c>
      <c r="O6" s="259" t="s">
        <v>1372</v>
      </c>
      <c r="P6" s="259" t="s">
        <v>16</v>
      </c>
      <c r="Q6" s="259" t="s">
        <v>952</v>
      </c>
      <c r="R6" s="259" t="s">
        <v>51</v>
      </c>
      <c r="S6" s="260"/>
      <c r="T6" s="259" t="s">
        <v>484</v>
      </c>
      <c r="U6" s="259" t="s">
        <v>55</v>
      </c>
      <c r="V6" s="261" t="s">
        <v>2277</v>
      </c>
      <c r="W6" s="259" t="s">
        <v>2278</v>
      </c>
      <c r="X6" s="261" t="s">
        <v>486</v>
      </c>
      <c r="Y6" s="262" t="s">
        <v>2279</v>
      </c>
      <c r="Z6" s="261" t="s">
        <v>955</v>
      </c>
      <c r="AA6" s="261" t="s">
        <v>2293</v>
      </c>
      <c r="AB6" s="261" t="s">
        <v>488</v>
      </c>
      <c r="AC6" s="261" t="s">
        <v>489</v>
      </c>
      <c r="AD6" s="261" t="s">
        <v>490</v>
      </c>
      <c r="AE6" s="261" t="s">
        <v>491</v>
      </c>
      <c r="AF6" s="261" t="s">
        <v>492</v>
      </c>
      <c r="AG6" s="261" t="s">
        <v>493</v>
      </c>
      <c r="AH6" s="261" t="s">
        <v>494</v>
      </c>
      <c r="AI6" s="261" t="s">
        <v>495</v>
      </c>
    </row>
    <row r="7" spans="1:41" ht="57.6" x14ac:dyDescent="0.3">
      <c r="A7" s="77"/>
      <c r="B7" s="77" t="str">
        <f t="shared" ref="B7:B13" si="1">C7</f>
        <v>Y</v>
      </c>
      <c r="C7" s="77" t="s">
        <v>45</v>
      </c>
      <c r="D7" s="77" t="s">
        <v>2290</v>
      </c>
      <c r="E7" s="80" t="s">
        <v>2287</v>
      </c>
      <c r="F7" s="80" t="s">
        <v>965</v>
      </c>
      <c r="G7" s="80" t="s">
        <v>1620</v>
      </c>
      <c r="H7" s="257">
        <v>200</v>
      </c>
      <c r="I7" s="131"/>
      <c r="J7" s="259" t="s">
        <v>50</v>
      </c>
      <c r="K7" s="259" t="s">
        <v>482</v>
      </c>
      <c r="L7" s="259" t="s">
        <v>51</v>
      </c>
      <c r="M7" s="259" t="s">
        <v>13</v>
      </c>
      <c r="N7" s="259" t="s">
        <v>10</v>
      </c>
      <c r="O7" s="259" t="s">
        <v>1372</v>
      </c>
      <c r="P7" s="259" t="s">
        <v>16</v>
      </c>
      <c r="Q7" s="259" t="s">
        <v>952</v>
      </c>
      <c r="R7" s="259" t="s">
        <v>51</v>
      </c>
      <c r="S7" s="263"/>
      <c r="T7" s="257" t="s">
        <v>484</v>
      </c>
      <c r="U7" s="259" t="s">
        <v>55</v>
      </c>
      <c r="V7" s="261" t="s">
        <v>2277</v>
      </c>
      <c r="W7" s="259" t="s">
        <v>2278</v>
      </c>
      <c r="X7" s="264" t="s">
        <v>517</v>
      </c>
      <c r="Y7" s="265" t="s">
        <v>2280</v>
      </c>
      <c r="Z7" s="257" t="s">
        <v>955</v>
      </c>
      <c r="AA7" s="261" t="s">
        <v>2293</v>
      </c>
      <c r="AB7" s="261" t="s">
        <v>488</v>
      </c>
      <c r="AC7" s="261" t="s">
        <v>489</v>
      </c>
      <c r="AD7" s="261" t="s">
        <v>490</v>
      </c>
      <c r="AE7" s="261" t="s">
        <v>491</v>
      </c>
      <c r="AF7" s="261" t="s">
        <v>492</v>
      </c>
      <c r="AG7" s="261" t="s">
        <v>493</v>
      </c>
      <c r="AH7" s="261" t="s">
        <v>494</v>
      </c>
      <c r="AI7" s="261" t="s">
        <v>495</v>
      </c>
    </row>
    <row r="8" spans="1:41" ht="57.6" x14ac:dyDescent="0.3">
      <c r="A8" s="77"/>
      <c r="B8" s="77" t="str">
        <f t="shared" si="1"/>
        <v>Y</v>
      </c>
      <c r="C8" s="77" t="s">
        <v>45</v>
      </c>
      <c r="D8" s="77" t="s">
        <v>2291</v>
      </c>
      <c r="E8" s="80" t="s">
        <v>2288</v>
      </c>
      <c r="F8" s="80" t="s">
        <v>965</v>
      </c>
      <c r="G8" s="80" t="s">
        <v>1620</v>
      </c>
      <c r="H8" s="257">
        <v>200</v>
      </c>
      <c r="I8" s="131"/>
      <c r="J8" s="259" t="s">
        <v>50</v>
      </c>
      <c r="K8" s="259" t="s">
        <v>482</v>
      </c>
      <c r="L8" s="259" t="s">
        <v>51</v>
      </c>
      <c r="M8" s="259" t="s">
        <v>13</v>
      </c>
      <c r="N8" s="259" t="s">
        <v>10</v>
      </c>
      <c r="O8" s="259" t="s">
        <v>1372</v>
      </c>
      <c r="P8" s="259" t="s">
        <v>16</v>
      </c>
      <c r="Q8" s="259" t="s">
        <v>952</v>
      </c>
      <c r="R8" s="259" t="s">
        <v>51</v>
      </c>
      <c r="S8" s="263"/>
      <c r="T8" s="257" t="s">
        <v>520</v>
      </c>
      <c r="U8" s="259" t="s">
        <v>55</v>
      </c>
      <c r="V8" s="261" t="s">
        <v>2277</v>
      </c>
      <c r="W8" s="259" t="s">
        <v>2278</v>
      </c>
      <c r="X8" s="266" t="s">
        <v>2281</v>
      </c>
      <c r="Y8" s="267" t="s">
        <v>2282</v>
      </c>
      <c r="Z8" s="257" t="s">
        <v>2283</v>
      </c>
      <c r="AA8" s="261" t="s">
        <v>2293</v>
      </c>
      <c r="AB8" s="261" t="s">
        <v>488</v>
      </c>
      <c r="AC8" s="261" t="s">
        <v>489</v>
      </c>
      <c r="AD8" s="261" t="s">
        <v>490</v>
      </c>
      <c r="AE8" s="261" t="s">
        <v>491</v>
      </c>
      <c r="AF8" s="261" t="s">
        <v>492</v>
      </c>
      <c r="AG8" s="261" t="s">
        <v>493</v>
      </c>
      <c r="AH8" s="261" t="s">
        <v>494</v>
      </c>
      <c r="AI8" s="261" t="s">
        <v>495</v>
      </c>
    </row>
    <row r="9" spans="1:41" ht="57.6" x14ac:dyDescent="0.3">
      <c r="A9" s="77"/>
      <c r="B9" s="77" t="str">
        <f t="shared" si="1"/>
        <v>Y</v>
      </c>
      <c r="C9" s="77" t="s">
        <v>45</v>
      </c>
      <c r="D9" s="77" t="s">
        <v>2292</v>
      </c>
      <c r="E9" s="80" t="s">
        <v>2289</v>
      </c>
      <c r="F9" s="80" t="s">
        <v>965</v>
      </c>
      <c r="G9" s="80" t="s">
        <v>1620</v>
      </c>
      <c r="H9" s="257">
        <v>200</v>
      </c>
      <c r="I9" s="131"/>
      <c r="J9" s="259" t="s">
        <v>50</v>
      </c>
      <c r="K9" s="259" t="s">
        <v>482</v>
      </c>
      <c r="L9" s="259" t="s">
        <v>51</v>
      </c>
      <c r="M9" s="259" t="s">
        <v>13</v>
      </c>
      <c r="N9" s="259" t="s">
        <v>10</v>
      </c>
      <c r="O9" s="259" t="s">
        <v>1372</v>
      </c>
      <c r="P9" s="259" t="s">
        <v>16</v>
      </c>
      <c r="Q9" s="259" t="s">
        <v>952</v>
      </c>
      <c r="R9" s="259" t="s">
        <v>51</v>
      </c>
      <c r="S9" s="263"/>
      <c r="T9" s="257" t="s">
        <v>171</v>
      </c>
      <c r="U9" s="259" t="s">
        <v>55</v>
      </c>
      <c r="V9" s="261" t="s">
        <v>2277</v>
      </c>
      <c r="W9" s="259" t="s">
        <v>2278</v>
      </c>
      <c r="X9" s="264" t="s">
        <v>964</v>
      </c>
      <c r="Y9" s="265" t="s">
        <v>1159</v>
      </c>
      <c r="Z9" s="257" t="s">
        <v>2284</v>
      </c>
      <c r="AA9" s="261" t="s">
        <v>2293</v>
      </c>
      <c r="AB9" s="261" t="s">
        <v>488</v>
      </c>
      <c r="AC9" s="261" t="s">
        <v>489</v>
      </c>
      <c r="AD9" s="261" t="s">
        <v>490</v>
      </c>
      <c r="AE9" s="261" t="s">
        <v>491</v>
      </c>
      <c r="AF9" s="261" t="s">
        <v>492</v>
      </c>
      <c r="AG9" s="261" t="s">
        <v>493</v>
      </c>
      <c r="AH9" s="261" t="s">
        <v>494</v>
      </c>
      <c r="AI9" s="261" t="s">
        <v>495</v>
      </c>
    </row>
    <row r="10" spans="1:41" ht="57.6" x14ac:dyDescent="0.3">
      <c r="A10" s="77">
        <v>6</v>
      </c>
      <c r="B10" s="77" t="str">
        <f t="shared" si="1"/>
        <v>Y</v>
      </c>
      <c r="C10" s="77" t="s">
        <v>45</v>
      </c>
      <c r="D10" s="77" t="s">
        <v>2294</v>
      </c>
      <c r="E10" s="80" t="s">
        <v>2298</v>
      </c>
      <c r="F10" s="80" t="s">
        <v>967</v>
      </c>
      <c r="G10" s="80" t="s">
        <v>1620</v>
      </c>
      <c r="H10" s="257">
        <v>200</v>
      </c>
      <c r="I10" s="131"/>
      <c r="J10" s="259" t="s">
        <v>50</v>
      </c>
      <c r="K10" s="259" t="s">
        <v>482</v>
      </c>
      <c r="L10" s="259" t="s">
        <v>51</v>
      </c>
      <c r="M10" s="259" t="s">
        <v>13</v>
      </c>
      <c r="N10" s="259" t="s">
        <v>10</v>
      </c>
      <c r="O10" s="259" t="s">
        <v>1372</v>
      </c>
      <c r="P10" s="259" t="s">
        <v>16</v>
      </c>
      <c r="Q10" s="259" t="s">
        <v>952</v>
      </c>
      <c r="R10" s="259" t="s">
        <v>51</v>
      </c>
      <c r="S10" s="260"/>
      <c r="T10" s="259" t="s">
        <v>484</v>
      </c>
      <c r="U10" s="259" t="s">
        <v>55</v>
      </c>
      <c r="V10" s="261" t="s">
        <v>2277</v>
      </c>
      <c r="W10" s="259" t="s">
        <v>2278</v>
      </c>
      <c r="X10" s="261" t="s">
        <v>486</v>
      </c>
      <c r="Y10" s="262" t="s">
        <v>2279</v>
      </c>
      <c r="Z10" s="261" t="s">
        <v>955</v>
      </c>
      <c r="AA10" s="261" t="s">
        <v>2019</v>
      </c>
      <c r="AB10" s="261" t="s">
        <v>488</v>
      </c>
      <c r="AC10" s="261" t="s">
        <v>489</v>
      </c>
      <c r="AD10" s="261" t="s">
        <v>490</v>
      </c>
      <c r="AE10" s="261" t="s">
        <v>491</v>
      </c>
      <c r="AF10" s="261" t="s">
        <v>492</v>
      </c>
      <c r="AG10" s="261" t="s">
        <v>493</v>
      </c>
      <c r="AH10" s="261" t="s">
        <v>494</v>
      </c>
      <c r="AI10" s="261" t="s">
        <v>495</v>
      </c>
    </row>
    <row r="11" spans="1:41" ht="57.6" x14ac:dyDescent="0.3">
      <c r="A11" s="77"/>
      <c r="B11" s="77" t="str">
        <f t="shared" si="1"/>
        <v>Y</v>
      </c>
      <c r="C11" s="77" t="s">
        <v>45</v>
      </c>
      <c r="D11" s="77" t="s">
        <v>2295</v>
      </c>
      <c r="E11" s="80" t="s">
        <v>2299</v>
      </c>
      <c r="F11" s="80" t="s">
        <v>967</v>
      </c>
      <c r="G11" s="80" t="s">
        <v>1620</v>
      </c>
      <c r="H11" s="257">
        <v>200</v>
      </c>
      <c r="I11" s="131"/>
      <c r="J11" s="259" t="s">
        <v>50</v>
      </c>
      <c r="K11" s="259" t="s">
        <v>482</v>
      </c>
      <c r="L11" s="259" t="s">
        <v>51</v>
      </c>
      <c r="M11" s="259" t="s">
        <v>13</v>
      </c>
      <c r="N11" s="259" t="s">
        <v>10</v>
      </c>
      <c r="O11" s="259" t="s">
        <v>1372</v>
      </c>
      <c r="P11" s="259" t="s">
        <v>16</v>
      </c>
      <c r="Q11" s="259" t="s">
        <v>952</v>
      </c>
      <c r="R11" s="259" t="s">
        <v>51</v>
      </c>
      <c r="S11" s="263"/>
      <c r="T11" s="257" t="s">
        <v>484</v>
      </c>
      <c r="U11" s="259" t="s">
        <v>55</v>
      </c>
      <c r="V11" s="261" t="s">
        <v>2277</v>
      </c>
      <c r="W11" s="259" t="s">
        <v>2278</v>
      </c>
      <c r="X11" s="264" t="s">
        <v>517</v>
      </c>
      <c r="Y11" s="265" t="s">
        <v>2280</v>
      </c>
      <c r="Z11" s="257" t="s">
        <v>955</v>
      </c>
      <c r="AA11" s="261" t="s">
        <v>2019</v>
      </c>
      <c r="AB11" s="261" t="s">
        <v>488</v>
      </c>
      <c r="AC11" s="261" t="s">
        <v>489</v>
      </c>
      <c r="AD11" s="261" t="s">
        <v>490</v>
      </c>
      <c r="AE11" s="261" t="s">
        <v>491</v>
      </c>
      <c r="AF11" s="261" t="s">
        <v>492</v>
      </c>
      <c r="AG11" s="261" t="s">
        <v>493</v>
      </c>
      <c r="AH11" s="261" t="s">
        <v>494</v>
      </c>
      <c r="AI11" s="261" t="s">
        <v>495</v>
      </c>
    </row>
    <row r="12" spans="1:41" ht="57.6" x14ac:dyDescent="0.3">
      <c r="A12" s="77"/>
      <c r="B12" s="77" t="str">
        <f t="shared" si="1"/>
        <v>Y</v>
      </c>
      <c r="C12" s="77" t="s">
        <v>45</v>
      </c>
      <c r="D12" s="77" t="s">
        <v>2296</v>
      </c>
      <c r="E12" s="80" t="s">
        <v>2300</v>
      </c>
      <c r="F12" s="80" t="s">
        <v>967</v>
      </c>
      <c r="G12" s="80" t="s">
        <v>1620</v>
      </c>
      <c r="H12" s="257">
        <v>200</v>
      </c>
      <c r="I12" s="131"/>
      <c r="J12" s="259" t="s">
        <v>50</v>
      </c>
      <c r="K12" s="259" t="s">
        <v>482</v>
      </c>
      <c r="L12" s="259" t="s">
        <v>51</v>
      </c>
      <c r="M12" s="259" t="s">
        <v>13</v>
      </c>
      <c r="N12" s="259" t="s">
        <v>10</v>
      </c>
      <c r="O12" s="259" t="s">
        <v>1372</v>
      </c>
      <c r="P12" s="259" t="s">
        <v>16</v>
      </c>
      <c r="Q12" s="259" t="s">
        <v>952</v>
      </c>
      <c r="R12" s="259" t="s">
        <v>51</v>
      </c>
      <c r="S12" s="263"/>
      <c r="T12" s="257" t="s">
        <v>520</v>
      </c>
      <c r="U12" s="259" t="s">
        <v>55</v>
      </c>
      <c r="V12" s="261" t="s">
        <v>2277</v>
      </c>
      <c r="W12" s="259" t="s">
        <v>2278</v>
      </c>
      <c r="X12" s="266" t="s">
        <v>2281</v>
      </c>
      <c r="Y12" s="267" t="s">
        <v>2282</v>
      </c>
      <c r="Z12" s="257" t="s">
        <v>2283</v>
      </c>
      <c r="AA12" s="261" t="s">
        <v>2019</v>
      </c>
      <c r="AB12" s="261" t="s">
        <v>488</v>
      </c>
      <c r="AC12" s="261" t="s">
        <v>489</v>
      </c>
      <c r="AD12" s="261" t="s">
        <v>490</v>
      </c>
      <c r="AE12" s="261" t="s">
        <v>491</v>
      </c>
      <c r="AF12" s="261" t="s">
        <v>492</v>
      </c>
      <c r="AG12" s="261" t="s">
        <v>493</v>
      </c>
      <c r="AH12" s="261" t="s">
        <v>494</v>
      </c>
      <c r="AI12" s="261" t="s">
        <v>495</v>
      </c>
    </row>
    <row r="13" spans="1:41" ht="57.6" x14ac:dyDescent="0.3">
      <c r="A13" s="77"/>
      <c r="B13" s="77" t="str">
        <f t="shared" si="1"/>
        <v>Y</v>
      </c>
      <c r="C13" s="77" t="s">
        <v>45</v>
      </c>
      <c r="D13" s="77" t="s">
        <v>2297</v>
      </c>
      <c r="E13" s="80" t="s">
        <v>2301</v>
      </c>
      <c r="F13" s="80" t="s">
        <v>967</v>
      </c>
      <c r="G13" s="80" t="s">
        <v>1620</v>
      </c>
      <c r="H13" s="257">
        <v>200</v>
      </c>
      <c r="I13" s="131"/>
      <c r="J13" s="259" t="s">
        <v>50</v>
      </c>
      <c r="K13" s="259" t="s">
        <v>482</v>
      </c>
      <c r="L13" s="259" t="s">
        <v>51</v>
      </c>
      <c r="M13" s="259" t="s">
        <v>13</v>
      </c>
      <c r="N13" s="259" t="s">
        <v>10</v>
      </c>
      <c r="O13" s="259" t="s">
        <v>1372</v>
      </c>
      <c r="P13" s="259" t="s">
        <v>16</v>
      </c>
      <c r="Q13" s="259" t="s">
        <v>952</v>
      </c>
      <c r="R13" s="259" t="s">
        <v>51</v>
      </c>
      <c r="S13" s="263"/>
      <c r="T13" s="257" t="s">
        <v>171</v>
      </c>
      <c r="U13" s="259" t="s">
        <v>55</v>
      </c>
      <c r="V13" s="261" t="s">
        <v>2277</v>
      </c>
      <c r="W13" s="259" t="s">
        <v>2278</v>
      </c>
      <c r="X13" s="264" t="s">
        <v>964</v>
      </c>
      <c r="Y13" s="265" t="s">
        <v>1159</v>
      </c>
      <c r="Z13" s="257" t="s">
        <v>2284</v>
      </c>
      <c r="AA13" s="261" t="s">
        <v>2019</v>
      </c>
      <c r="AB13" s="261" t="s">
        <v>488</v>
      </c>
      <c r="AC13" s="261" t="s">
        <v>489</v>
      </c>
      <c r="AD13" s="261" t="s">
        <v>490</v>
      </c>
      <c r="AE13" s="261" t="s">
        <v>491</v>
      </c>
      <c r="AF13" s="261" t="s">
        <v>492</v>
      </c>
      <c r="AG13" s="261" t="s">
        <v>493</v>
      </c>
      <c r="AH13" s="261" t="s">
        <v>494</v>
      </c>
      <c r="AI13" s="261" t="s">
        <v>495</v>
      </c>
    </row>
    <row r="14" spans="1:41" ht="72" x14ac:dyDescent="0.3">
      <c r="A14" s="268">
        <v>7</v>
      </c>
      <c r="B14" s="268" t="str">
        <f t="shared" si="0"/>
        <v>N</v>
      </c>
      <c r="C14" s="268" t="s">
        <v>113</v>
      </c>
      <c r="D14" s="268" t="s">
        <v>1621</v>
      </c>
      <c r="E14" s="170" t="s">
        <v>1622</v>
      </c>
      <c r="F14" s="170" t="s">
        <v>970</v>
      </c>
      <c r="G14" s="170" t="s">
        <v>1623</v>
      </c>
      <c r="H14" s="268"/>
      <c r="I14" s="172"/>
      <c r="J14" s="268"/>
      <c r="K14" s="268"/>
      <c r="L14" s="170"/>
      <c r="M14" s="170"/>
      <c r="N14" s="170"/>
      <c r="O14" s="268"/>
      <c r="P14" s="268"/>
      <c r="Q14" s="268"/>
      <c r="R14" s="268"/>
      <c r="S14" s="269"/>
      <c r="T14" s="268"/>
      <c r="U14" s="170"/>
      <c r="V14" s="268"/>
      <c r="W14" s="268"/>
      <c r="X14" s="268"/>
      <c r="Y14" s="270"/>
      <c r="Z14" s="268"/>
      <c r="AA14" s="268"/>
      <c r="AB14" s="268"/>
      <c r="AC14" s="268"/>
      <c r="AD14" s="268"/>
      <c r="AE14" s="268"/>
      <c r="AF14" s="268"/>
      <c r="AG14" s="268"/>
      <c r="AH14" s="268"/>
      <c r="AI14" s="268"/>
    </row>
    <row r="15" spans="1:41" ht="57.6" x14ac:dyDescent="0.3">
      <c r="A15" s="268">
        <v>8</v>
      </c>
      <c r="B15" s="268" t="str">
        <f t="shared" si="0"/>
        <v>N</v>
      </c>
      <c r="C15" s="268" t="s">
        <v>113</v>
      </c>
      <c r="D15" s="268" t="s">
        <v>1624</v>
      </c>
      <c r="E15" s="170" t="s">
        <v>1625</v>
      </c>
      <c r="F15" s="170" t="s">
        <v>974</v>
      </c>
      <c r="G15" s="170" t="s">
        <v>1626</v>
      </c>
      <c r="H15" s="268"/>
      <c r="I15" s="172"/>
      <c r="J15" s="268"/>
      <c r="K15" s="268"/>
      <c r="L15" s="170"/>
      <c r="M15" s="170"/>
      <c r="N15" s="170"/>
      <c r="O15" s="268"/>
      <c r="P15" s="268"/>
      <c r="Q15" s="268"/>
      <c r="R15" s="268"/>
      <c r="S15" s="269"/>
      <c r="T15" s="268"/>
      <c r="U15" s="170"/>
      <c r="V15" s="268"/>
      <c r="W15" s="268"/>
      <c r="X15" s="268"/>
      <c r="Y15" s="270"/>
      <c r="Z15" s="268"/>
      <c r="AA15" s="268"/>
      <c r="AB15" s="268"/>
      <c r="AC15" s="268"/>
      <c r="AD15" s="268"/>
      <c r="AE15" s="268"/>
      <c r="AF15" s="268"/>
      <c r="AG15" s="268"/>
      <c r="AH15" s="268"/>
      <c r="AI15" s="268"/>
    </row>
    <row r="16" spans="1:41" ht="201.6" x14ac:dyDescent="0.3">
      <c r="A16" s="77">
        <v>9</v>
      </c>
      <c r="B16" s="77" t="str">
        <f t="shared" si="0"/>
        <v>Y</v>
      </c>
      <c r="C16" s="77" t="s">
        <v>45</v>
      </c>
      <c r="D16" s="77" t="s">
        <v>2302</v>
      </c>
      <c r="E16" s="80" t="s">
        <v>2304</v>
      </c>
      <c r="F16" s="80" t="s">
        <v>978</v>
      </c>
      <c r="G16" s="80" t="s">
        <v>1627</v>
      </c>
      <c r="H16" s="257">
        <v>200</v>
      </c>
      <c r="I16" s="131"/>
      <c r="J16" s="259" t="s">
        <v>50</v>
      </c>
      <c r="K16" s="259" t="s">
        <v>482</v>
      </c>
      <c r="L16" s="259" t="s">
        <v>51</v>
      </c>
      <c r="M16" s="259" t="s">
        <v>13</v>
      </c>
      <c r="N16" s="259" t="s">
        <v>10</v>
      </c>
      <c r="O16" s="259" t="s">
        <v>1372</v>
      </c>
      <c r="P16" s="259" t="s">
        <v>16</v>
      </c>
      <c r="Q16" s="259" t="s">
        <v>952</v>
      </c>
      <c r="R16" s="259" t="s">
        <v>51</v>
      </c>
      <c r="S16" s="260"/>
      <c r="T16" s="259" t="s">
        <v>484</v>
      </c>
      <c r="U16" s="259" t="s">
        <v>55</v>
      </c>
      <c r="V16" s="261" t="s">
        <v>2277</v>
      </c>
      <c r="W16" s="259" t="s">
        <v>2278</v>
      </c>
      <c r="X16" s="261" t="s">
        <v>486</v>
      </c>
      <c r="Y16" s="262" t="s">
        <v>2306</v>
      </c>
      <c r="Z16" s="261" t="s">
        <v>955</v>
      </c>
      <c r="AA16" s="259">
        <v>1</v>
      </c>
      <c r="AB16" s="261" t="s">
        <v>488</v>
      </c>
      <c r="AC16" s="261" t="s">
        <v>489</v>
      </c>
      <c r="AD16" s="261" t="s">
        <v>490</v>
      </c>
      <c r="AE16" s="261" t="s">
        <v>491</v>
      </c>
      <c r="AF16" s="261" t="s">
        <v>492</v>
      </c>
      <c r="AG16" s="261" t="s">
        <v>493</v>
      </c>
      <c r="AH16" s="261" t="s">
        <v>494</v>
      </c>
      <c r="AI16" s="261" t="s">
        <v>495</v>
      </c>
    </row>
    <row r="17" spans="1:35" ht="201.6" x14ac:dyDescent="0.3">
      <c r="A17" s="77">
        <v>10</v>
      </c>
      <c r="B17" s="77" t="str">
        <f t="shared" ref="B17" si="2">C17</f>
        <v>Y</v>
      </c>
      <c r="C17" s="77" t="s">
        <v>45</v>
      </c>
      <c r="D17" s="77" t="s">
        <v>2303</v>
      </c>
      <c r="E17" s="80" t="s">
        <v>2305</v>
      </c>
      <c r="F17" s="80" t="s">
        <v>978</v>
      </c>
      <c r="G17" s="80" t="s">
        <v>1627</v>
      </c>
      <c r="H17" s="257">
        <v>200</v>
      </c>
      <c r="I17" s="131"/>
      <c r="J17" s="259" t="s">
        <v>50</v>
      </c>
      <c r="K17" s="259" t="s">
        <v>482</v>
      </c>
      <c r="L17" s="259" t="s">
        <v>51</v>
      </c>
      <c r="M17" s="259" t="s">
        <v>13</v>
      </c>
      <c r="N17" s="259" t="s">
        <v>10</v>
      </c>
      <c r="O17" s="259" t="s">
        <v>1372</v>
      </c>
      <c r="P17" s="259" t="s">
        <v>16</v>
      </c>
      <c r="Q17" s="259" t="s">
        <v>952</v>
      </c>
      <c r="R17" s="259" t="s">
        <v>51</v>
      </c>
      <c r="S17" s="263"/>
      <c r="T17" s="257" t="s">
        <v>484</v>
      </c>
      <c r="U17" s="259" t="s">
        <v>55</v>
      </c>
      <c r="V17" s="261" t="s">
        <v>2277</v>
      </c>
      <c r="W17" s="259" t="s">
        <v>2278</v>
      </c>
      <c r="X17" s="264" t="s">
        <v>517</v>
      </c>
      <c r="Y17" s="265" t="s">
        <v>2307</v>
      </c>
      <c r="Z17" s="257" t="s">
        <v>955</v>
      </c>
      <c r="AA17" s="257">
        <v>2</v>
      </c>
      <c r="AB17" s="261" t="s">
        <v>488</v>
      </c>
      <c r="AC17" s="261" t="s">
        <v>489</v>
      </c>
      <c r="AD17" s="261" t="s">
        <v>490</v>
      </c>
      <c r="AE17" s="261" t="s">
        <v>491</v>
      </c>
      <c r="AF17" s="261" t="s">
        <v>492</v>
      </c>
      <c r="AG17" s="261" t="s">
        <v>493</v>
      </c>
      <c r="AH17" s="261" t="s">
        <v>494</v>
      </c>
      <c r="AI17" s="261" t="s">
        <v>495</v>
      </c>
    </row>
    <row r="18" spans="1:35" ht="216" x14ac:dyDescent="0.3">
      <c r="A18" s="268">
        <v>10</v>
      </c>
      <c r="B18" s="268" t="str">
        <f t="shared" si="0"/>
        <v>N</v>
      </c>
      <c r="C18" s="268" t="s">
        <v>113</v>
      </c>
      <c r="D18" s="268" t="s">
        <v>1628</v>
      </c>
      <c r="E18" s="170" t="s">
        <v>1629</v>
      </c>
      <c r="F18" s="170" t="s">
        <v>1630</v>
      </c>
      <c r="G18" s="170" t="s">
        <v>1631</v>
      </c>
      <c r="H18" s="268">
        <v>202</v>
      </c>
      <c r="I18" s="172"/>
      <c r="J18" s="268"/>
      <c r="K18" s="268"/>
      <c r="L18" s="170"/>
      <c r="M18" s="170"/>
      <c r="N18" s="170"/>
      <c r="O18" s="268"/>
      <c r="P18" s="268"/>
      <c r="Q18" s="268"/>
      <c r="R18" s="268"/>
      <c r="S18" s="269"/>
      <c r="T18" s="268"/>
      <c r="U18" s="170"/>
      <c r="V18" s="268"/>
      <c r="W18" s="268"/>
      <c r="X18" s="268"/>
      <c r="Y18" s="270"/>
      <c r="Z18" s="268"/>
      <c r="AA18" s="268"/>
      <c r="AB18" s="268"/>
      <c r="AC18" s="268"/>
      <c r="AD18" s="268"/>
      <c r="AE18" s="268"/>
      <c r="AF18" s="268"/>
      <c r="AG18" s="268"/>
      <c r="AH18" s="268"/>
      <c r="AI18" s="268"/>
    </row>
    <row r="19" spans="1:35" ht="216" x14ac:dyDescent="0.3">
      <c r="A19" s="268">
        <v>11</v>
      </c>
      <c r="B19" s="268" t="str">
        <f t="shared" si="0"/>
        <v>N</v>
      </c>
      <c r="C19" s="268" t="s">
        <v>113</v>
      </c>
      <c r="D19" s="268" t="s">
        <v>1632</v>
      </c>
      <c r="E19" s="170" t="s">
        <v>1633</v>
      </c>
      <c r="F19" s="170" t="s">
        <v>1634</v>
      </c>
      <c r="G19" s="170" t="s">
        <v>1631</v>
      </c>
      <c r="H19" s="268">
        <v>202</v>
      </c>
      <c r="I19" s="172"/>
      <c r="J19" s="268"/>
      <c r="K19" s="268"/>
      <c r="L19" s="170"/>
      <c r="M19" s="170"/>
      <c r="N19" s="170"/>
      <c r="O19" s="268"/>
      <c r="P19" s="268"/>
      <c r="Q19" s="268"/>
      <c r="R19" s="268"/>
      <c r="S19" s="269"/>
      <c r="T19" s="268"/>
      <c r="U19" s="170"/>
      <c r="V19" s="268"/>
      <c r="W19" s="268"/>
      <c r="X19" s="268"/>
      <c r="Y19" s="270"/>
      <c r="Z19" s="268"/>
      <c r="AA19" s="268"/>
      <c r="AB19" s="268"/>
      <c r="AC19" s="268"/>
      <c r="AD19" s="268"/>
      <c r="AE19" s="268"/>
      <c r="AF19" s="268"/>
      <c r="AG19" s="268"/>
      <c r="AH19" s="268"/>
      <c r="AI19" s="268"/>
    </row>
    <row r="20" spans="1:35" ht="230.4" x14ac:dyDescent="0.3">
      <c r="A20" s="77">
        <v>12</v>
      </c>
      <c r="B20" s="77" t="str">
        <f t="shared" si="0"/>
        <v>Y</v>
      </c>
      <c r="C20" s="77" t="s">
        <v>45</v>
      </c>
      <c r="D20" s="77" t="s">
        <v>1635</v>
      </c>
      <c r="E20" s="80" t="s">
        <v>1636</v>
      </c>
      <c r="F20" s="80" t="s">
        <v>1637</v>
      </c>
      <c r="G20" s="80" t="s">
        <v>1638</v>
      </c>
      <c r="H20" s="77">
        <v>200</v>
      </c>
      <c r="I20" s="131"/>
      <c r="J20" s="259" t="s">
        <v>50</v>
      </c>
      <c r="K20" s="259" t="s">
        <v>482</v>
      </c>
      <c r="L20" s="259" t="s">
        <v>51</v>
      </c>
      <c r="M20" s="259" t="s">
        <v>13</v>
      </c>
      <c r="N20" s="259" t="s">
        <v>10</v>
      </c>
      <c r="O20" s="259" t="s">
        <v>1372</v>
      </c>
      <c r="P20" s="259" t="s">
        <v>16</v>
      </c>
      <c r="Q20" s="259" t="s">
        <v>952</v>
      </c>
      <c r="R20" s="259" t="s">
        <v>51</v>
      </c>
      <c r="S20" s="260"/>
      <c r="T20" s="259" t="s">
        <v>484</v>
      </c>
      <c r="U20" s="259" t="s">
        <v>55</v>
      </c>
      <c r="V20" s="261" t="s">
        <v>2277</v>
      </c>
      <c r="W20" s="259" t="s">
        <v>2278</v>
      </c>
      <c r="X20" s="261" t="s">
        <v>486</v>
      </c>
      <c r="Y20" s="258" t="s">
        <v>2160</v>
      </c>
      <c r="Z20" s="261" t="s">
        <v>955</v>
      </c>
      <c r="AA20" s="259">
        <v>1</v>
      </c>
      <c r="AB20" s="261" t="s">
        <v>488</v>
      </c>
      <c r="AC20" s="261" t="s">
        <v>489</v>
      </c>
      <c r="AD20" s="261" t="s">
        <v>490</v>
      </c>
      <c r="AE20" s="261" t="s">
        <v>491</v>
      </c>
      <c r="AF20" s="261" t="s">
        <v>492</v>
      </c>
      <c r="AG20" s="261" t="s">
        <v>493</v>
      </c>
      <c r="AH20" s="261" t="s">
        <v>494</v>
      </c>
      <c r="AI20" s="261" t="s">
        <v>495</v>
      </c>
    </row>
    <row r="21" spans="1:35" ht="43.2" x14ac:dyDescent="0.3">
      <c r="A21" s="77">
        <v>13</v>
      </c>
      <c r="B21" s="77" t="str">
        <f t="shared" si="0"/>
        <v>Y</v>
      </c>
      <c r="C21" s="77" t="s">
        <v>45</v>
      </c>
      <c r="D21" s="77" t="s">
        <v>2308</v>
      </c>
      <c r="E21" s="80" t="s">
        <v>2312</v>
      </c>
      <c r="F21" s="80" t="s">
        <v>989</v>
      </c>
      <c r="G21" s="80" t="s">
        <v>514</v>
      </c>
      <c r="H21" s="77">
        <v>400</v>
      </c>
      <c r="I21" s="131" t="s">
        <v>2031</v>
      </c>
      <c r="J21" s="259" t="s">
        <v>50</v>
      </c>
      <c r="K21" s="259" t="s">
        <v>482</v>
      </c>
      <c r="L21" s="259" t="s">
        <v>51</v>
      </c>
      <c r="M21" s="259" t="s">
        <v>13</v>
      </c>
      <c r="N21" s="259" t="s">
        <v>10</v>
      </c>
      <c r="O21" s="259" t="s">
        <v>1372</v>
      </c>
      <c r="P21" s="259" t="s">
        <v>16</v>
      </c>
      <c r="Q21" s="259" t="s">
        <v>952</v>
      </c>
      <c r="R21" s="259" t="s">
        <v>51</v>
      </c>
      <c r="S21" s="260"/>
      <c r="T21" s="259" t="s">
        <v>484</v>
      </c>
      <c r="U21" s="259" t="s">
        <v>55</v>
      </c>
      <c r="V21" s="261" t="s">
        <v>2277</v>
      </c>
      <c r="W21" s="259" t="s">
        <v>2278</v>
      </c>
      <c r="X21" s="261" t="s">
        <v>486</v>
      </c>
      <c r="Y21" s="262" t="s">
        <v>2279</v>
      </c>
      <c r="Z21" s="261" t="s">
        <v>955</v>
      </c>
      <c r="AA21" s="261" t="s">
        <v>2028</v>
      </c>
      <c r="AB21" s="261" t="s">
        <v>488</v>
      </c>
      <c r="AC21" s="261" t="s">
        <v>489</v>
      </c>
      <c r="AD21" s="261" t="s">
        <v>490</v>
      </c>
      <c r="AE21" s="261" t="s">
        <v>491</v>
      </c>
      <c r="AF21" s="261" t="s">
        <v>492</v>
      </c>
      <c r="AG21" s="261" t="s">
        <v>493</v>
      </c>
      <c r="AH21" s="261" t="s">
        <v>494</v>
      </c>
      <c r="AI21" s="261" t="s">
        <v>495</v>
      </c>
    </row>
    <row r="22" spans="1:35" ht="43.2" x14ac:dyDescent="0.3">
      <c r="A22" s="77"/>
      <c r="B22" s="77" t="str">
        <f t="shared" ref="B22:B24" si="3">C22</f>
        <v>Y</v>
      </c>
      <c r="C22" s="77" t="s">
        <v>45</v>
      </c>
      <c r="D22" s="77" t="s">
        <v>2309</v>
      </c>
      <c r="E22" s="80" t="s">
        <v>2313</v>
      </c>
      <c r="F22" s="80" t="s">
        <v>989</v>
      </c>
      <c r="G22" s="80" t="s">
        <v>514</v>
      </c>
      <c r="H22" s="77">
        <v>400</v>
      </c>
      <c r="I22" s="131" t="s">
        <v>2031</v>
      </c>
      <c r="J22" s="259" t="s">
        <v>50</v>
      </c>
      <c r="K22" s="259" t="s">
        <v>482</v>
      </c>
      <c r="L22" s="259" t="s">
        <v>51</v>
      </c>
      <c r="M22" s="259" t="s">
        <v>13</v>
      </c>
      <c r="N22" s="259" t="s">
        <v>10</v>
      </c>
      <c r="O22" s="259" t="s">
        <v>1372</v>
      </c>
      <c r="P22" s="259" t="s">
        <v>16</v>
      </c>
      <c r="Q22" s="259" t="s">
        <v>952</v>
      </c>
      <c r="R22" s="259" t="s">
        <v>51</v>
      </c>
      <c r="S22" s="263"/>
      <c r="T22" s="257" t="s">
        <v>484</v>
      </c>
      <c r="U22" s="259" t="s">
        <v>55</v>
      </c>
      <c r="V22" s="261" t="s">
        <v>2277</v>
      </c>
      <c r="W22" s="259" t="s">
        <v>2278</v>
      </c>
      <c r="X22" s="264" t="s">
        <v>517</v>
      </c>
      <c r="Y22" s="265" t="s">
        <v>2280</v>
      </c>
      <c r="Z22" s="257" t="s">
        <v>955</v>
      </c>
      <c r="AA22" s="261" t="s">
        <v>2028</v>
      </c>
      <c r="AB22" s="261" t="s">
        <v>488</v>
      </c>
      <c r="AC22" s="261" t="s">
        <v>489</v>
      </c>
      <c r="AD22" s="261" t="s">
        <v>490</v>
      </c>
      <c r="AE22" s="261" t="s">
        <v>491</v>
      </c>
      <c r="AF22" s="261" t="s">
        <v>492</v>
      </c>
      <c r="AG22" s="261" t="s">
        <v>493</v>
      </c>
      <c r="AH22" s="261" t="s">
        <v>494</v>
      </c>
      <c r="AI22" s="261" t="s">
        <v>495</v>
      </c>
    </row>
    <row r="23" spans="1:35" ht="43.2" x14ac:dyDescent="0.3">
      <c r="A23" s="77"/>
      <c r="B23" s="77" t="str">
        <f t="shared" si="3"/>
        <v>Y</v>
      </c>
      <c r="C23" s="77" t="s">
        <v>45</v>
      </c>
      <c r="D23" s="77" t="s">
        <v>2310</v>
      </c>
      <c r="E23" s="80" t="s">
        <v>2314</v>
      </c>
      <c r="F23" s="80" t="s">
        <v>989</v>
      </c>
      <c r="G23" s="80" t="s">
        <v>514</v>
      </c>
      <c r="H23" s="77">
        <v>400</v>
      </c>
      <c r="I23" s="131" t="s">
        <v>2031</v>
      </c>
      <c r="J23" s="259" t="s">
        <v>50</v>
      </c>
      <c r="K23" s="259" t="s">
        <v>482</v>
      </c>
      <c r="L23" s="259" t="s">
        <v>51</v>
      </c>
      <c r="M23" s="259" t="s">
        <v>13</v>
      </c>
      <c r="N23" s="259" t="s">
        <v>10</v>
      </c>
      <c r="O23" s="259" t="s">
        <v>1372</v>
      </c>
      <c r="P23" s="259" t="s">
        <v>16</v>
      </c>
      <c r="Q23" s="259" t="s">
        <v>952</v>
      </c>
      <c r="R23" s="259" t="s">
        <v>51</v>
      </c>
      <c r="S23" s="263"/>
      <c r="T23" s="257" t="s">
        <v>520</v>
      </c>
      <c r="U23" s="259" t="s">
        <v>55</v>
      </c>
      <c r="V23" s="261" t="s">
        <v>2277</v>
      </c>
      <c r="W23" s="259" t="s">
        <v>2278</v>
      </c>
      <c r="X23" s="266" t="s">
        <v>2281</v>
      </c>
      <c r="Y23" s="267" t="s">
        <v>2282</v>
      </c>
      <c r="Z23" s="257" t="s">
        <v>2283</v>
      </c>
      <c r="AA23" s="261" t="s">
        <v>2028</v>
      </c>
      <c r="AB23" s="261" t="s">
        <v>488</v>
      </c>
      <c r="AC23" s="261" t="s">
        <v>489</v>
      </c>
      <c r="AD23" s="261" t="s">
        <v>490</v>
      </c>
      <c r="AE23" s="261" t="s">
        <v>491</v>
      </c>
      <c r="AF23" s="261" t="s">
        <v>492</v>
      </c>
      <c r="AG23" s="261" t="s">
        <v>493</v>
      </c>
      <c r="AH23" s="261" t="s">
        <v>494</v>
      </c>
      <c r="AI23" s="261" t="s">
        <v>495</v>
      </c>
    </row>
    <row r="24" spans="1:35" ht="43.2" x14ac:dyDescent="0.3">
      <c r="A24" s="77"/>
      <c r="B24" s="77" t="str">
        <f t="shared" si="3"/>
        <v>Y</v>
      </c>
      <c r="C24" s="77" t="s">
        <v>45</v>
      </c>
      <c r="D24" s="77" t="s">
        <v>2311</v>
      </c>
      <c r="E24" s="80" t="s">
        <v>2315</v>
      </c>
      <c r="F24" s="80" t="s">
        <v>989</v>
      </c>
      <c r="G24" s="80" t="s">
        <v>514</v>
      </c>
      <c r="H24" s="77">
        <v>400</v>
      </c>
      <c r="I24" s="131" t="s">
        <v>2031</v>
      </c>
      <c r="J24" s="259" t="s">
        <v>50</v>
      </c>
      <c r="K24" s="259" t="s">
        <v>482</v>
      </c>
      <c r="L24" s="259" t="s">
        <v>51</v>
      </c>
      <c r="M24" s="259" t="s">
        <v>13</v>
      </c>
      <c r="N24" s="259" t="s">
        <v>10</v>
      </c>
      <c r="O24" s="259" t="s">
        <v>1372</v>
      </c>
      <c r="P24" s="259" t="s">
        <v>16</v>
      </c>
      <c r="Q24" s="259" t="s">
        <v>952</v>
      </c>
      <c r="R24" s="259" t="s">
        <v>51</v>
      </c>
      <c r="S24" s="263"/>
      <c r="T24" s="257" t="s">
        <v>171</v>
      </c>
      <c r="U24" s="259" t="s">
        <v>55</v>
      </c>
      <c r="V24" s="261" t="s">
        <v>2277</v>
      </c>
      <c r="W24" s="259" t="s">
        <v>2278</v>
      </c>
      <c r="X24" s="264" t="s">
        <v>964</v>
      </c>
      <c r="Y24" s="265" t="s">
        <v>1159</v>
      </c>
      <c r="Z24" s="257" t="s">
        <v>2284</v>
      </c>
      <c r="AA24" s="261" t="s">
        <v>2028</v>
      </c>
      <c r="AB24" s="261" t="s">
        <v>488</v>
      </c>
      <c r="AC24" s="261" t="s">
        <v>489</v>
      </c>
      <c r="AD24" s="261" t="s">
        <v>490</v>
      </c>
      <c r="AE24" s="261" t="s">
        <v>491</v>
      </c>
      <c r="AF24" s="261" t="s">
        <v>492</v>
      </c>
      <c r="AG24" s="261" t="s">
        <v>493</v>
      </c>
      <c r="AH24" s="261" t="s">
        <v>494</v>
      </c>
      <c r="AI24" s="261" t="s">
        <v>495</v>
      </c>
    </row>
    <row r="25" spans="1:35" ht="43.2" x14ac:dyDescent="0.3">
      <c r="A25" s="77">
        <v>14</v>
      </c>
      <c r="B25" s="77" t="str">
        <f t="shared" ref="B25" si="4">C25</f>
        <v>Y</v>
      </c>
      <c r="C25" s="77" t="s">
        <v>45</v>
      </c>
      <c r="D25" s="77" t="s">
        <v>2316</v>
      </c>
      <c r="E25" s="80" t="s">
        <v>2317</v>
      </c>
      <c r="F25" s="80" t="s">
        <v>990</v>
      </c>
      <c r="G25" s="80" t="s">
        <v>514</v>
      </c>
      <c r="H25" s="77">
        <v>400</v>
      </c>
      <c r="I25" s="131" t="s">
        <v>2031</v>
      </c>
      <c r="J25" s="259" t="s">
        <v>50</v>
      </c>
      <c r="K25" s="259" t="s">
        <v>482</v>
      </c>
      <c r="L25" s="259" t="s">
        <v>51</v>
      </c>
      <c r="M25" s="259" t="s">
        <v>13</v>
      </c>
      <c r="N25" s="259" t="s">
        <v>10</v>
      </c>
      <c r="O25" s="259" t="s">
        <v>1372</v>
      </c>
      <c r="P25" s="259" t="s">
        <v>16</v>
      </c>
      <c r="Q25" s="259" t="s">
        <v>952</v>
      </c>
      <c r="R25" s="259" t="s">
        <v>51</v>
      </c>
      <c r="S25" s="260"/>
      <c r="T25" s="259" t="s">
        <v>484</v>
      </c>
      <c r="U25" s="259" t="s">
        <v>55</v>
      </c>
      <c r="V25" s="261" t="s">
        <v>2277</v>
      </c>
      <c r="W25" s="259" t="s">
        <v>2278</v>
      </c>
      <c r="X25" s="261" t="s">
        <v>486</v>
      </c>
      <c r="Y25" s="262" t="s">
        <v>2279</v>
      </c>
      <c r="Z25" s="261" t="s">
        <v>955</v>
      </c>
      <c r="AA25" s="261" t="s">
        <v>2324</v>
      </c>
      <c r="AB25" s="261" t="s">
        <v>488</v>
      </c>
      <c r="AC25" s="261" t="s">
        <v>489</v>
      </c>
      <c r="AD25" s="261" t="s">
        <v>490</v>
      </c>
      <c r="AE25" s="261" t="s">
        <v>491</v>
      </c>
      <c r="AF25" s="261" t="s">
        <v>492</v>
      </c>
      <c r="AG25" s="261" t="s">
        <v>493</v>
      </c>
      <c r="AH25" s="261" t="s">
        <v>494</v>
      </c>
      <c r="AI25" s="261" t="s">
        <v>495</v>
      </c>
    </row>
    <row r="26" spans="1:35" ht="43.2" x14ac:dyDescent="0.3">
      <c r="A26" s="77"/>
      <c r="B26" s="77" t="str">
        <f t="shared" ref="B26:B28" si="5">C26</f>
        <v>Y</v>
      </c>
      <c r="C26" s="77" t="s">
        <v>45</v>
      </c>
      <c r="D26" s="77" t="s">
        <v>2318</v>
      </c>
      <c r="E26" s="80" t="s">
        <v>2321</v>
      </c>
      <c r="F26" s="80" t="s">
        <v>990</v>
      </c>
      <c r="G26" s="80" t="s">
        <v>514</v>
      </c>
      <c r="H26" s="77">
        <v>400</v>
      </c>
      <c r="I26" s="131" t="s">
        <v>2031</v>
      </c>
      <c r="J26" s="259" t="s">
        <v>50</v>
      </c>
      <c r="K26" s="259" t="s">
        <v>482</v>
      </c>
      <c r="L26" s="259" t="s">
        <v>51</v>
      </c>
      <c r="M26" s="259" t="s">
        <v>13</v>
      </c>
      <c r="N26" s="259" t="s">
        <v>10</v>
      </c>
      <c r="O26" s="259" t="s">
        <v>1372</v>
      </c>
      <c r="P26" s="259" t="s">
        <v>16</v>
      </c>
      <c r="Q26" s="259" t="s">
        <v>952</v>
      </c>
      <c r="R26" s="259" t="s">
        <v>51</v>
      </c>
      <c r="S26" s="263"/>
      <c r="T26" s="257" t="s">
        <v>484</v>
      </c>
      <c r="U26" s="259" t="s">
        <v>55</v>
      </c>
      <c r="V26" s="261" t="s">
        <v>2277</v>
      </c>
      <c r="W26" s="259" t="s">
        <v>2278</v>
      </c>
      <c r="X26" s="264" t="s">
        <v>517</v>
      </c>
      <c r="Y26" s="265" t="s">
        <v>2280</v>
      </c>
      <c r="Z26" s="257" t="s">
        <v>955</v>
      </c>
      <c r="AA26" s="261" t="s">
        <v>2324</v>
      </c>
      <c r="AB26" s="261" t="s">
        <v>488</v>
      </c>
      <c r="AC26" s="261" t="s">
        <v>489</v>
      </c>
      <c r="AD26" s="261" t="s">
        <v>490</v>
      </c>
      <c r="AE26" s="261" t="s">
        <v>491</v>
      </c>
      <c r="AF26" s="261" t="s">
        <v>492</v>
      </c>
      <c r="AG26" s="261" t="s">
        <v>493</v>
      </c>
      <c r="AH26" s="261" t="s">
        <v>494</v>
      </c>
      <c r="AI26" s="261" t="s">
        <v>495</v>
      </c>
    </row>
    <row r="27" spans="1:35" ht="43.2" x14ac:dyDescent="0.3">
      <c r="A27" s="77"/>
      <c r="B27" s="77" t="str">
        <f t="shared" si="5"/>
        <v>Y</v>
      </c>
      <c r="C27" s="77" t="s">
        <v>45</v>
      </c>
      <c r="D27" s="77" t="s">
        <v>2319</v>
      </c>
      <c r="E27" s="80" t="s">
        <v>2322</v>
      </c>
      <c r="F27" s="80" t="s">
        <v>990</v>
      </c>
      <c r="G27" s="80" t="s">
        <v>514</v>
      </c>
      <c r="H27" s="77">
        <v>400</v>
      </c>
      <c r="I27" s="131" t="s">
        <v>2031</v>
      </c>
      <c r="J27" s="259" t="s">
        <v>50</v>
      </c>
      <c r="K27" s="259" t="s">
        <v>482</v>
      </c>
      <c r="L27" s="259" t="s">
        <v>51</v>
      </c>
      <c r="M27" s="259" t="s">
        <v>13</v>
      </c>
      <c r="N27" s="259" t="s">
        <v>10</v>
      </c>
      <c r="O27" s="259" t="s">
        <v>1372</v>
      </c>
      <c r="P27" s="259" t="s">
        <v>16</v>
      </c>
      <c r="Q27" s="259" t="s">
        <v>952</v>
      </c>
      <c r="R27" s="259" t="s">
        <v>51</v>
      </c>
      <c r="S27" s="263"/>
      <c r="T27" s="257" t="s">
        <v>520</v>
      </c>
      <c r="U27" s="259" t="s">
        <v>55</v>
      </c>
      <c r="V27" s="261" t="s">
        <v>2277</v>
      </c>
      <c r="W27" s="259" t="s">
        <v>2278</v>
      </c>
      <c r="X27" s="266" t="s">
        <v>2281</v>
      </c>
      <c r="Y27" s="267" t="s">
        <v>2282</v>
      </c>
      <c r="Z27" s="257" t="s">
        <v>2283</v>
      </c>
      <c r="AA27" s="261" t="s">
        <v>2324</v>
      </c>
      <c r="AB27" s="261" t="s">
        <v>488</v>
      </c>
      <c r="AC27" s="261" t="s">
        <v>489</v>
      </c>
      <c r="AD27" s="261" t="s">
        <v>490</v>
      </c>
      <c r="AE27" s="261" t="s">
        <v>491</v>
      </c>
      <c r="AF27" s="261" t="s">
        <v>492</v>
      </c>
      <c r="AG27" s="261" t="s">
        <v>493</v>
      </c>
      <c r="AH27" s="261" t="s">
        <v>494</v>
      </c>
      <c r="AI27" s="261" t="s">
        <v>495</v>
      </c>
    </row>
    <row r="28" spans="1:35" ht="43.2" x14ac:dyDescent="0.3">
      <c r="A28" s="77"/>
      <c r="B28" s="77" t="str">
        <f t="shared" si="5"/>
        <v>Y</v>
      </c>
      <c r="C28" s="77" t="s">
        <v>45</v>
      </c>
      <c r="D28" s="77" t="s">
        <v>2320</v>
      </c>
      <c r="E28" s="80" t="s">
        <v>2323</v>
      </c>
      <c r="F28" s="80" t="s">
        <v>990</v>
      </c>
      <c r="G28" s="80" t="s">
        <v>514</v>
      </c>
      <c r="H28" s="77">
        <v>400</v>
      </c>
      <c r="I28" s="131" t="s">
        <v>2031</v>
      </c>
      <c r="J28" s="259" t="s">
        <v>50</v>
      </c>
      <c r="K28" s="259" t="s">
        <v>482</v>
      </c>
      <c r="L28" s="259" t="s">
        <v>51</v>
      </c>
      <c r="M28" s="259" t="s">
        <v>13</v>
      </c>
      <c r="N28" s="259" t="s">
        <v>10</v>
      </c>
      <c r="O28" s="259" t="s">
        <v>1372</v>
      </c>
      <c r="P28" s="259" t="s">
        <v>16</v>
      </c>
      <c r="Q28" s="259" t="s">
        <v>952</v>
      </c>
      <c r="R28" s="259" t="s">
        <v>51</v>
      </c>
      <c r="S28" s="263"/>
      <c r="T28" s="257" t="s">
        <v>171</v>
      </c>
      <c r="U28" s="259" t="s">
        <v>55</v>
      </c>
      <c r="V28" s="261" t="s">
        <v>2277</v>
      </c>
      <c r="W28" s="259" t="s">
        <v>2278</v>
      </c>
      <c r="X28" s="264" t="s">
        <v>964</v>
      </c>
      <c r="Y28" s="265" t="s">
        <v>1159</v>
      </c>
      <c r="Z28" s="257" t="s">
        <v>2284</v>
      </c>
      <c r="AA28" s="261" t="s">
        <v>2324</v>
      </c>
      <c r="AB28" s="261" t="s">
        <v>488</v>
      </c>
      <c r="AC28" s="261" t="s">
        <v>489</v>
      </c>
      <c r="AD28" s="261" t="s">
        <v>490</v>
      </c>
      <c r="AE28" s="261" t="s">
        <v>491</v>
      </c>
      <c r="AF28" s="261" t="s">
        <v>492</v>
      </c>
      <c r="AG28" s="261" t="s">
        <v>493</v>
      </c>
      <c r="AH28" s="261" t="s">
        <v>494</v>
      </c>
      <c r="AI28" s="261" t="s">
        <v>495</v>
      </c>
    </row>
    <row r="29" spans="1:35" ht="43.2" x14ac:dyDescent="0.3">
      <c r="A29" s="77">
        <v>15</v>
      </c>
      <c r="B29" s="77" t="str">
        <f t="shared" si="0"/>
        <v>Y</v>
      </c>
      <c r="C29" s="77" t="s">
        <v>45</v>
      </c>
      <c r="D29" s="77" t="s">
        <v>2325</v>
      </c>
      <c r="E29" s="80" t="s">
        <v>2329</v>
      </c>
      <c r="F29" s="80" t="s">
        <v>991</v>
      </c>
      <c r="G29" s="80" t="s">
        <v>2333</v>
      </c>
      <c r="H29" s="126">
        <v>200</v>
      </c>
      <c r="I29" s="127"/>
      <c r="J29" s="259" t="s">
        <v>50</v>
      </c>
      <c r="K29" s="259" t="s">
        <v>482</v>
      </c>
      <c r="L29" s="259" t="s">
        <v>51</v>
      </c>
      <c r="M29" s="259" t="s">
        <v>13</v>
      </c>
      <c r="N29" s="259" t="s">
        <v>10</v>
      </c>
      <c r="O29" s="259" t="s">
        <v>1372</v>
      </c>
      <c r="P29" s="259" t="s">
        <v>16</v>
      </c>
      <c r="Q29" s="259" t="s">
        <v>952</v>
      </c>
      <c r="R29" s="259" t="s">
        <v>51</v>
      </c>
      <c r="S29" s="260"/>
      <c r="T29" s="259" t="s">
        <v>484</v>
      </c>
      <c r="U29" s="259" t="s">
        <v>55</v>
      </c>
      <c r="V29" s="271" t="s">
        <v>2338</v>
      </c>
      <c r="W29" s="259" t="s">
        <v>2278</v>
      </c>
      <c r="X29" s="261" t="s">
        <v>486</v>
      </c>
      <c r="Y29" s="262" t="s">
        <v>2279</v>
      </c>
      <c r="Z29" s="261" t="s">
        <v>955</v>
      </c>
      <c r="AA29" s="261" t="s">
        <v>2334</v>
      </c>
      <c r="AB29" s="261" t="s">
        <v>488</v>
      </c>
      <c r="AC29" s="261" t="s">
        <v>489</v>
      </c>
      <c r="AD29" s="261" t="s">
        <v>490</v>
      </c>
      <c r="AE29" s="261" t="s">
        <v>491</v>
      </c>
      <c r="AF29" s="261" t="s">
        <v>492</v>
      </c>
      <c r="AG29" s="261" t="s">
        <v>493</v>
      </c>
      <c r="AH29" s="261" t="s">
        <v>494</v>
      </c>
      <c r="AI29" s="261" t="s">
        <v>495</v>
      </c>
    </row>
    <row r="30" spans="1:35" ht="43.2" x14ac:dyDescent="0.3">
      <c r="A30" s="77"/>
      <c r="B30" s="77" t="str">
        <f t="shared" ref="B30:B32" si="6">C30</f>
        <v>Y</v>
      </c>
      <c r="C30" s="77" t="s">
        <v>45</v>
      </c>
      <c r="D30" s="77" t="s">
        <v>2326</v>
      </c>
      <c r="E30" s="80" t="s">
        <v>2330</v>
      </c>
      <c r="F30" s="80" t="s">
        <v>991</v>
      </c>
      <c r="G30" s="80" t="s">
        <v>2333</v>
      </c>
      <c r="H30" s="126">
        <v>200</v>
      </c>
      <c r="I30" s="127"/>
      <c r="J30" s="259" t="s">
        <v>50</v>
      </c>
      <c r="K30" s="259" t="s">
        <v>482</v>
      </c>
      <c r="L30" s="259" t="s">
        <v>51</v>
      </c>
      <c r="M30" s="259" t="s">
        <v>13</v>
      </c>
      <c r="N30" s="259" t="s">
        <v>10</v>
      </c>
      <c r="O30" s="259" t="s">
        <v>1372</v>
      </c>
      <c r="P30" s="259" t="s">
        <v>16</v>
      </c>
      <c r="Q30" s="259" t="s">
        <v>952</v>
      </c>
      <c r="R30" s="259" t="s">
        <v>51</v>
      </c>
      <c r="S30" s="263"/>
      <c r="T30" s="257" t="s">
        <v>484</v>
      </c>
      <c r="U30" s="259" t="s">
        <v>55</v>
      </c>
      <c r="V30" s="271" t="s">
        <v>2338</v>
      </c>
      <c r="W30" s="259" t="s">
        <v>2278</v>
      </c>
      <c r="X30" s="264" t="s">
        <v>517</v>
      </c>
      <c r="Y30" s="265" t="s">
        <v>2280</v>
      </c>
      <c r="Z30" s="257" t="s">
        <v>955</v>
      </c>
      <c r="AA30" s="261" t="s">
        <v>2335</v>
      </c>
      <c r="AB30" s="261" t="s">
        <v>488</v>
      </c>
      <c r="AC30" s="261" t="s">
        <v>489</v>
      </c>
      <c r="AD30" s="261" t="s">
        <v>490</v>
      </c>
      <c r="AE30" s="261" t="s">
        <v>491</v>
      </c>
      <c r="AF30" s="261" t="s">
        <v>492</v>
      </c>
      <c r="AG30" s="261" t="s">
        <v>493</v>
      </c>
      <c r="AH30" s="261" t="s">
        <v>494</v>
      </c>
      <c r="AI30" s="261" t="s">
        <v>495</v>
      </c>
    </row>
    <row r="31" spans="1:35" ht="43.2" x14ac:dyDescent="0.3">
      <c r="A31" s="77"/>
      <c r="B31" s="77" t="str">
        <f t="shared" si="6"/>
        <v>Y</v>
      </c>
      <c r="C31" s="77" t="s">
        <v>45</v>
      </c>
      <c r="D31" s="77" t="s">
        <v>2327</v>
      </c>
      <c r="E31" s="80" t="s">
        <v>2331</v>
      </c>
      <c r="F31" s="80" t="s">
        <v>991</v>
      </c>
      <c r="G31" s="80" t="s">
        <v>2333</v>
      </c>
      <c r="H31" s="126">
        <v>200</v>
      </c>
      <c r="I31" s="127"/>
      <c r="J31" s="259" t="s">
        <v>50</v>
      </c>
      <c r="K31" s="259" t="s">
        <v>482</v>
      </c>
      <c r="L31" s="259" t="s">
        <v>51</v>
      </c>
      <c r="M31" s="259" t="s">
        <v>13</v>
      </c>
      <c r="N31" s="259" t="s">
        <v>10</v>
      </c>
      <c r="O31" s="259" t="s">
        <v>1372</v>
      </c>
      <c r="P31" s="259" t="s">
        <v>16</v>
      </c>
      <c r="Q31" s="259" t="s">
        <v>952</v>
      </c>
      <c r="R31" s="259" t="s">
        <v>51</v>
      </c>
      <c r="S31" s="263"/>
      <c r="T31" s="257" t="s">
        <v>520</v>
      </c>
      <c r="U31" s="259" t="s">
        <v>55</v>
      </c>
      <c r="V31" s="271" t="s">
        <v>2338</v>
      </c>
      <c r="W31" s="259" t="s">
        <v>2278</v>
      </c>
      <c r="X31" s="266" t="s">
        <v>2281</v>
      </c>
      <c r="Y31" s="267" t="s">
        <v>2282</v>
      </c>
      <c r="Z31" s="257" t="s">
        <v>2283</v>
      </c>
      <c r="AA31" s="261" t="s">
        <v>2336</v>
      </c>
      <c r="AB31" s="261" t="s">
        <v>488</v>
      </c>
      <c r="AC31" s="261" t="s">
        <v>489</v>
      </c>
      <c r="AD31" s="261" t="s">
        <v>490</v>
      </c>
      <c r="AE31" s="261" t="s">
        <v>491</v>
      </c>
      <c r="AF31" s="261" t="s">
        <v>492</v>
      </c>
      <c r="AG31" s="261" t="s">
        <v>493</v>
      </c>
      <c r="AH31" s="261" t="s">
        <v>494</v>
      </c>
      <c r="AI31" s="261" t="s">
        <v>495</v>
      </c>
    </row>
    <row r="32" spans="1:35" ht="43.2" x14ac:dyDescent="0.3">
      <c r="A32" s="77"/>
      <c r="B32" s="77" t="str">
        <f t="shared" si="6"/>
        <v>Y</v>
      </c>
      <c r="C32" s="77" t="s">
        <v>45</v>
      </c>
      <c r="D32" s="77" t="s">
        <v>2328</v>
      </c>
      <c r="E32" s="80" t="s">
        <v>2332</v>
      </c>
      <c r="F32" s="80" t="s">
        <v>991</v>
      </c>
      <c r="G32" s="80" t="s">
        <v>2333</v>
      </c>
      <c r="H32" s="126">
        <v>200</v>
      </c>
      <c r="I32" s="127"/>
      <c r="J32" s="259" t="s">
        <v>50</v>
      </c>
      <c r="K32" s="259" t="s">
        <v>482</v>
      </c>
      <c r="L32" s="259" t="s">
        <v>51</v>
      </c>
      <c r="M32" s="259" t="s">
        <v>13</v>
      </c>
      <c r="N32" s="259" t="s">
        <v>10</v>
      </c>
      <c r="O32" s="259" t="s">
        <v>1372</v>
      </c>
      <c r="P32" s="259" t="s">
        <v>16</v>
      </c>
      <c r="Q32" s="259" t="s">
        <v>952</v>
      </c>
      <c r="R32" s="259" t="s">
        <v>51</v>
      </c>
      <c r="S32" s="263"/>
      <c r="T32" s="257" t="s">
        <v>171</v>
      </c>
      <c r="U32" s="259" t="s">
        <v>55</v>
      </c>
      <c r="V32" s="271" t="s">
        <v>2338</v>
      </c>
      <c r="W32" s="259" t="s">
        <v>2278</v>
      </c>
      <c r="X32" s="264" t="s">
        <v>964</v>
      </c>
      <c r="Y32" s="265" t="s">
        <v>1159</v>
      </c>
      <c r="Z32" s="257" t="s">
        <v>2284</v>
      </c>
      <c r="AA32" s="261" t="s">
        <v>2337</v>
      </c>
      <c r="AB32" s="261" t="s">
        <v>488</v>
      </c>
      <c r="AC32" s="261" t="s">
        <v>489</v>
      </c>
      <c r="AD32" s="261" t="s">
        <v>490</v>
      </c>
      <c r="AE32" s="261" t="s">
        <v>491</v>
      </c>
      <c r="AF32" s="261" t="s">
        <v>492</v>
      </c>
      <c r="AG32" s="261" t="s">
        <v>493</v>
      </c>
      <c r="AH32" s="261" t="s">
        <v>494</v>
      </c>
      <c r="AI32" s="261" t="s">
        <v>495</v>
      </c>
    </row>
    <row r="33" spans="1:35" ht="57.6" x14ac:dyDescent="0.3">
      <c r="A33" s="77">
        <v>16</v>
      </c>
      <c r="B33" s="77" t="str">
        <f t="shared" ref="B33:B36" si="7">C33</f>
        <v>Y</v>
      </c>
      <c r="C33" s="77" t="s">
        <v>45</v>
      </c>
      <c r="D33" s="77" t="s">
        <v>2339</v>
      </c>
      <c r="E33" s="80" t="s">
        <v>2343</v>
      </c>
      <c r="F33" s="80" t="s">
        <v>513</v>
      </c>
      <c r="G33" s="80" t="s">
        <v>514</v>
      </c>
      <c r="H33" s="77">
        <v>400</v>
      </c>
      <c r="I33" s="131" t="s">
        <v>1995</v>
      </c>
      <c r="J33" s="259" t="s">
        <v>50</v>
      </c>
      <c r="K33" s="259" t="s">
        <v>482</v>
      </c>
      <c r="L33" s="259" t="s">
        <v>51</v>
      </c>
      <c r="M33" s="259" t="s">
        <v>13</v>
      </c>
      <c r="N33" s="259" t="s">
        <v>10</v>
      </c>
      <c r="O33" s="259" t="s">
        <v>1372</v>
      </c>
      <c r="P33" s="259" t="s">
        <v>16</v>
      </c>
      <c r="Q33" s="259" t="s">
        <v>952</v>
      </c>
      <c r="R33" s="259" t="s">
        <v>51</v>
      </c>
      <c r="S33" s="260"/>
      <c r="T33" s="259" t="s">
        <v>484</v>
      </c>
      <c r="U33" s="259" t="s">
        <v>55</v>
      </c>
      <c r="V33" s="261" t="s">
        <v>2277</v>
      </c>
      <c r="W33" s="259" t="s">
        <v>2278</v>
      </c>
      <c r="X33" s="261" t="s">
        <v>486</v>
      </c>
      <c r="Y33" s="262" t="s">
        <v>2279</v>
      </c>
      <c r="Z33" s="261" t="s">
        <v>955</v>
      </c>
      <c r="AA33" s="261" t="s">
        <v>1977</v>
      </c>
      <c r="AB33" s="261" t="s">
        <v>488</v>
      </c>
      <c r="AC33" s="261" t="s">
        <v>489</v>
      </c>
      <c r="AD33" s="261" t="s">
        <v>490</v>
      </c>
      <c r="AE33" s="261" t="s">
        <v>491</v>
      </c>
      <c r="AF33" s="261" t="s">
        <v>492</v>
      </c>
      <c r="AG33" s="261" t="s">
        <v>493</v>
      </c>
      <c r="AH33" s="261" t="s">
        <v>494</v>
      </c>
      <c r="AI33" s="261" t="s">
        <v>495</v>
      </c>
    </row>
    <row r="34" spans="1:35" ht="57.6" x14ac:dyDescent="0.3">
      <c r="A34" s="77"/>
      <c r="B34" s="77" t="str">
        <f t="shared" si="7"/>
        <v>Y</v>
      </c>
      <c r="C34" s="77" t="s">
        <v>45</v>
      </c>
      <c r="D34" s="77" t="s">
        <v>2340</v>
      </c>
      <c r="E34" s="80" t="s">
        <v>2344</v>
      </c>
      <c r="F34" s="80" t="s">
        <v>513</v>
      </c>
      <c r="G34" s="80" t="s">
        <v>514</v>
      </c>
      <c r="H34" s="77">
        <v>400</v>
      </c>
      <c r="I34" s="131" t="s">
        <v>1995</v>
      </c>
      <c r="J34" s="259" t="s">
        <v>50</v>
      </c>
      <c r="K34" s="259" t="s">
        <v>482</v>
      </c>
      <c r="L34" s="259" t="s">
        <v>51</v>
      </c>
      <c r="M34" s="259" t="s">
        <v>13</v>
      </c>
      <c r="N34" s="259" t="s">
        <v>10</v>
      </c>
      <c r="O34" s="259" t="s">
        <v>1372</v>
      </c>
      <c r="P34" s="259" t="s">
        <v>16</v>
      </c>
      <c r="Q34" s="259" t="s">
        <v>952</v>
      </c>
      <c r="R34" s="259" t="s">
        <v>51</v>
      </c>
      <c r="S34" s="263"/>
      <c r="T34" s="257" t="s">
        <v>484</v>
      </c>
      <c r="U34" s="259" t="s">
        <v>55</v>
      </c>
      <c r="V34" s="261" t="s">
        <v>2277</v>
      </c>
      <c r="W34" s="259" t="s">
        <v>2278</v>
      </c>
      <c r="X34" s="264" t="s">
        <v>517</v>
      </c>
      <c r="Y34" s="265" t="s">
        <v>2280</v>
      </c>
      <c r="Z34" s="257" t="s">
        <v>955</v>
      </c>
      <c r="AA34" s="261" t="s">
        <v>1977</v>
      </c>
      <c r="AB34" s="261" t="s">
        <v>488</v>
      </c>
      <c r="AC34" s="261" t="s">
        <v>489</v>
      </c>
      <c r="AD34" s="261" t="s">
        <v>490</v>
      </c>
      <c r="AE34" s="261" t="s">
        <v>491</v>
      </c>
      <c r="AF34" s="261" t="s">
        <v>492</v>
      </c>
      <c r="AG34" s="261" t="s">
        <v>493</v>
      </c>
      <c r="AH34" s="261" t="s">
        <v>494</v>
      </c>
      <c r="AI34" s="261" t="s">
        <v>495</v>
      </c>
    </row>
    <row r="35" spans="1:35" ht="57.6" x14ac:dyDescent="0.3">
      <c r="A35" s="77"/>
      <c r="B35" s="77" t="str">
        <f t="shared" si="7"/>
        <v>Y</v>
      </c>
      <c r="C35" s="77" t="s">
        <v>45</v>
      </c>
      <c r="D35" s="77" t="s">
        <v>2341</v>
      </c>
      <c r="E35" s="80" t="s">
        <v>2345</v>
      </c>
      <c r="F35" s="80" t="s">
        <v>513</v>
      </c>
      <c r="G35" s="80" t="s">
        <v>514</v>
      </c>
      <c r="H35" s="77">
        <v>400</v>
      </c>
      <c r="I35" s="131" t="s">
        <v>1995</v>
      </c>
      <c r="J35" s="259" t="s">
        <v>50</v>
      </c>
      <c r="K35" s="259" t="s">
        <v>482</v>
      </c>
      <c r="L35" s="259" t="s">
        <v>51</v>
      </c>
      <c r="M35" s="259" t="s">
        <v>13</v>
      </c>
      <c r="N35" s="259" t="s">
        <v>10</v>
      </c>
      <c r="O35" s="259" t="s">
        <v>1372</v>
      </c>
      <c r="P35" s="259" t="s">
        <v>16</v>
      </c>
      <c r="Q35" s="259" t="s">
        <v>952</v>
      </c>
      <c r="R35" s="259" t="s">
        <v>51</v>
      </c>
      <c r="S35" s="263"/>
      <c r="T35" s="257" t="s">
        <v>520</v>
      </c>
      <c r="U35" s="259" t="s">
        <v>55</v>
      </c>
      <c r="V35" s="261" t="s">
        <v>2277</v>
      </c>
      <c r="W35" s="259" t="s">
        <v>2278</v>
      </c>
      <c r="X35" s="266" t="s">
        <v>2281</v>
      </c>
      <c r="Y35" s="267" t="s">
        <v>2282</v>
      </c>
      <c r="Z35" s="257" t="s">
        <v>2283</v>
      </c>
      <c r="AA35" s="261" t="s">
        <v>1977</v>
      </c>
      <c r="AB35" s="261" t="s">
        <v>488</v>
      </c>
      <c r="AC35" s="261" t="s">
        <v>489</v>
      </c>
      <c r="AD35" s="261" t="s">
        <v>490</v>
      </c>
      <c r="AE35" s="261" t="s">
        <v>491</v>
      </c>
      <c r="AF35" s="261" t="s">
        <v>492</v>
      </c>
      <c r="AG35" s="261" t="s">
        <v>493</v>
      </c>
      <c r="AH35" s="261" t="s">
        <v>494</v>
      </c>
      <c r="AI35" s="261" t="s">
        <v>495</v>
      </c>
    </row>
    <row r="36" spans="1:35" ht="57.6" x14ac:dyDescent="0.3">
      <c r="A36" s="77"/>
      <c r="B36" s="77" t="str">
        <f t="shared" si="7"/>
        <v>Y</v>
      </c>
      <c r="C36" s="77" t="s">
        <v>45</v>
      </c>
      <c r="D36" s="77" t="s">
        <v>2342</v>
      </c>
      <c r="E36" s="80" t="s">
        <v>2346</v>
      </c>
      <c r="F36" s="80" t="s">
        <v>513</v>
      </c>
      <c r="G36" s="80" t="s">
        <v>514</v>
      </c>
      <c r="H36" s="77">
        <v>400</v>
      </c>
      <c r="I36" s="131" t="s">
        <v>1995</v>
      </c>
      <c r="J36" s="259" t="s">
        <v>50</v>
      </c>
      <c r="K36" s="259" t="s">
        <v>482</v>
      </c>
      <c r="L36" s="259" t="s">
        <v>51</v>
      </c>
      <c r="M36" s="259" t="s">
        <v>13</v>
      </c>
      <c r="N36" s="259" t="s">
        <v>10</v>
      </c>
      <c r="O36" s="259" t="s">
        <v>1372</v>
      </c>
      <c r="P36" s="259" t="s">
        <v>16</v>
      </c>
      <c r="Q36" s="259" t="s">
        <v>952</v>
      </c>
      <c r="R36" s="259" t="s">
        <v>51</v>
      </c>
      <c r="S36" s="263"/>
      <c r="T36" s="257" t="s">
        <v>171</v>
      </c>
      <c r="U36" s="259" t="s">
        <v>55</v>
      </c>
      <c r="V36" s="261" t="s">
        <v>2277</v>
      </c>
      <c r="W36" s="259" t="s">
        <v>2278</v>
      </c>
      <c r="X36" s="264" t="s">
        <v>964</v>
      </c>
      <c r="Y36" s="265" t="s">
        <v>1159</v>
      </c>
      <c r="Z36" s="257" t="s">
        <v>2284</v>
      </c>
      <c r="AA36" s="261" t="s">
        <v>1977</v>
      </c>
      <c r="AB36" s="261" t="s">
        <v>488</v>
      </c>
      <c r="AC36" s="261" t="s">
        <v>489</v>
      </c>
      <c r="AD36" s="261" t="s">
        <v>490</v>
      </c>
      <c r="AE36" s="261" t="s">
        <v>491</v>
      </c>
      <c r="AF36" s="261" t="s">
        <v>492</v>
      </c>
      <c r="AG36" s="261" t="s">
        <v>493</v>
      </c>
      <c r="AH36" s="261" t="s">
        <v>494</v>
      </c>
      <c r="AI36" s="261" t="s">
        <v>495</v>
      </c>
    </row>
    <row r="37" spans="1:35" ht="57.6" x14ac:dyDescent="0.3">
      <c r="A37" s="77">
        <v>17</v>
      </c>
      <c r="B37" s="77" t="str">
        <f t="shared" si="0"/>
        <v>Y</v>
      </c>
      <c r="C37" s="77" t="s">
        <v>45</v>
      </c>
      <c r="D37" s="77" t="s">
        <v>2347</v>
      </c>
      <c r="E37" s="80" t="s">
        <v>2351</v>
      </c>
      <c r="F37" s="80" t="s">
        <v>993</v>
      </c>
      <c r="G37" s="80" t="s">
        <v>514</v>
      </c>
      <c r="H37" s="77">
        <v>400</v>
      </c>
      <c r="I37" s="131" t="s">
        <v>1995</v>
      </c>
      <c r="J37" s="259" t="s">
        <v>50</v>
      </c>
      <c r="K37" s="259" t="s">
        <v>482</v>
      </c>
      <c r="L37" s="259" t="s">
        <v>51</v>
      </c>
      <c r="M37" s="259" t="s">
        <v>13</v>
      </c>
      <c r="N37" s="259" t="s">
        <v>10</v>
      </c>
      <c r="O37" s="259" t="s">
        <v>1372</v>
      </c>
      <c r="P37" s="259" t="s">
        <v>16</v>
      </c>
      <c r="Q37" s="259" t="s">
        <v>952</v>
      </c>
      <c r="R37" s="259" t="s">
        <v>51</v>
      </c>
      <c r="S37" s="260"/>
      <c r="T37" s="259" t="s">
        <v>484</v>
      </c>
      <c r="U37" s="259" t="s">
        <v>55</v>
      </c>
      <c r="V37" s="261" t="s">
        <v>2277</v>
      </c>
      <c r="W37" s="259" t="s">
        <v>2278</v>
      </c>
      <c r="X37" s="261" t="s">
        <v>486</v>
      </c>
      <c r="Y37" s="262" t="s">
        <v>2279</v>
      </c>
      <c r="Z37" s="261" t="s">
        <v>955</v>
      </c>
      <c r="AA37" s="261" t="s">
        <v>2355</v>
      </c>
      <c r="AB37" s="261" t="s">
        <v>488</v>
      </c>
      <c r="AC37" s="261" t="s">
        <v>489</v>
      </c>
      <c r="AD37" s="261" t="s">
        <v>490</v>
      </c>
      <c r="AE37" s="261" t="s">
        <v>491</v>
      </c>
      <c r="AF37" s="261" t="s">
        <v>492</v>
      </c>
      <c r="AG37" s="261" t="s">
        <v>493</v>
      </c>
      <c r="AH37" s="261" t="s">
        <v>494</v>
      </c>
      <c r="AI37" s="261" t="s">
        <v>495</v>
      </c>
    </row>
    <row r="38" spans="1:35" ht="57.6" x14ac:dyDescent="0.3">
      <c r="A38" s="77"/>
      <c r="B38" s="77" t="str">
        <f t="shared" ref="B38:B40" si="8">C38</f>
        <v>Y</v>
      </c>
      <c r="C38" s="77" t="s">
        <v>45</v>
      </c>
      <c r="D38" s="77" t="s">
        <v>2348</v>
      </c>
      <c r="E38" s="80" t="s">
        <v>2352</v>
      </c>
      <c r="F38" s="80" t="s">
        <v>993</v>
      </c>
      <c r="G38" s="80" t="s">
        <v>514</v>
      </c>
      <c r="H38" s="77">
        <v>400</v>
      </c>
      <c r="I38" s="131" t="s">
        <v>1995</v>
      </c>
      <c r="J38" s="259" t="s">
        <v>50</v>
      </c>
      <c r="K38" s="259" t="s">
        <v>482</v>
      </c>
      <c r="L38" s="259" t="s">
        <v>51</v>
      </c>
      <c r="M38" s="259" t="s">
        <v>13</v>
      </c>
      <c r="N38" s="259" t="s">
        <v>10</v>
      </c>
      <c r="O38" s="259" t="s">
        <v>1372</v>
      </c>
      <c r="P38" s="259" t="s">
        <v>16</v>
      </c>
      <c r="Q38" s="259" t="s">
        <v>952</v>
      </c>
      <c r="R38" s="259" t="s">
        <v>51</v>
      </c>
      <c r="S38" s="263"/>
      <c r="T38" s="257" t="s">
        <v>484</v>
      </c>
      <c r="U38" s="259" t="s">
        <v>55</v>
      </c>
      <c r="V38" s="261" t="s">
        <v>2277</v>
      </c>
      <c r="W38" s="259" t="s">
        <v>2278</v>
      </c>
      <c r="X38" s="264" t="s">
        <v>517</v>
      </c>
      <c r="Y38" s="265" t="s">
        <v>2280</v>
      </c>
      <c r="Z38" s="257" t="s">
        <v>955</v>
      </c>
      <c r="AA38" s="261" t="s">
        <v>2356</v>
      </c>
      <c r="AB38" s="261" t="s">
        <v>488</v>
      </c>
      <c r="AC38" s="261" t="s">
        <v>489</v>
      </c>
      <c r="AD38" s="261" t="s">
        <v>490</v>
      </c>
      <c r="AE38" s="261" t="s">
        <v>491</v>
      </c>
      <c r="AF38" s="261" t="s">
        <v>492</v>
      </c>
      <c r="AG38" s="261" t="s">
        <v>493</v>
      </c>
      <c r="AH38" s="261" t="s">
        <v>494</v>
      </c>
      <c r="AI38" s="261" t="s">
        <v>495</v>
      </c>
    </row>
    <row r="39" spans="1:35" ht="57.6" x14ac:dyDescent="0.3">
      <c r="A39" s="77"/>
      <c r="B39" s="77" t="str">
        <f t="shared" si="8"/>
        <v>Y</v>
      </c>
      <c r="C39" s="77" t="s">
        <v>45</v>
      </c>
      <c r="D39" s="77" t="s">
        <v>2349</v>
      </c>
      <c r="E39" s="80" t="s">
        <v>2353</v>
      </c>
      <c r="F39" s="80" t="s">
        <v>993</v>
      </c>
      <c r="G39" s="80" t="s">
        <v>514</v>
      </c>
      <c r="H39" s="77">
        <v>400</v>
      </c>
      <c r="I39" s="131" t="s">
        <v>1995</v>
      </c>
      <c r="J39" s="259" t="s">
        <v>50</v>
      </c>
      <c r="K39" s="259" t="s">
        <v>482</v>
      </c>
      <c r="L39" s="259" t="s">
        <v>51</v>
      </c>
      <c r="M39" s="259" t="s">
        <v>13</v>
      </c>
      <c r="N39" s="259" t="s">
        <v>10</v>
      </c>
      <c r="O39" s="259" t="s">
        <v>1372</v>
      </c>
      <c r="P39" s="259" t="s">
        <v>16</v>
      </c>
      <c r="Q39" s="259" t="s">
        <v>952</v>
      </c>
      <c r="R39" s="259" t="s">
        <v>51</v>
      </c>
      <c r="S39" s="263"/>
      <c r="T39" s="257" t="s">
        <v>520</v>
      </c>
      <c r="U39" s="259" t="s">
        <v>55</v>
      </c>
      <c r="V39" s="261" t="s">
        <v>2277</v>
      </c>
      <c r="W39" s="259" t="s">
        <v>2278</v>
      </c>
      <c r="X39" s="266" t="s">
        <v>2281</v>
      </c>
      <c r="Y39" s="267" t="s">
        <v>2282</v>
      </c>
      <c r="Z39" s="257" t="s">
        <v>2283</v>
      </c>
      <c r="AA39" s="261" t="s">
        <v>2357</v>
      </c>
      <c r="AB39" s="261" t="s">
        <v>488</v>
      </c>
      <c r="AC39" s="261" t="s">
        <v>489</v>
      </c>
      <c r="AD39" s="261" t="s">
        <v>490</v>
      </c>
      <c r="AE39" s="261" t="s">
        <v>491</v>
      </c>
      <c r="AF39" s="261" t="s">
        <v>492</v>
      </c>
      <c r="AG39" s="261" t="s">
        <v>493</v>
      </c>
      <c r="AH39" s="261" t="s">
        <v>494</v>
      </c>
      <c r="AI39" s="261" t="s">
        <v>495</v>
      </c>
    </row>
    <row r="40" spans="1:35" ht="57.6" x14ac:dyDescent="0.3">
      <c r="A40" s="77"/>
      <c r="B40" s="77" t="str">
        <f t="shared" si="8"/>
        <v>Y</v>
      </c>
      <c r="C40" s="77" t="s">
        <v>45</v>
      </c>
      <c r="D40" s="77" t="s">
        <v>2350</v>
      </c>
      <c r="E40" s="80" t="s">
        <v>2354</v>
      </c>
      <c r="F40" s="80" t="s">
        <v>993</v>
      </c>
      <c r="G40" s="80" t="s">
        <v>514</v>
      </c>
      <c r="H40" s="77">
        <v>400</v>
      </c>
      <c r="I40" s="131" t="s">
        <v>1995</v>
      </c>
      <c r="J40" s="259" t="s">
        <v>50</v>
      </c>
      <c r="K40" s="259" t="s">
        <v>482</v>
      </c>
      <c r="L40" s="259" t="s">
        <v>51</v>
      </c>
      <c r="M40" s="259" t="s">
        <v>13</v>
      </c>
      <c r="N40" s="259" t="s">
        <v>10</v>
      </c>
      <c r="O40" s="259" t="s">
        <v>1372</v>
      </c>
      <c r="P40" s="259" t="s">
        <v>16</v>
      </c>
      <c r="Q40" s="259" t="s">
        <v>952</v>
      </c>
      <c r="R40" s="259" t="s">
        <v>51</v>
      </c>
      <c r="S40" s="263"/>
      <c r="T40" s="257" t="s">
        <v>171</v>
      </c>
      <c r="U40" s="259" t="s">
        <v>55</v>
      </c>
      <c r="V40" s="261" t="s">
        <v>2277</v>
      </c>
      <c r="W40" s="259" t="s">
        <v>2278</v>
      </c>
      <c r="X40" s="264" t="s">
        <v>964</v>
      </c>
      <c r="Y40" s="265" t="s">
        <v>1159</v>
      </c>
      <c r="Z40" s="257" t="s">
        <v>2284</v>
      </c>
      <c r="AA40" s="261" t="s">
        <v>2357</v>
      </c>
      <c r="AB40" s="261" t="s">
        <v>488</v>
      </c>
      <c r="AC40" s="261" t="s">
        <v>489</v>
      </c>
      <c r="AD40" s="261" t="s">
        <v>490</v>
      </c>
      <c r="AE40" s="261" t="s">
        <v>491</v>
      </c>
      <c r="AF40" s="261" t="s">
        <v>492</v>
      </c>
      <c r="AG40" s="261" t="s">
        <v>493</v>
      </c>
      <c r="AH40" s="261" t="s">
        <v>494</v>
      </c>
      <c r="AI40" s="261" t="s">
        <v>495</v>
      </c>
    </row>
    <row r="41" spans="1:35" ht="43.2" x14ac:dyDescent="0.3">
      <c r="A41" s="77">
        <v>18</v>
      </c>
      <c r="B41" s="77" t="str">
        <f t="shared" ref="B41:B44" si="9">C41</f>
        <v>Y</v>
      </c>
      <c r="C41" s="77" t="s">
        <v>45</v>
      </c>
      <c r="D41" s="77" t="s">
        <v>2358</v>
      </c>
      <c r="E41" s="80" t="s">
        <v>2362</v>
      </c>
      <c r="F41" s="80" t="s">
        <v>994</v>
      </c>
      <c r="G41" s="80" t="s">
        <v>995</v>
      </c>
      <c r="H41" s="77">
        <v>403</v>
      </c>
      <c r="I41" s="131" t="s">
        <v>1974</v>
      </c>
      <c r="J41" s="259" t="s">
        <v>50</v>
      </c>
      <c r="K41" s="259" t="s">
        <v>482</v>
      </c>
      <c r="L41" s="259" t="s">
        <v>51</v>
      </c>
      <c r="M41" s="272" t="s">
        <v>2367</v>
      </c>
      <c r="N41" s="272" t="s">
        <v>2366</v>
      </c>
      <c r="O41" s="259" t="s">
        <v>1372</v>
      </c>
      <c r="P41" s="272" t="s">
        <v>1452</v>
      </c>
      <c r="Q41" s="259" t="s">
        <v>952</v>
      </c>
      <c r="R41" s="259" t="s">
        <v>51</v>
      </c>
      <c r="S41" s="260"/>
      <c r="T41" s="259" t="s">
        <v>484</v>
      </c>
      <c r="U41" s="259" t="s">
        <v>55</v>
      </c>
      <c r="V41" s="261" t="s">
        <v>2277</v>
      </c>
      <c r="W41" s="259" t="s">
        <v>2278</v>
      </c>
      <c r="X41" s="261" t="s">
        <v>486</v>
      </c>
      <c r="Y41" s="262" t="s">
        <v>2279</v>
      </c>
      <c r="Z41" s="261" t="s">
        <v>955</v>
      </c>
      <c r="AA41" s="261" t="s">
        <v>2409</v>
      </c>
      <c r="AB41" s="261" t="s">
        <v>488</v>
      </c>
      <c r="AC41" s="261" t="s">
        <v>489</v>
      </c>
      <c r="AD41" s="261" t="s">
        <v>490</v>
      </c>
      <c r="AE41" s="261" t="s">
        <v>491</v>
      </c>
      <c r="AF41" s="261" t="s">
        <v>492</v>
      </c>
      <c r="AG41" s="261" t="s">
        <v>493</v>
      </c>
      <c r="AH41" s="261" t="s">
        <v>494</v>
      </c>
      <c r="AI41" s="261" t="s">
        <v>495</v>
      </c>
    </row>
    <row r="42" spans="1:35" ht="43.2" x14ac:dyDescent="0.3">
      <c r="A42" s="77"/>
      <c r="B42" s="77" t="str">
        <f t="shared" si="9"/>
        <v>Y</v>
      </c>
      <c r="C42" s="77" t="s">
        <v>45</v>
      </c>
      <c r="D42" s="77" t="s">
        <v>2359</v>
      </c>
      <c r="E42" s="80" t="s">
        <v>2363</v>
      </c>
      <c r="F42" s="80" t="s">
        <v>994</v>
      </c>
      <c r="G42" s="80" t="s">
        <v>995</v>
      </c>
      <c r="H42" s="77">
        <v>403</v>
      </c>
      <c r="I42" s="131" t="s">
        <v>1974</v>
      </c>
      <c r="J42" s="259" t="s">
        <v>50</v>
      </c>
      <c r="K42" s="259" t="s">
        <v>482</v>
      </c>
      <c r="L42" s="259" t="s">
        <v>51</v>
      </c>
      <c r="M42" s="272" t="s">
        <v>2367</v>
      </c>
      <c r="N42" s="272" t="s">
        <v>2366</v>
      </c>
      <c r="O42" s="259" t="s">
        <v>1372</v>
      </c>
      <c r="P42" s="272" t="s">
        <v>1452</v>
      </c>
      <c r="Q42" s="259" t="s">
        <v>952</v>
      </c>
      <c r="R42" s="259" t="s">
        <v>51</v>
      </c>
      <c r="S42" s="263"/>
      <c r="T42" s="257" t="s">
        <v>484</v>
      </c>
      <c r="U42" s="259" t="s">
        <v>55</v>
      </c>
      <c r="V42" s="261" t="s">
        <v>2277</v>
      </c>
      <c r="W42" s="259" t="s">
        <v>2278</v>
      </c>
      <c r="X42" s="264" t="s">
        <v>517</v>
      </c>
      <c r="Y42" s="265" t="s">
        <v>2280</v>
      </c>
      <c r="Z42" s="257" t="s">
        <v>955</v>
      </c>
      <c r="AA42" s="261" t="s">
        <v>2410</v>
      </c>
      <c r="AB42" s="261" t="s">
        <v>488</v>
      </c>
      <c r="AC42" s="261" t="s">
        <v>489</v>
      </c>
      <c r="AD42" s="261" t="s">
        <v>490</v>
      </c>
      <c r="AE42" s="261" t="s">
        <v>491</v>
      </c>
      <c r="AF42" s="261" t="s">
        <v>492</v>
      </c>
      <c r="AG42" s="261" t="s">
        <v>493</v>
      </c>
      <c r="AH42" s="261" t="s">
        <v>494</v>
      </c>
      <c r="AI42" s="261" t="s">
        <v>495</v>
      </c>
    </row>
    <row r="43" spans="1:35" ht="43.2" x14ac:dyDescent="0.3">
      <c r="A43" s="77"/>
      <c r="B43" s="77" t="str">
        <f t="shared" si="9"/>
        <v>Y</v>
      </c>
      <c r="C43" s="77" t="s">
        <v>45</v>
      </c>
      <c r="D43" s="77" t="s">
        <v>2360</v>
      </c>
      <c r="E43" s="80" t="s">
        <v>2364</v>
      </c>
      <c r="F43" s="80" t="s">
        <v>994</v>
      </c>
      <c r="G43" s="80" t="s">
        <v>995</v>
      </c>
      <c r="H43" s="77">
        <v>403</v>
      </c>
      <c r="I43" s="131" t="s">
        <v>1974</v>
      </c>
      <c r="J43" s="259" t="s">
        <v>50</v>
      </c>
      <c r="K43" s="259" t="s">
        <v>482</v>
      </c>
      <c r="L43" s="259" t="s">
        <v>51</v>
      </c>
      <c r="M43" s="272" t="s">
        <v>2367</v>
      </c>
      <c r="N43" s="272" t="s">
        <v>2366</v>
      </c>
      <c r="O43" s="259" t="s">
        <v>1372</v>
      </c>
      <c r="P43" s="272" t="s">
        <v>1452</v>
      </c>
      <c r="Q43" s="259" t="s">
        <v>952</v>
      </c>
      <c r="R43" s="259" t="s">
        <v>51</v>
      </c>
      <c r="S43" s="263"/>
      <c r="T43" s="257" t="s">
        <v>520</v>
      </c>
      <c r="U43" s="259" t="s">
        <v>55</v>
      </c>
      <c r="V43" s="261" t="s">
        <v>2277</v>
      </c>
      <c r="W43" s="259" t="s">
        <v>2278</v>
      </c>
      <c r="X43" s="266" t="s">
        <v>2281</v>
      </c>
      <c r="Y43" s="267" t="s">
        <v>2282</v>
      </c>
      <c r="Z43" s="257" t="s">
        <v>2283</v>
      </c>
      <c r="AA43" s="261" t="s">
        <v>2411</v>
      </c>
      <c r="AB43" s="261" t="s">
        <v>488</v>
      </c>
      <c r="AC43" s="261" t="s">
        <v>489</v>
      </c>
      <c r="AD43" s="261" t="s">
        <v>490</v>
      </c>
      <c r="AE43" s="261" t="s">
        <v>491</v>
      </c>
      <c r="AF43" s="261" t="s">
        <v>492</v>
      </c>
      <c r="AG43" s="261" t="s">
        <v>493</v>
      </c>
      <c r="AH43" s="261" t="s">
        <v>494</v>
      </c>
      <c r="AI43" s="261" t="s">
        <v>495</v>
      </c>
    </row>
    <row r="44" spans="1:35" ht="43.2" x14ac:dyDescent="0.3">
      <c r="A44" s="77"/>
      <c r="B44" s="77" t="str">
        <f t="shared" si="9"/>
        <v>Y</v>
      </c>
      <c r="C44" s="77" t="s">
        <v>45</v>
      </c>
      <c r="D44" s="77" t="s">
        <v>2361</v>
      </c>
      <c r="E44" s="80" t="s">
        <v>2365</v>
      </c>
      <c r="F44" s="80" t="s">
        <v>994</v>
      </c>
      <c r="G44" s="80" t="s">
        <v>995</v>
      </c>
      <c r="H44" s="77">
        <v>403</v>
      </c>
      <c r="I44" s="131" t="s">
        <v>1974</v>
      </c>
      <c r="J44" s="259" t="s">
        <v>50</v>
      </c>
      <c r="K44" s="259" t="s">
        <v>482</v>
      </c>
      <c r="L44" s="259" t="s">
        <v>51</v>
      </c>
      <c r="M44" s="272" t="s">
        <v>2367</v>
      </c>
      <c r="N44" s="272" t="s">
        <v>2366</v>
      </c>
      <c r="O44" s="259" t="s">
        <v>1372</v>
      </c>
      <c r="P44" s="272" t="s">
        <v>1452</v>
      </c>
      <c r="Q44" s="259" t="s">
        <v>952</v>
      </c>
      <c r="R44" s="259" t="s">
        <v>51</v>
      </c>
      <c r="S44" s="263"/>
      <c r="T44" s="257" t="s">
        <v>171</v>
      </c>
      <c r="U44" s="259" t="s">
        <v>55</v>
      </c>
      <c r="V44" s="261" t="s">
        <v>2277</v>
      </c>
      <c r="W44" s="259" t="s">
        <v>2278</v>
      </c>
      <c r="X44" s="264" t="s">
        <v>964</v>
      </c>
      <c r="Y44" s="265" t="s">
        <v>1159</v>
      </c>
      <c r="Z44" s="257" t="s">
        <v>2284</v>
      </c>
      <c r="AA44" s="261" t="s">
        <v>2078</v>
      </c>
      <c r="AB44" s="261" t="s">
        <v>488</v>
      </c>
      <c r="AC44" s="261" t="s">
        <v>489</v>
      </c>
      <c r="AD44" s="261" t="s">
        <v>490</v>
      </c>
      <c r="AE44" s="261" t="s">
        <v>491</v>
      </c>
      <c r="AF44" s="261" t="s">
        <v>492</v>
      </c>
      <c r="AG44" s="261" t="s">
        <v>493</v>
      </c>
      <c r="AH44" s="261" t="s">
        <v>494</v>
      </c>
      <c r="AI44" s="261" t="s">
        <v>495</v>
      </c>
    </row>
    <row r="45" spans="1:35" ht="57.6" x14ac:dyDescent="0.3">
      <c r="A45" s="77">
        <v>19</v>
      </c>
      <c r="B45" s="77" t="str">
        <f t="shared" ref="B45:B46" si="10">C45</f>
        <v>Y</v>
      </c>
      <c r="C45" s="77" t="s">
        <v>45</v>
      </c>
      <c r="D45" s="77" t="s">
        <v>2368</v>
      </c>
      <c r="E45" s="80" t="s">
        <v>2369</v>
      </c>
      <c r="F45" s="80" t="s">
        <v>1639</v>
      </c>
      <c r="G45" s="80" t="s">
        <v>526</v>
      </c>
      <c r="H45" s="77">
        <v>401</v>
      </c>
      <c r="I45" s="131" t="s">
        <v>2087</v>
      </c>
      <c r="J45" s="259" t="s">
        <v>50</v>
      </c>
      <c r="K45" s="259" t="s">
        <v>482</v>
      </c>
      <c r="L45" s="259" t="s">
        <v>51</v>
      </c>
      <c r="M45" s="259" t="s">
        <v>13</v>
      </c>
      <c r="N45" s="259" t="s">
        <v>10</v>
      </c>
      <c r="O45" s="259" t="s">
        <v>1372</v>
      </c>
      <c r="P45" s="259" t="s">
        <v>16</v>
      </c>
      <c r="Q45" s="259" t="s">
        <v>952</v>
      </c>
      <c r="R45" s="259" t="s">
        <v>51</v>
      </c>
      <c r="S45" s="271" t="s">
        <v>2370</v>
      </c>
      <c r="T45" s="259" t="s">
        <v>484</v>
      </c>
      <c r="U45" s="259" t="s">
        <v>55</v>
      </c>
      <c r="V45" s="261" t="s">
        <v>2277</v>
      </c>
      <c r="W45" s="259" t="s">
        <v>2278</v>
      </c>
      <c r="X45" s="261" t="s">
        <v>486</v>
      </c>
      <c r="Y45" s="262" t="s">
        <v>2279</v>
      </c>
      <c r="Z45" s="261" t="s">
        <v>955</v>
      </c>
      <c r="AA45" s="261" t="s">
        <v>2409</v>
      </c>
      <c r="AB45" s="261" t="s">
        <v>488</v>
      </c>
      <c r="AC45" s="261" t="s">
        <v>489</v>
      </c>
      <c r="AD45" s="261" t="s">
        <v>490</v>
      </c>
      <c r="AE45" s="261" t="s">
        <v>491</v>
      </c>
      <c r="AF45" s="261" t="s">
        <v>492</v>
      </c>
      <c r="AG45" s="261" t="s">
        <v>493</v>
      </c>
      <c r="AH45" s="261" t="s">
        <v>494</v>
      </c>
      <c r="AI45" s="261" t="s">
        <v>495</v>
      </c>
    </row>
    <row r="46" spans="1:35" ht="57.6" x14ac:dyDescent="0.3">
      <c r="A46" s="77"/>
      <c r="B46" s="77" t="str">
        <f t="shared" si="10"/>
        <v>Y</v>
      </c>
      <c r="C46" s="77" t="s">
        <v>45</v>
      </c>
      <c r="D46" s="77" t="s">
        <v>2368</v>
      </c>
      <c r="E46" s="80" t="s">
        <v>2373</v>
      </c>
      <c r="F46" s="80" t="s">
        <v>1639</v>
      </c>
      <c r="G46" s="80" t="s">
        <v>526</v>
      </c>
      <c r="H46" s="77">
        <v>401</v>
      </c>
      <c r="I46" s="131" t="s">
        <v>2087</v>
      </c>
      <c r="J46" s="259" t="s">
        <v>50</v>
      </c>
      <c r="K46" s="259" t="s">
        <v>482</v>
      </c>
      <c r="L46" s="259" t="s">
        <v>51</v>
      </c>
      <c r="M46" s="259" t="s">
        <v>13</v>
      </c>
      <c r="N46" s="259" t="s">
        <v>10</v>
      </c>
      <c r="O46" s="259" t="s">
        <v>1372</v>
      </c>
      <c r="P46" s="259" t="s">
        <v>16</v>
      </c>
      <c r="Q46" s="259" t="s">
        <v>952</v>
      </c>
      <c r="R46" s="259" t="s">
        <v>51</v>
      </c>
      <c r="S46" s="271" t="s">
        <v>2370</v>
      </c>
      <c r="T46" s="257" t="s">
        <v>484</v>
      </c>
      <c r="U46" s="259" t="s">
        <v>55</v>
      </c>
      <c r="V46" s="261" t="s">
        <v>2277</v>
      </c>
      <c r="W46" s="259" t="s">
        <v>2278</v>
      </c>
      <c r="X46" s="264" t="s">
        <v>517</v>
      </c>
      <c r="Y46" s="265" t="s">
        <v>2280</v>
      </c>
      <c r="Z46" s="257" t="s">
        <v>955</v>
      </c>
      <c r="AA46" s="261" t="s">
        <v>2410</v>
      </c>
      <c r="AB46" s="261" t="s">
        <v>488</v>
      </c>
      <c r="AC46" s="261" t="s">
        <v>489</v>
      </c>
      <c r="AD46" s="261" t="s">
        <v>490</v>
      </c>
      <c r="AE46" s="261" t="s">
        <v>491</v>
      </c>
      <c r="AF46" s="261" t="s">
        <v>492</v>
      </c>
      <c r="AG46" s="261" t="s">
        <v>493</v>
      </c>
      <c r="AH46" s="261" t="s">
        <v>494</v>
      </c>
      <c r="AI46" s="261" t="s">
        <v>495</v>
      </c>
    </row>
    <row r="47" spans="1:35" ht="57.6" x14ac:dyDescent="0.3">
      <c r="A47" s="77"/>
      <c r="B47" s="77" t="str">
        <f t="shared" ref="B47:B48" si="11">C47</f>
        <v>Y</v>
      </c>
      <c r="C47" s="77" t="s">
        <v>45</v>
      </c>
      <c r="D47" s="77" t="s">
        <v>2368</v>
      </c>
      <c r="E47" s="80" t="s">
        <v>2374</v>
      </c>
      <c r="F47" s="80" t="s">
        <v>1639</v>
      </c>
      <c r="G47" s="80" t="s">
        <v>526</v>
      </c>
      <c r="H47" s="77">
        <v>401</v>
      </c>
      <c r="I47" s="131" t="s">
        <v>2087</v>
      </c>
      <c r="J47" s="259" t="s">
        <v>50</v>
      </c>
      <c r="K47" s="259" t="s">
        <v>482</v>
      </c>
      <c r="L47" s="259" t="s">
        <v>51</v>
      </c>
      <c r="M47" s="259" t="s">
        <v>13</v>
      </c>
      <c r="N47" s="259" t="s">
        <v>10</v>
      </c>
      <c r="O47" s="259" t="s">
        <v>1372</v>
      </c>
      <c r="P47" s="259" t="s">
        <v>16</v>
      </c>
      <c r="Q47" s="259" t="s">
        <v>952</v>
      </c>
      <c r="R47" s="259" t="s">
        <v>51</v>
      </c>
      <c r="S47" s="271" t="s">
        <v>2370</v>
      </c>
      <c r="T47" s="257" t="s">
        <v>520</v>
      </c>
      <c r="U47" s="259" t="s">
        <v>55</v>
      </c>
      <c r="V47" s="261" t="s">
        <v>2277</v>
      </c>
      <c r="W47" s="259" t="s">
        <v>2278</v>
      </c>
      <c r="X47" s="266" t="s">
        <v>2281</v>
      </c>
      <c r="Y47" s="267" t="s">
        <v>2282</v>
      </c>
      <c r="Z47" s="257" t="s">
        <v>2283</v>
      </c>
      <c r="AA47" s="261" t="s">
        <v>2411</v>
      </c>
      <c r="AB47" s="261" t="s">
        <v>488</v>
      </c>
      <c r="AC47" s="261" t="s">
        <v>489</v>
      </c>
      <c r="AD47" s="261" t="s">
        <v>490</v>
      </c>
      <c r="AE47" s="261" t="s">
        <v>491</v>
      </c>
      <c r="AF47" s="261" t="s">
        <v>492</v>
      </c>
      <c r="AG47" s="261" t="s">
        <v>493</v>
      </c>
      <c r="AH47" s="261" t="s">
        <v>494</v>
      </c>
      <c r="AI47" s="261" t="s">
        <v>495</v>
      </c>
    </row>
    <row r="48" spans="1:35" ht="57.6" x14ac:dyDescent="0.3">
      <c r="A48" s="77"/>
      <c r="B48" s="77" t="str">
        <f t="shared" si="11"/>
        <v>Y</v>
      </c>
      <c r="C48" s="77" t="s">
        <v>45</v>
      </c>
      <c r="D48" s="77" t="s">
        <v>2368</v>
      </c>
      <c r="E48" s="80" t="s">
        <v>2375</v>
      </c>
      <c r="F48" s="80" t="s">
        <v>1639</v>
      </c>
      <c r="G48" s="80" t="s">
        <v>526</v>
      </c>
      <c r="H48" s="77">
        <v>401</v>
      </c>
      <c r="I48" s="131" t="s">
        <v>2087</v>
      </c>
      <c r="J48" s="259" t="s">
        <v>50</v>
      </c>
      <c r="K48" s="259" t="s">
        <v>482</v>
      </c>
      <c r="L48" s="259" t="s">
        <v>51</v>
      </c>
      <c r="M48" s="259" t="s">
        <v>13</v>
      </c>
      <c r="N48" s="259" t="s">
        <v>10</v>
      </c>
      <c r="O48" s="259" t="s">
        <v>1372</v>
      </c>
      <c r="P48" s="259" t="s">
        <v>16</v>
      </c>
      <c r="Q48" s="259" t="s">
        <v>952</v>
      </c>
      <c r="R48" s="259" t="s">
        <v>51</v>
      </c>
      <c r="S48" s="271" t="s">
        <v>2370</v>
      </c>
      <c r="T48" s="257" t="s">
        <v>171</v>
      </c>
      <c r="U48" s="259" t="s">
        <v>55</v>
      </c>
      <c r="V48" s="261" t="s">
        <v>2277</v>
      </c>
      <c r="W48" s="259" t="s">
        <v>2278</v>
      </c>
      <c r="X48" s="264" t="s">
        <v>964</v>
      </c>
      <c r="Y48" s="265" t="s">
        <v>1159</v>
      </c>
      <c r="Z48" s="257" t="s">
        <v>2284</v>
      </c>
      <c r="AA48" s="261" t="s">
        <v>2078</v>
      </c>
      <c r="AB48" s="261" t="s">
        <v>488</v>
      </c>
      <c r="AC48" s="261" t="s">
        <v>489</v>
      </c>
      <c r="AD48" s="261" t="s">
        <v>490</v>
      </c>
      <c r="AE48" s="261" t="s">
        <v>491</v>
      </c>
      <c r="AF48" s="261" t="s">
        <v>492</v>
      </c>
      <c r="AG48" s="261" t="s">
        <v>493</v>
      </c>
      <c r="AH48" s="261" t="s">
        <v>494</v>
      </c>
      <c r="AI48" s="261" t="s">
        <v>495</v>
      </c>
    </row>
    <row r="49" spans="1:35" ht="43.2" x14ac:dyDescent="0.3">
      <c r="A49" s="268">
        <v>20</v>
      </c>
      <c r="B49" s="268" t="str">
        <f t="shared" ref="B49:B52" si="12">C49</f>
        <v>N</v>
      </c>
      <c r="C49" s="268" t="s">
        <v>113</v>
      </c>
      <c r="D49" s="268" t="s">
        <v>2371</v>
      </c>
      <c r="E49" s="170" t="s">
        <v>2372</v>
      </c>
      <c r="F49" s="170" t="s">
        <v>1640</v>
      </c>
      <c r="G49" s="170" t="s">
        <v>1641</v>
      </c>
      <c r="H49" s="268">
        <v>200</v>
      </c>
      <c r="I49" s="160"/>
      <c r="J49" s="170" t="s">
        <v>50</v>
      </c>
      <c r="K49" s="170" t="s">
        <v>482</v>
      </c>
      <c r="L49" s="170" t="s">
        <v>51</v>
      </c>
      <c r="M49" s="170" t="s">
        <v>13</v>
      </c>
      <c r="N49" s="170" t="s">
        <v>10</v>
      </c>
      <c r="O49" s="170" t="s">
        <v>1372</v>
      </c>
      <c r="P49" s="170" t="s">
        <v>16</v>
      </c>
      <c r="Q49" s="170" t="s">
        <v>952</v>
      </c>
      <c r="R49" s="170" t="s">
        <v>51</v>
      </c>
      <c r="S49" s="273"/>
      <c r="T49" s="170" t="s">
        <v>484</v>
      </c>
      <c r="U49" s="170" t="s">
        <v>55</v>
      </c>
      <c r="V49" s="273" t="s">
        <v>2277</v>
      </c>
      <c r="W49" s="170" t="s">
        <v>2278</v>
      </c>
      <c r="X49" s="273" t="s">
        <v>486</v>
      </c>
      <c r="Y49" s="274" t="s">
        <v>2279</v>
      </c>
      <c r="Z49" s="273" t="s">
        <v>955</v>
      </c>
      <c r="AA49" s="273" t="s">
        <v>2409</v>
      </c>
      <c r="AB49" s="273" t="s">
        <v>488</v>
      </c>
      <c r="AC49" s="273" t="s">
        <v>489</v>
      </c>
      <c r="AD49" s="273" t="s">
        <v>490</v>
      </c>
      <c r="AE49" s="273" t="s">
        <v>491</v>
      </c>
      <c r="AF49" s="273" t="s">
        <v>492</v>
      </c>
      <c r="AG49" s="273" t="s">
        <v>493</v>
      </c>
      <c r="AH49" s="273" t="s">
        <v>494</v>
      </c>
      <c r="AI49" s="273" t="s">
        <v>495</v>
      </c>
    </row>
    <row r="50" spans="1:35" ht="43.2" x14ac:dyDescent="0.3">
      <c r="A50" s="268"/>
      <c r="B50" s="268" t="str">
        <f t="shared" si="12"/>
        <v>N</v>
      </c>
      <c r="C50" s="268" t="s">
        <v>113</v>
      </c>
      <c r="D50" s="268" t="s">
        <v>2376</v>
      </c>
      <c r="E50" s="170" t="s">
        <v>2379</v>
      </c>
      <c r="F50" s="170" t="s">
        <v>1640</v>
      </c>
      <c r="G50" s="170" t="s">
        <v>1641</v>
      </c>
      <c r="H50" s="268">
        <v>200</v>
      </c>
      <c r="I50" s="160"/>
      <c r="J50" s="170" t="s">
        <v>50</v>
      </c>
      <c r="K50" s="170" t="s">
        <v>482</v>
      </c>
      <c r="L50" s="170" t="s">
        <v>51</v>
      </c>
      <c r="M50" s="170" t="s">
        <v>13</v>
      </c>
      <c r="N50" s="170" t="s">
        <v>10</v>
      </c>
      <c r="O50" s="170" t="s">
        <v>1372</v>
      </c>
      <c r="P50" s="170" t="s">
        <v>16</v>
      </c>
      <c r="Q50" s="170" t="s">
        <v>952</v>
      </c>
      <c r="R50" s="170" t="s">
        <v>51</v>
      </c>
      <c r="S50" s="273"/>
      <c r="T50" s="268" t="s">
        <v>484</v>
      </c>
      <c r="U50" s="170" t="s">
        <v>55</v>
      </c>
      <c r="V50" s="273" t="s">
        <v>2277</v>
      </c>
      <c r="W50" s="170" t="s">
        <v>2278</v>
      </c>
      <c r="X50" s="275" t="s">
        <v>517</v>
      </c>
      <c r="Y50" s="276" t="s">
        <v>2280</v>
      </c>
      <c r="Z50" s="268" t="s">
        <v>955</v>
      </c>
      <c r="AA50" s="273" t="s">
        <v>2410</v>
      </c>
      <c r="AB50" s="273" t="s">
        <v>488</v>
      </c>
      <c r="AC50" s="273" t="s">
        <v>489</v>
      </c>
      <c r="AD50" s="273" t="s">
        <v>490</v>
      </c>
      <c r="AE50" s="273" t="s">
        <v>491</v>
      </c>
      <c r="AF50" s="273" t="s">
        <v>492</v>
      </c>
      <c r="AG50" s="273" t="s">
        <v>493</v>
      </c>
      <c r="AH50" s="273" t="s">
        <v>494</v>
      </c>
      <c r="AI50" s="273" t="s">
        <v>495</v>
      </c>
    </row>
    <row r="51" spans="1:35" ht="43.2" x14ac:dyDescent="0.3">
      <c r="A51" s="268"/>
      <c r="B51" s="268" t="str">
        <f t="shared" si="12"/>
        <v>N</v>
      </c>
      <c r="C51" s="268" t="s">
        <v>113</v>
      </c>
      <c r="D51" s="268" t="s">
        <v>2377</v>
      </c>
      <c r="E51" s="170" t="s">
        <v>2380</v>
      </c>
      <c r="F51" s="170" t="s">
        <v>1640</v>
      </c>
      <c r="G51" s="170" t="s">
        <v>1641</v>
      </c>
      <c r="H51" s="268">
        <v>200</v>
      </c>
      <c r="I51" s="160"/>
      <c r="J51" s="170" t="s">
        <v>50</v>
      </c>
      <c r="K51" s="170" t="s">
        <v>482</v>
      </c>
      <c r="L51" s="170" t="s">
        <v>51</v>
      </c>
      <c r="M51" s="170" t="s">
        <v>13</v>
      </c>
      <c r="N51" s="170" t="s">
        <v>10</v>
      </c>
      <c r="O51" s="170" t="s">
        <v>1372</v>
      </c>
      <c r="P51" s="170" t="s">
        <v>16</v>
      </c>
      <c r="Q51" s="170" t="s">
        <v>952</v>
      </c>
      <c r="R51" s="170" t="s">
        <v>51</v>
      </c>
      <c r="S51" s="273"/>
      <c r="T51" s="268" t="s">
        <v>520</v>
      </c>
      <c r="U51" s="170" t="s">
        <v>55</v>
      </c>
      <c r="V51" s="273" t="s">
        <v>2277</v>
      </c>
      <c r="W51" s="170" t="s">
        <v>2278</v>
      </c>
      <c r="X51" s="224" t="s">
        <v>2281</v>
      </c>
      <c r="Y51" s="230" t="s">
        <v>2282</v>
      </c>
      <c r="Z51" s="268" t="s">
        <v>2283</v>
      </c>
      <c r="AA51" s="273" t="s">
        <v>2411</v>
      </c>
      <c r="AB51" s="273" t="s">
        <v>488</v>
      </c>
      <c r="AC51" s="273" t="s">
        <v>489</v>
      </c>
      <c r="AD51" s="273" t="s">
        <v>490</v>
      </c>
      <c r="AE51" s="273" t="s">
        <v>491</v>
      </c>
      <c r="AF51" s="273" t="s">
        <v>492</v>
      </c>
      <c r="AG51" s="273" t="s">
        <v>493</v>
      </c>
      <c r="AH51" s="273" t="s">
        <v>494</v>
      </c>
      <c r="AI51" s="273" t="s">
        <v>495</v>
      </c>
    </row>
    <row r="52" spans="1:35" ht="43.2" x14ac:dyDescent="0.3">
      <c r="A52" s="268"/>
      <c r="B52" s="268" t="str">
        <f t="shared" si="12"/>
        <v>N</v>
      </c>
      <c r="C52" s="268" t="s">
        <v>113</v>
      </c>
      <c r="D52" s="268" t="s">
        <v>2378</v>
      </c>
      <c r="E52" s="170" t="s">
        <v>2381</v>
      </c>
      <c r="F52" s="170" t="s">
        <v>1640</v>
      </c>
      <c r="G52" s="170" t="s">
        <v>1641</v>
      </c>
      <c r="H52" s="268">
        <v>200</v>
      </c>
      <c r="I52" s="160"/>
      <c r="J52" s="170" t="s">
        <v>50</v>
      </c>
      <c r="K52" s="170" t="s">
        <v>482</v>
      </c>
      <c r="L52" s="170" t="s">
        <v>51</v>
      </c>
      <c r="M52" s="170" t="s">
        <v>13</v>
      </c>
      <c r="N52" s="170" t="s">
        <v>10</v>
      </c>
      <c r="O52" s="170" t="s">
        <v>1372</v>
      </c>
      <c r="P52" s="170" t="s">
        <v>16</v>
      </c>
      <c r="Q52" s="170" t="s">
        <v>952</v>
      </c>
      <c r="R52" s="170" t="s">
        <v>51</v>
      </c>
      <c r="S52" s="273"/>
      <c r="T52" s="268" t="s">
        <v>171</v>
      </c>
      <c r="U52" s="170" t="s">
        <v>55</v>
      </c>
      <c r="V52" s="273" t="s">
        <v>2277</v>
      </c>
      <c r="W52" s="170" t="s">
        <v>2278</v>
      </c>
      <c r="X52" s="275" t="s">
        <v>964</v>
      </c>
      <c r="Y52" s="276" t="s">
        <v>1159</v>
      </c>
      <c r="Z52" s="268" t="s">
        <v>2284</v>
      </c>
      <c r="AA52" s="273" t="s">
        <v>2078</v>
      </c>
      <c r="AB52" s="273" t="s">
        <v>488</v>
      </c>
      <c r="AC52" s="273" t="s">
        <v>489</v>
      </c>
      <c r="AD52" s="273" t="s">
        <v>490</v>
      </c>
      <c r="AE52" s="273" t="s">
        <v>491</v>
      </c>
      <c r="AF52" s="273" t="s">
        <v>492</v>
      </c>
      <c r="AG52" s="273" t="s">
        <v>493</v>
      </c>
      <c r="AH52" s="273" t="s">
        <v>494</v>
      </c>
      <c r="AI52" s="273" t="s">
        <v>495</v>
      </c>
    </row>
    <row r="53" spans="1:35" ht="57.6" x14ac:dyDescent="0.3">
      <c r="A53" s="268">
        <v>21</v>
      </c>
      <c r="B53" s="268" t="str">
        <f t="shared" si="0"/>
        <v>N</v>
      </c>
      <c r="C53" s="268" t="s">
        <v>113</v>
      </c>
      <c r="D53" s="268" t="s">
        <v>2382</v>
      </c>
      <c r="E53" s="170" t="s">
        <v>2386</v>
      </c>
      <c r="F53" s="170" t="s">
        <v>997</v>
      </c>
      <c r="G53" s="170" t="s">
        <v>1642</v>
      </c>
      <c r="H53" s="268">
        <v>401</v>
      </c>
      <c r="I53" s="172" t="s">
        <v>2087</v>
      </c>
      <c r="J53" s="170" t="s">
        <v>50</v>
      </c>
      <c r="K53" s="170" t="s">
        <v>482</v>
      </c>
      <c r="L53" s="170" t="s">
        <v>51</v>
      </c>
      <c r="M53" s="170" t="s">
        <v>13</v>
      </c>
      <c r="N53" s="170" t="s">
        <v>10</v>
      </c>
      <c r="O53" s="170" t="s">
        <v>1413</v>
      </c>
      <c r="P53" s="170" t="s">
        <v>16</v>
      </c>
      <c r="Q53" s="170" t="s">
        <v>952</v>
      </c>
      <c r="R53" s="170" t="s">
        <v>51</v>
      </c>
      <c r="S53" s="273"/>
      <c r="T53" s="170" t="s">
        <v>484</v>
      </c>
      <c r="U53" s="170" t="s">
        <v>55</v>
      </c>
      <c r="V53" s="273" t="s">
        <v>2277</v>
      </c>
      <c r="W53" s="170" t="s">
        <v>2278</v>
      </c>
      <c r="X53" s="273" t="s">
        <v>486</v>
      </c>
      <c r="Y53" s="274" t="s">
        <v>2279</v>
      </c>
      <c r="Z53" s="273" t="s">
        <v>955</v>
      </c>
      <c r="AA53" s="273" t="s">
        <v>2409</v>
      </c>
      <c r="AB53" s="273" t="s">
        <v>488</v>
      </c>
      <c r="AC53" s="273" t="s">
        <v>489</v>
      </c>
      <c r="AD53" s="273" t="s">
        <v>490</v>
      </c>
      <c r="AE53" s="273" t="s">
        <v>491</v>
      </c>
      <c r="AF53" s="273" t="s">
        <v>492</v>
      </c>
      <c r="AG53" s="273" t="s">
        <v>493</v>
      </c>
      <c r="AH53" s="273" t="s">
        <v>494</v>
      </c>
      <c r="AI53" s="273" t="s">
        <v>495</v>
      </c>
    </row>
    <row r="54" spans="1:35" ht="57.6" x14ac:dyDescent="0.3">
      <c r="A54" s="268"/>
      <c r="B54" s="268" t="str">
        <f t="shared" ref="B54:B56" si="13">C54</f>
        <v>N</v>
      </c>
      <c r="C54" s="268" t="s">
        <v>113</v>
      </c>
      <c r="D54" s="268" t="s">
        <v>2383</v>
      </c>
      <c r="E54" s="170" t="s">
        <v>2387</v>
      </c>
      <c r="F54" s="170" t="s">
        <v>997</v>
      </c>
      <c r="G54" s="170" t="s">
        <v>1642</v>
      </c>
      <c r="H54" s="268">
        <v>401</v>
      </c>
      <c r="I54" s="172" t="s">
        <v>2087</v>
      </c>
      <c r="J54" s="170" t="s">
        <v>50</v>
      </c>
      <c r="K54" s="170" t="s">
        <v>482</v>
      </c>
      <c r="L54" s="170" t="s">
        <v>51</v>
      </c>
      <c r="M54" s="170" t="s">
        <v>13</v>
      </c>
      <c r="N54" s="170" t="s">
        <v>10</v>
      </c>
      <c r="O54" s="170" t="s">
        <v>2390</v>
      </c>
      <c r="P54" s="170" t="s">
        <v>16</v>
      </c>
      <c r="Q54" s="170" t="s">
        <v>952</v>
      </c>
      <c r="R54" s="170" t="s">
        <v>51</v>
      </c>
      <c r="S54" s="273"/>
      <c r="T54" s="268" t="s">
        <v>484</v>
      </c>
      <c r="U54" s="170" t="s">
        <v>55</v>
      </c>
      <c r="V54" s="273" t="s">
        <v>2277</v>
      </c>
      <c r="W54" s="170" t="s">
        <v>2278</v>
      </c>
      <c r="X54" s="275" t="s">
        <v>517</v>
      </c>
      <c r="Y54" s="276" t="s">
        <v>2280</v>
      </c>
      <c r="Z54" s="268" t="s">
        <v>955</v>
      </c>
      <c r="AA54" s="273" t="s">
        <v>2410</v>
      </c>
      <c r="AB54" s="273" t="s">
        <v>488</v>
      </c>
      <c r="AC54" s="273" t="s">
        <v>489</v>
      </c>
      <c r="AD54" s="273" t="s">
        <v>490</v>
      </c>
      <c r="AE54" s="273" t="s">
        <v>491</v>
      </c>
      <c r="AF54" s="273" t="s">
        <v>492</v>
      </c>
      <c r="AG54" s="273" t="s">
        <v>493</v>
      </c>
      <c r="AH54" s="273" t="s">
        <v>494</v>
      </c>
      <c r="AI54" s="273" t="s">
        <v>495</v>
      </c>
    </row>
    <row r="55" spans="1:35" ht="57.6" x14ac:dyDescent="0.3">
      <c r="A55" s="268"/>
      <c r="B55" s="268" t="str">
        <f t="shared" si="13"/>
        <v>N</v>
      </c>
      <c r="C55" s="268" t="s">
        <v>113</v>
      </c>
      <c r="D55" s="268" t="s">
        <v>2384</v>
      </c>
      <c r="E55" s="170" t="s">
        <v>2388</v>
      </c>
      <c r="F55" s="170" t="s">
        <v>997</v>
      </c>
      <c r="G55" s="170" t="s">
        <v>1642</v>
      </c>
      <c r="H55" s="268">
        <v>401</v>
      </c>
      <c r="I55" s="172" t="s">
        <v>2087</v>
      </c>
      <c r="J55" s="170" t="s">
        <v>50</v>
      </c>
      <c r="K55" s="170" t="s">
        <v>482</v>
      </c>
      <c r="L55" s="170" t="s">
        <v>51</v>
      </c>
      <c r="M55" s="170" t="s">
        <v>13</v>
      </c>
      <c r="N55" s="170" t="s">
        <v>10</v>
      </c>
      <c r="O55" s="170" t="s">
        <v>2391</v>
      </c>
      <c r="P55" s="170" t="s">
        <v>16</v>
      </c>
      <c r="Q55" s="170" t="s">
        <v>952</v>
      </c>
      <c r="R55" s="170" t="s">
        <v>51</v>
      </c>
      <c r="S55" s="273"/>
      <c r="T55" s="268" t="s">
        <v>520</v>
      </c>
      <c r="U55" s="170" t="s">
        <v>55</v>
      </c>
      <c r="V55" s="273" t="s">
        <v>2277</v>
      </c>
      <c r="W55" s="170" t="s">
        <v>2278</v>
      </c>
      <c r="X55" s="224" t="s">
        <v>2281</v>
      </c>
      <c r="Y55" s="230" t="s">
        <v>2282</v>
      </c>
      <c r="Z55" s="268" t="s">
        <v>2283</v>
      </c>
      <c r="AA55" s="273" t="s">
        <v>2411</v>
      </c>
      <c r="AB55" s="273" t="s">
        <v>488</v>
      </c>
      <c r="AC55" s="273" t="s">
        <v>489</v>
      </c>
      <c r="AD55" s="273" t="s">
        <v>490</v>
      </c>
      <c r="AE55" s="273" t="s">
        <v>491</v>
      </c>
      <c r="AF55" s="273" t="s">
        <v>492</v>
      </c>
      <c r="AG55" s="273" t="s">
        <v>493</v>
      </c>
      <c r="AH55" s="273" t="s">
        <v>494</v>
      </c>
      <c r="AI55" s="273" t="s">
        <v>495</v>
      </c>
    </row>
    <row r="56" spans="1:35" ht="57.6" x14ac:dyDescent="0.3">
      <c r="A56" s="268"/>
      <c r="B56" s="268" t="str">
        <f t="shared" si="13"/>
        <v>N</v>
      </c>
      <c r="C56" s="268" t="s">
        <v>113</v>
      </c>
      <c r="D56" s="268" t="s">
        <v>2385</v>
      </c>
      <c r="E56" s="170" t="s">
        <v>2389</v>
      </c>
      <c r="F56" s="170" t="s">
        <v>997</v>
      </c>
      <c r="G56" s="170" t="s">
        <v>1642</v>
      </c>
      <c r="H56" s="268">
        <v>401</v>
      </c>
      <c r="I56" s="172" t="s">
        <v>2087</v>
      </c>
      <c r="J56" s="170" t="s">
        <v>50</v>
      </c>
      <c r="K56" s="170" t="s">
        <v>482</v>
      </c>
      <c r="L56" s="170" t="s">
        <v>51</v>
      </c>
      <c r="M56" s="170" t="s">
        <v>13</v>
      </c>
      <c r="N56" s="170" t="s">
        <v>10</v>
      </c>
      <c r="O56" s="170" t="s">
        <v>2392</v>
      </c>
      <c r="P56" s="170" t="s">
        <v>16</v>
      </c>
      <c r="Q56" s="170" t="s">
        <v>952</v>
      </c>
      <c r="R56" s="170" t="s">
        <v>51</v>
      </c>
      <c r="S56" s="273"/>
      <c r="T56" s="268" t="s">
        <v>171</v>
      </c>
      <c r="U56" s="170" t="s">
        <v>55</v>
      </c>
      <c r="V56" s="273" t="s">
        <v>2277</v>
      </c>
      <c r="W56" s="170" t="s">
        <v>2278</v>
      </c>
      <c r="X56" s="275" t="s">
        <v>964</v>
      </c>
      <c r="Y56" s="276" t="s">
        <v>1159</v>
      </c>
      <c r="Z56" s="268" t="s">
        <v>2284</v>
      </c>
      <c r="AA56" s="273" t="s">
        <v>2078</v>
      </c>
      <c r="AB56" s="273" t="s">
        <v>488</v>
      </c>
      <c r="AC56" s="273" t="s">
        <v>489</v>
      </c>
      <c r="AD56" s="273" t="s">
        <v>490</v>
      </c>
      <c r="AE56" s="273" t="s">
        <v>491</v>
      </c>
      <c r="AF56" s="273" t="s">
        <v>492</v>
      </c>
      <c r="AG56" s="273" t="s">
        <v>493</v>
      </c>
      <c r="AH56" s="273" t="s">
        <v>494</v>
      </c>
      <c r="AI56" s="273" t="s">
        <v>495</v>
      </c>
    </row>
    <row r="57" spans="1:35" ht="43.8" customHeight="1" x14ac:dyDescent="0.3">
      <c r="A57" s="77">
        <v>22</v>
      </c>
      <c r="B57" s="77" t="str">
        <f t="shared" si="0"/>
        <v>Y</v>
      </c>
      <c r="C57" s="77" t="s">
        <v>45</v>
      </c>
      <c r="D57" s="77" t="s">
        <v>2393</v>
      </c>
      <c r="E57" s="80" t="s">
        <v>2394</v>
      </c>
      <c r="F57" s="80" t="s">
        <v>525</v>
      </c>
      <c r="G57" s="80" t="s">
        <v>526</v>
      </c>
      <c r="H57" s="77">
        <v>401</v>
      </c>
      <c r="I57" s="131" t="s">
        <v>1964</v>
      </c>
      <c r="J57" s="259" t="s">
        <v>50</v>
      </c>
      <c r="K57" s="259" t="s">
        <v>482</v>
      </c>
      <c r="L57" s="259" t="s">
        <v>51</v>
      </c>
      <c r="M57" s="259" t="s">
        <v>13</v>
      </c>
      <c r="N57" s="259" t="s">
        <v>10</v>
      </c>
      <c r="O57" s="259" t="s">
        <v>1372</v>
      </c>
      <c r="P57" s="259" t="s">
        <v>16</v>
      </c>
      <c r="Q57" s="259" t="s">
        <v>952</v>
      </c>
      <c r="R57" s="259" t="s">
        <v>51</v>
      </c>
      <c r="S57" s="271" t="s">
        <v>1977</v>
      </c>
      <c r="T57" s="259" t="s">
        <v>484</v>
      </c>
      <c r="U57" s="259" t="s">
        <v>55</v>
      </c>
      <c r="V57" s="261" t="s">
        <v>2277</v>
      </c>
      <c r="W57" s="259" t="s">
        <v>2278</v>
      </c>
      <c r="X57" s="261" t="s">
        <v>486</v>
      </c>
      <c r="Y57" s="262" t="s">
        <v>2279</v>
      </c>
      <c r="Z57" s="261" t="s">
        <v>955</v>
      </c>
      <c r="AA57" s="261" t="s">
        <v>2409</v>
      </c>
      <c r="AB57" s="261" t="s">
        <v>488</v>
      </c>
      <c r="AC57" s="261" t="s">
        <v>489</v>
      </c>
      <c r="AD57" s="261" t="s">
        <v>490</v>
      </c>
      <c r="AE57" s="261" t="s">
        <v>491</v>
      </c>
      <c r="AF57" s="261" t="s">
        <v>492</v>
      </c>
      <c r="AG57" s="261" t="s">
        <v>493</v>
      </c>
      <c r="AH57" s="261" t="s">
        <v>494</v>
      </c>
      <c r="AI57" s="261" t="s">
        <v>495</v>
      </c>
    </row>
    <row r="58" spans="1:35" ht="43.8" customHeight="1" x14ac:dyDescent="0.3">
      <c r="A58" s="77"/>
      <c r="B58" s="77" t="str">
        <f t="shared" ref="B58:B60" si="14">C58</f>
        <v>Y</v>
      </c>
      <c r="C58" s="77" t="s">
        <v>45</v>
      </c>
      <c r="D58" s="77" t="s">
        <v>2395</v>
      </c>
      <c r="E58" s="80" t="s">
        <v>2398</v>
      </c>
      <c r="F58" s="80" t="s">
        <v>525</v>
      </c>
      <c r="G58" s="80" t="s">
        <v>526</v>
      </c>
      <c r="H58" s="77">
        <v>401</v>
      </c>
      <c r="I58" s="131" t="s">
        <v>1964</v>
      </c>
      <c r="J58" s="259" t="s">
        <v>50</v>
      </c>
      <c r="K58" s="259" t="s">
        <v>482</v>
      </c>
      <c r="L58" s="259" t="s">
        <v>51</v>
      </c>
      <c r="M58" s="259" t="s">
        <v>13</v>
      </c>
      <c r="N58" s="259" t="s">
        <v>10</v>
      </c>
      <c r="O58" s="259" t="s">
        <v>1372</v>
      </c>
      <c r="P58" s="259" t="s">
        <v>16</v>
      </c>
      <c r="Q58" s="259" t="s">
        <v>952</v>
      </c>
      <c r="R58" s="259" t="s">
        <v>51</v>
      </c>
      <c r="S58" s="271" t="s">
        <v>1977</v>
      </c>
      <c r="T58" s="257" t="s">
        <v>484</v>
      </c>
      <c r="U58" s="259" t="s">
        <v>55</v>
      </c>
      <c r="V58" s="261" t="s">
        <v>2277</v>
      </c>
      <c r="W58" s="259" t="s">
        <v>2278</v>
      </c>
      <c r="X58" s="264" t="s">
        <v>517</v>
      </c>
      <c r="Y58" s="265" t="s">
        <v>2280</v>
      </c>
      <c r="Z58" s="257" t="s">
        <v>955</v>
      </c>
      <c r="AA58" s="261" t="s">
        <v>2410</v>
      </c>
      <c r="AB58" s="261" t="s">
        <v>488</v>
      </c>
      <c r="AC58" s="261" t="s">
        <v>489</v>
      </c>
      <c r="AD58" s="261" t="s">
        <v>490</v>
      </c>
      <c r="AE58" s="261" t="s">
        <v>491</v>
      </c>
      <c r="AF58" s="261" t="s">
        <v>492</v>
      </c>
      <c r="AG58" s="261" t="s">
        <v>493</v>
      </c>
      <c r="AH58" s="261" t="s">
        <v>494</v>
      </c>
      <c r="AI58" s="261" t="s">
        <v>495</v>
      </c>
    </row>
    <row r="59" spans="1:35" ht="43.8" customHeight="1" x14ac:dyDescent="0.3">
      <c r="A59" s="77"/>
      <c r="B59" s="77" t="str">
        <f t="shared" si="14"/>
        <v>Y</v>
      </c>
      <c r="C59" s="77" t="s">
        <v>45</v>
      </c>
      <c r="D59" s="77" t="s">
        <v>2396</v>
      </c>
      <c r="E59" s="80" t="s">
        <v>2399</v>
      </c>
      <c r="F59" s="80" t="s">
        <v>525</v>
      </c>
      <c r="G59" s="80" t="s">
        <v>526</v>
      </c>
      <c r="H59" s="77">
        <v>401</v>
      </c>
      <c r="I59" s="131" t="s">
        <v>1964</v>
      </c>
      <c r="J59" s="259" t="s">
        <v>50</v>
      </c>
      <c r="K59" s="259" t="s">
        <v>482</v>
      </c>
      <c r="L59" s="259" t="s">
        <v>51</v>
      </c>
      <c r="M59" s="259" t="s">
        <v>13</v>
      </c>
      <c r="N59" s="259" t="s">
        <v>10</v>
      </c>
      <c r="O59" s="259" t="s">
        <v>1372</v>
      </c>
      <c r="P59" s="259" t="s">
        <v>16</v>
      </c>
      <c r="Q59" s="259" t="s">
        <v>952</v>
      </c>
      <c r="R59" s="259" t="s">
        <v>51</v>
      </c>
      <c r="S59" s="271" t="s">
        <v>1977</v>
      </c>
      <c r="T59" s="257" t="s">
        <v>520</v>
      </c>
      <c r="U59" s="259" t="s">
        <v>55</v>
      </c>
      <c r="V59" s="261" t="s">
        <v>2277</v>
      </c>
      <c r="W59" s="259" t="s">
        <v>2278</v>
      </c>
      <c r="X59" s="266" t="s">
        <v>2281</v>
      </c>
      <c r="Y59" s="267" t="s">
        <v>2282</v>
      </c>
      <c r="Z59" s="257" t="s">
        <v>2283</v>
      </c>
      <c r="AA59" s="261" t="s">
        <v>2411</v>
      </c>
      <c r="AB59" s="261" t="s">
        <v>488</v>
      </c>
      <c r="AC59" s="261" t="s">
        <v>489</v>
      </c>
      <c r="AD59" s="261" t="s">
        <v>490</v>
      </c>
      <c r="AE59" s="261" t="s">
        <v>491</v>
      </c>
      <c r="AF59" s="261" t="s">
        <v>492</v>
      </c>
      <c r="AG59" s="261" t="s">
        <v>493</v>
      </c>
      <c r="AH59" s="261" t="s">
        <v>494</v>
      </c>
      <c r="AI59" s="261" t="s">
        <v>495</v>
      </c>
    </row>
    <row r="60" spans="1:35" ht="43.8" customHeight="1" x14ac:dyDescent="0.3">
      <c r="A60" s="77"/>
      <c r="B60" s="77" t="str">
        <f t="shared" si="14"/>
        <v>Y</v>
      </c>
      <c r="C60" s="77" t="s">
        <v>45</v>
      </c>
      <c r="D60" s="77" t="s">
        <v>2397</v>
      </c>
      <c r="E60" s="80" t="s">
        <v>2400</v>
      </c>
      <c r="F60" s="80" t="s">
        <v>525</v>
      </c>
      <c r="G60" s="80" t="s">
        <v>526</v>
      </c>
      <c r="H60" s="77">
        <v>401</v>
      </c>
      <c r="I60" s="131" t="s">
        <v>1964</v>
      </c>
      <c r="J60" s="259" t="s">
        <v>50</v>
      </c>
      <c r="K60" s="259" t="s">
        <v>482</v>
      </c>
      <c r="L60" s="259" t="s">
        <v>51</v>
      </c>
      <c r="M60" s="259" t="s">
        <v>13</v>
      </c>
      <c r="N60" s="259" t="s">
        <v>10</v>
      </c>
      <c r="O60" s="259" t="s">
        <v>1372</v>
      </c>
      <c r="P60" s="259" t="s">
        <v>16</v>
      </c>
      <c r="Q60" s="259" t="s">
        <v>952</v>
      </c>
      <c r="R60" s="259" t="s">
        <v>51</v>
      </c>
      <c r="S60" s="271" t="s">
        <v>1977</v>
      </c>
      <c r="T60" s="257" t="s">
        <v>171</v>
      </c>
      <c r="U60" s="259" t="s">
        <v>55</v>
      </c>
      <c r="V60" s="261" t="s">
        <v>2277</v>
      </c>
      <c r="W60" s="259" t="s">
        <v>2278</v>
      </c>
      <c r="X60" s="264" t="s">
        <v>964</v>
      </c>
      <c r="Y60" s="265" t="s">
        <v>1159</v>
      </c>
      <c r="Z60" s="257" t="s">
        <v>2284</v>
      </c>
      <c r="AA60" s="261" t="s">
        <v>2078</v>
      </c>
      <c r="AB60" s="261" t="s">
        <v>488</v>
      </c>
      <c r="AC60" s="261" t="s">
        <v>489</v>
      </c>
      <c r="AD60" s="261" t="s">
        <v>490</v>
      </c>
      <c r="AE60" s="261" t="s">
        <v>491</v>
      </c>
      <c r="AF60" s="261" t="s">
        <v>492</v>
      </c>
      <c r="AG60" s="261" t="s">
        <v>493</v>
      </c>
      <c r="AH60" s="261" t="s">
        <v>494</v>
      </c>
      <c r="AI60" s="261" t="s">
        <v>495</v>
      </c>
    </row>
    <row r="61" spans="1:35" ht="216" x14ac:dyDescent="0.3">
      <c r="A61" s="77">
        <v>23</v>
      </c>
      <c r="B61" s="268" t="str">
        <f t="shared" si="0"/>
        <v>N</v>
      </c>
      <c r="C61" s="268" t="s">
        <v>113</v>
      </c>
      <c r="D61" s="268" t="s">
        <v>1643</v>
      </c>
      <c r="E61" s="170" t="s">
        <v>1644</v>
      </c>
      <c r="F61" s="170" t="s">
        <v>535</v>
      </c>
      <c r="G61" s="170" t="s">
        <v>1645</v>
      </c>
      <c r="H61" s="268">
        <v>200</v>
      </c>
      <c r="I61" s="172" t="s">
        <v>2402</v>
      </c>
      <c r="J61" s="170" t="s">
        <v>50</v>
      </c>
      <c r="K61" s="170" t="s">
        <v>482</v>
      </c>
      <c r="L61" s="170" t="s">
        <v>51</v>
      </c>
      <c r="M61" s="170" t="s">
        <v>13</v>
      </c>
      <c r="N61" s="170" t="s">
        <v>10</v>
      </c>
      <c r="O61" s="170" t="s">
        <v>1372</v>
      </c>
      <c r="P61" s="170" t="s">
        <v>16</v>
      </c>
      <c r="Q61" s="170" t="s">
        <v>952</v>
      </c>
      <c r="R61" s="170" t="s">
        <v>51</v>
      </c>
      <c r="S61" s="273" t="s">
        <v>2401</v>
      </c>
      <c r="T61" s="170" t="s">
        <v>484</v>
      </c>
      <c r="U61" s="170" t="s">
        <v>55</v>
      </c>
      <c r="V61" s="273" t="s">
        <v>2403</v>
      </c>
      <c r="W61" s="170" t="s">
        <v>2278</v>
      </c>
      <c r="X61" s="273" t="s">
        <v>486</v>
      </c>
      <c r="Y61" s="274" t="s">
        <v>2279</v>
      </c>
      <c r="Z61" s="273" t="s">
        <v>955</v>
      </c>
      <c r="AA61" s="170">
        <v>1</v>
      </c>
      <c r="AB61" s="273" t="s">
        <v>488</v>
      </c>
      <c r="AC61" s="273" t="s">
        <v>489</v>
      </c>
      <c r="AD61" s="273" t="s">
        <v>490</v>
      </c>
      <c r="AE61" s="273" t="s">
        <v>491</v>
      </c>
      <c r="AF61" s="273" t="s">
        <v>492</v>
      </c>
      <c r="AG61" s="273" t="s">
        <v>493</v>
      </c>
      <c r="AH61" s="273" t="s">
        <v>494</v>
      </c>
      <c r="AI61" s="273" t="s">
        <v>495</v>
      </c>
    </row>
    <row r="62" spans="1:35" ht="201.6" x14ac:dyDescent="0.3">
      <c r="A62" s="77">
        <v>24</v>
      </c>
      <c r="B62" s="268" t="str">
        <f t="shared" si="0"/>
        <v>N</v>
      </c>
      <c r="C62" s="268" t="s">
        <v>113</v>
      </c>
      <c r="D62" s="268" t="s">
        <v>1646</v>
      </c>
      <c r="E62" s="170" t="s">
        <v>1647</v>
      </c>
      <c r="F62" s="170" t="s">
        <v>539</v>
      </c>
      <c r="G62" s="170" t="s">
        <v>1648</v>
      </c>
      <c r="H62" s="268">
        <v>200</v>
      </c>
      <c r="I62" s="172" t="s">
        <v>2402</v>
      </c>
      <c r="J62" s="170" t="s">
        <v>50</v>
      </c>
      <c r="K62" s="170" t="s">
        <v>482</v>
      </c>
      <c r="L62" s="170" t="s">
        <v>51</v>
      </c>
      <c r="M62" s="170" t="s">
        <v>13</v>
      </c>
      <c r="N62" s="170" t="s">
        <v>10</v>
      </c>
      <c r="O62" s="170" t="s">
        <v>1372</v>
      </c>
      <c r="P62" s="170" t="s">
        <v>16</v>
      </c>
      <c r="Q62" s="170" t="s">
        <v>952</v>
      </c>
      <c r="R62" s="170" t="s">
        <v>51</v>
      </c>
      <c r="S62" s="273" t="s">
        <v>2401</v>
      </c>
      <c r="T62" s="268" t="s">
        <v>484</v>
      </c>
      <c r="U62" s="170" t="s">
        <v>55</v>
      </c>
      <c r="V62" s="273" t="s">
        <v>2403</v>
      </c>
      <c r="W62" s="170" t="s">
        <v>2278</v>
      </c>
      <c r="X62" s="275" t="s">
        <v>517</v>
      </c>
      <c r="Y62" s="276" t="s">
        <v>2280</v>
      </c>
      <c r="Z62" s="268" t="s">
        <v>955</v>
      </c>
      <c r="AA62" s="268">
        <v>2</v>
      </c>
      <c r="AB62" s="273" t="s">
        <v>488</v>
      </c>
      <c r="AC62" s="273" t="s">
        <v>489</v>
      </c>
      <c r="AD62" s="273" t="s">
        <v>490</v>
      </c>
      <c r="AE62" s="273" t="s">
        <v>491</v>
      </c>
      <c r="AF62" s="273" t="s">
        <v>492</v>
      </c>
      <c r="AG62" s="273" t="s">
        <v>493</v>
      </c>
      <c r="AH62" s="273" t="s">
        <v>494</v>
      </c>
      <c r="AI62" s="273" t="s">
        <v>495</v>
      </c>
    </row>
    <row r="63" spans="1:35" ht="201.6" x14ac:dyDescent="0.3">
      <c r="A63" s="77">
        <v>25</v>
      </c>
      <c r="B63" s="268" t="str">
        <f t="shared" si="0"/>
        <v>N</v>
      </c>
      <c r="C63" s="268" t="s">
        <v>113</v>
      </c>
      <c r="D63" s="268" t="s">
        <v>1649</v>
      </c>
      <c r="E63" s="170" t="s">
        <v>1650</v>
      </c>
      <c r="F63" s="170" t="s">
        <v>543</v>
      </c>
      <c r="G63" s="170" t="s">
        <v>1651</v>
      </c>
      <c r="H63" s="268">
        <v>200</v>
      </c>
      <c r="I63" s="172" t="s">
        <v>2402</v>
      </c>
      <c r="J63" s="170" t="s">
        <v>50</v>
      </c>
      <c r="K63" s="170" t="s">
        <v>482</v>
      </c>
      <c r="L63" s="170" t="s">
        <v>51</v>
      </c>
      <c r="M63" s="170" t="s">
        <v>13</v>
      </c>
      <c r="N63" s="170" t="s">
        <v>10</v>
      </c>
      <c r="O63" s="170" t="s">
        <v>1372</v>
      </c>
      <c r="P63" s="170" t="s">
        <v>16</v>
      </c>
      <c r="Q63" s="170" t="s">
        <v>952</v>
      </c>
      <c r="R63" s="170" t="s">
        <v>51</v>
      </c>
      <c r="S63" s="273" t="s">
        <v>2401</v>
      </c>
      <c r="T63" s="268" t="s">
        <v>520</v>
      </c>
      <c r="U63" s="170" t="s">
        <v>55</v>
      </c>
      <c r="V63" s="273" t="s">
        <v>2403</v>
      </c>
      <c r="W63" s="170" t="s">
        <v>2278</v>
      </c>
      <c r="X63" s="224" t="s">
        <v>2281</v>
      </c>
      <c r="Y63" s="230" t="s">
        <v>2282</v>
      </c>
      <c r="Z63" s="268" t="s">
        <v>2283</v>
      </c>
      <c r="AA63" s="268">
        <v>3</v>
      </c>
      <c r="AB63" s="273" t="s">
        <v>488</v>
      </c>
      <c r="AC63" s="273" t="s">
        <v>489</v>
      </c>
      <c r="AD63" s="273" t="s">
        <v>490</v>
      </c>
      <c r="AE63" s="273" t="s">
        <v>491</v>
      </c>
      <c r="AF63" s="273" t="s">
        <v>492</v>
      </c>
      <c r="AG63" s="273" t="s">
        <v>493</v>
      </c>
      <c r="AH63" s="273" t="s">
        <v>494</v>
      </c>
      <c r="AI63" s="273" t="s">
        <v>495</v>
      </c>
    </row>
    <row r="64" spans="1:35" ht="201.6" x14ac:dyDescent="0.3">
      <c r="A64" s="77">
        <v>26</v>
      </c>
      <c r="B64" s="268" t="str">
        <f t="shared" si="0"/>
        <v>N</v>
      </c>
      <c r="C64" s="268" t="s">
        <v>113</v>
      </c>
      <c r="D64" s="268" t="s">
        <v>1652</v>
      </c>
      <c r="E64" s="170" t="s">
        <v>1653</v>
      </c>
      <c r="F64" s="170" t="s">
        <v>547</v>
      </c>
      <c r="G64" s="170" t="s">
        <v>1648</v>
      </c>
      <c r="H64" s="268">
        <v>200</v>
      </c>
      <c r="I64" s="172" t="s">
        <v>2402</v>
      </c>
      <c r="J64" s="170" t="s">
        <v>50</v>
      </c>
      <c r="K64" s="170" t="s">
        <v>482</v>
      </c>
      <c r="L64" s="170" t="s">
        <v>51</v>
      </c>
      <c r="M64" s="170" t="s">
        <v>13</v>
      </c>
      <c r="N64" s="170" t="s">
        <v>10</v>
      </c>
      <c r="O64" s="170" t="s">
        <v>1372</v>
      </c>
      <c r="P64" s="170" t="s">
        <v>16</v>
      </c>
      <c r="Q64" s="170" t="s">
        <v>952</v>
      </c>
      <c r="R64" s="170" t="s">
        <v>51</v>
      </c>
      <c r="S64" s="273" t="s">
        <v>2401</v>
      </c>
      <c r="T64" s="268" t="s">
        <v>171</v>
      </c>
      <c r="U64" s="170" t="s">
        <v>55</v>
      </c>
      <c r="V64" s="273" t="s">
        <v>2403</v>
      </c>
      <c r="W64" s="170" t="s">
        <v>2278</v>
      </c>
      <c r="X64" s="275" t="s">
        <v>964</v>
      </c>
      <c r="Y64" s="276" t="s">
        <v>1159</v>
      </c>
      <c r="Z64" s="268" t="s">
        <v>2284</v>
      </c>
      <c r="AA64" s="268">
        <v>4</v>
      </c>
      <c r="AB64" s="273" t="s">
        <v>488</v>
      </c>
      <c r="AC64" s="273" t="s">
        <v>489</v>
      </c>
      <c r="AD64" s="273" t="s">
        <v>490</v>
      </c>
      <c r="AE64" s="273" t="s">
        <v>491</v>
      </c>
      <c r="AF64" s="273" t="s">
        <v>492</v>
      </c>
      <c r="AG64" s="273" t="s">
        <v>493</v>
      </c>
      <c r="AH64" s="273" t="s">
        <v>494</v>
      </c>
      <c r="AI64" s="273" t="s">
        <v>495</v>
      </c>
    </row>
    <row r="65" spans="1:35" ht="201.6" x14ac:dyDescent="0.3">
      <c r="A65" s="77">
        <v>27</v>
      </c>
      <c r="B65" s="77" t="str">
        <f t="shared" si="0"/>
        <v>Y</v>
      </c>
      <c r="C65" s="77" t="s">
        <v>45</v>
      </c>
      <c r="D65" s="77" t="s">
        <v>1654</v>
      </c>
      <c r="E65" s="84" t="s">
        <v>1655</v>
      </c>
      <c r="F65" s="80" t="s">
        <v>1000</v>
      </c>
      <c r="G65" s="96" t="s">
        <v>1648</v>
      </c>
      <c r="H65" s="77">
        <v>200</v>
      </c>
      <c r="I65" s="15"/>
      <c r="J65" s="259" t="s">
        <v>50</v>
      </c>
      <c r="K65" s="259" t="s">
        <v>482</v>
      </c>
      <c r="L65" s="259" t="s">
        <v>51</v>
      </c>
      <c r="M65" s="259" t="s">
        <v>13</v>
      </c>
      <c r="N65" s="259" t="s">
        <v>10</v>
      </c>
      <c r="O65" s="259" t="s">
        <v>1372</v>
      </c>
      <c r="P65" s="259" t="s">
        <v>16</v>
      </c>
      <c r="Q65" s="259" t="s">
        <v>952</v>
      </c>
      <c r="R65" s="259" t="s">
        <v>51</v>
      </c>
      <c r="S65" s="277"/>
      <c r="T65" s="259" t="s">
        <v>484</v>
      </c>
      <c r="U65" s="259" t="s">
        <v>55</v>
      </c>
      <c r="V65" s="261" t="s">
        <v>2404</v>
      </c>
      <c r="W65" s="259" t="s">
        <v>2278</v>
      </c>
      <c r="X65" s="261" t="s">
        <v>486</v>
      </c>
      <c r="Y65" s="262" t="s">
        <v>2279</v>
      </c>
      <c r="Z65" s="261" t="s">
        <v>955</v>
      </c>
      <c r="AA65" s="261" t="s">
        <v>2407</v>
      </c>
      <c r="AB65" s="261" t="s">
        <v>488</v>
      </c>
      <c r="AC65" s="261" t="s">
        <v>489</v>
      </c>
      <c r="AD65" s="261" t="s">
        <v>490</v>
      </c>
      <c r="AE65" s="261" t="s">
        <v>491</v>
      </c>
      <c r="AF65" s="261" t="s">
        <v>492</v>
      </c>
      <c r="AG65" s="261" t="s">
        <v>493</v>
      </c>
      <c r="AH65" s="261" t="s">
        <v>494</v>
      </c>
      <c r="AI65" s="261" t="s">
        <v>495</v>
      </c>
    </row>
    <row r="66" spans="1:35" ht="201.6" x14ac:dyDescent="0.3">
      <c r="A66" s="77">
        <v>28</v>
      </c>
      <c r="B66" s="77" t="str">
        <f t="shared" ref="B66" si="15">C66</f>
        <v>Y</v>
      </c>
      <c r="C66" s="77" t="s">
        <v>45</v>
      </c>
      <c r="D66" s="77" t="s">
        <v>1656</v>
      </c>
      <c r="E66" s="84" t="s">
        <v>1657</v>
      </c>
      <c r="F66" s="80" t="s">
        <v>1004</v>
      </c>
      <c r="G66" s="96" t="s">
        <v>1658</v>
      </c>
      <c r="H66" s="77">
        <v>200</v>
      </c>
      <c r="I66" s="15"/>
      <c r="J66" s="259" t="s">
        <v>50</v>
      </c>
      <c r="K66" s="259" t="s">
        <v>482</v>
      </c>
      <c r="L66" s="259" t="s">
        <v>51</v>
      </c>
      <c r="M66" s="259" t="s">
        <v>13</v>
      </c>
      <c r="N66" s="259" t="s">
        <v>10</v>
      </c>
      <c r="O66" s="259" t="s">
        <v>1372</v>
      </c>
      <c r="P66" s="259" t="s">
        <v>16</v>
      </c>
      <c r="Q66" s="259" t="s">
        <v>952</v>
      </c>
      <c r="R66" s="259" t="s">
        <v>51</v>
      </c>
      <c r="S66" s="277"/>
      <c r="T66" s="257" t="s">
        <v>484</v>
      </c>
      <c r="U66" s="259" t="s">
        <v>55</v>
      </c>
      <c r="V66" s="261" t="s">
        <v>2404</v>
      </c>
      <c r="W66" s="259" t="s">
        <v>2278</v>
      </c>
      <c r="X66" s="264" t="s">
        <v>517</v>
      </c>
      <c r="Y66" s="265" t="s">
        <v>2280</v>
      </c>
      <c r="Z66" s="257" t="s">
        <v>955</v>
      </c>
      <c r="AA66" s="261" t="s">
        <v>2408</v>
      </c>
      <c r="AB66" s="261" t="s">
        <v>488</v>
      </c>
      <c r="AC66" s="261" t="s">
        <v>489</v>
      </c>
      <c r="AD66" s="261" t="s">
        <v>490</v>
      </c>
      <c r="AE66" s="261" t="s">
        <v>491</v>
      </c>
      <c r="AF66" s="261" t="s">
        <v>492</v>
      </c>
      <c r="AG66" s="261" t="s">
        <v>493</v>
      </c>
      <c r="AH66" s="261" t="s">
        <v>494</v>
      </c>
      <c r="AI66" s="261" t="s">
        <v>495</v>
      </c>
    </row>
    <row r="67" spans="1:35" ht="201.6" x14ac:dyDescent="0.3">
      <c r="A67" s="77">
        <v>29</v>
      </c>
      <c r="B67" s="77" t="str">
        <f t="shared" si="0"/>
        <v>Y</v>
      </c>
      <c r="C67" s="77" t="s">
        <v>45</v>
      </c>
      <c r="D67" s="77" t="s">
        <v>1659</v>
      </c>
      <c r="E67" s="84" t="s">
        <v>1660</v>
      </c>
      <c r="F67" s="80" t="s">
        <v>1007</v>
      </c>
      <c r="G67" s="96" t="s">
        <v>1648</v>
      </c>
      <c r="H67" s="77">
        <v>200</v>
      </c>
      <c r="I67" s="15"/>
      <c r="J67" s="259" t="s">
        <v>50</v>
      </c>
      <c r="K67" s="259" t="s">
        <v>482</v>
      </c>
      <c r="L67" s="259" t="s">
        <v>51</v>
      </c>
      <c r="M67" s="259" t="s">
        <v>13</v>
      </c>
      <c r="N67" s="259" t="s">
        <v>10</v>
      </c>
      <c r="O67" s="259" t="s">
        <v>1372</v>
      </c>
      <c r="P67" s="259" t="s">
        <v>16</v>
      </c>
      <c r="Q67" s="259" t="s">
        <v>952</v>
      </c>
      <c r="R67" s="259" t="s">
        <v>51</v>
      </c>
      <c r="S67" s="277"/>
      <c r="T67" s="257" t="s">
        <v>520</v>
      </c>
      <c r="U67" s="259" t="s">
        <v>55</v>
      </c>
      <c r="V67" s="261" t="s">
        <v>2404</v>
      </c>
      <c r="W67" s="259" t="s">
        <v>2278</v>
      </c>
      <c r="X67" s="266" t="s">
        <v>2281</v>
      </c>
      <c r="Y67" s="267" t="s">
        <v>2282</v>
      </c>
      <c r="Z67" s="257" t="s">
        <v>2283</v>
      </c>
      <c r="AA67" s="261" t="s">
        <v>2407</v>
      </c>
      <c r="AB67" s="261" t="s">
        <v>488</v>
      </c>
      <c r="AC67" s="261" t="s">
        <v>489</v>
      </c>
      <c r="AD67" s="261" t="s">
        <v>490</v>
      </c>
      <c r="AE67" s="261" t="s">
        <v>491</v>
      </c>
      <c r="AF67" s="261" t="s">
        <v>492</v>
      </c>
      <c r="AG67" s="261" t="s">
        <v>493</v>
      </c>
      <c r="AH67" s="261" t="s">
        <v>494</v>
      </c>
      <c r="AI67" s="261" t="s">
        <v>495</v>
      </c>
    </row>
    <row r="68" spans="1:35" ht="201.6" x14ac:dyDescent="0.3">
      <c r="A68" s="77">
        <v>30</v>
      </c>
      <c r="B68" s="77" t="str">
        <f t="shared" si="0"/>
        <v>Y</v>
      </c>
      <c r="C68" s="77" t="s">
        <v>45</v>
      </c>
      <c r="D68" s="77" t="s">
        <v>1661</v>
      </c>
      <c r="E68" s="84" t="s">
        <v>1662</v>
      </c>
      <c r="F68" s="80" t="s">
        <v>1010</v>
      </c>
      <c r="G68" s="96" t="s">
        <v>1651</v>
      </c>
      <c r="H68" s="77">
        <v>200</v>
      </c>
      <c r="I68" s="15"/>
      <c r="J68" s="259" t="s">
        <v>50</v>
      </c>
      <c r="K68" s="259" t="s">
        <v>482</v>
      </c>
      <c r="L68" s="259" t="s">
        <v>51</v>
      </c>
      <c r="M68" s="259" t="s">
        <v>13</v>
      </c>
      <c r="N68" s="259" t="s">
        <v>10</v>
      </c>
      <c r="O68" s="259" t="s">
        <v>1372</v>
      </c>
      <c r="P68" s="259" t="s">
        <v>16</v>
      </c>
      <c r="Q68" s="259" t="s">
        <v>952</v>
      </c>
      <c r="R68" s="259" t="s">
        <v>51</v>
      </c>
      <c r="S68" s="277"/>
      <c r="T68" s="257" t="s">
        <v>171</v>
      </c>
      <c r="U68" s="259" t="s">
        <v>55</v>
      </c>
      <c r="V68" s="261" t="s">
        <v>2404</v>
      </c>
      <c r="W68" s="259" t="s">
        <v>2278</v>
      </c>
      <c r="X68" s="264" t="s">
        <v>964</v>
      </c>
      <c r="Y68" s="265" t="s">
        <v>1159</v>
      </c>
      <c r="Z68" s="257" t="s">
        <v>2284</v>
      </c>
      <c r="AA68" s="261" t="s">
        <v>2408</v>
      </c>
      <c r="AB68" s="261" t="s">
        <v>488</v>
      </c>
      <c r="AC68" s="261" t="s">
        <v>489</v>
      </c>
      <c r="AD68" s="261" t="s">
        <v>490</v>
      </c>
      <c r="AE68" s="261" t="s">
        <v>491</v>
      </c>
      <c r="AF68" s="261" t="s">
        <v>492</v>
      </c>
      <c r="AG68" s="261" t="s">
        <v>493</v>
      </c>
      <c r="AH68" s="261" t="s">
        <v>494</v>
      </c>
      <c r="AI68" s="261" t="s">
        <v>495</v>
      </c>
    </row>
    <row r="69" spans="1:35" ht="201.6" x14ac:dyDescent="0.3">
      <c r="A69" s="77">
        <v>31</v>
      </c>
      <c r="B69" s="77" t="str">
        <f t="shared" ref="B69:B70" si="16">C69</f>
        <v>Y</v>
      </c>
      <c r="C69" s="77" t="s">
        <v>45</v>
      </c>
      <c r="D69" s="77" t="s">
        <v>2405</v>
      </c>
      <c r="E69" s="84" t="s">
        <v>2412</v>
      </c>
      <c r="F69" s="80" t="s">
        <v>1663</v>
      </c>
      <c r="G69" s="96" t="s">
        <v>1664</v>
      </c>
      <c r="H69" s="77">
        <v>200</v>
      </c>
      <c r="I69" s="15"/>
      <c r="J69" s="259" t="s">
        <v>50</v>
      </c>
      <c r="K69" s="259" t="s">
        <v>482</v>
      </c>
      <c r="L69" s="259" t="s">
        <v>51</v>
      </c>
      <c r="M69" s="259" t="s">
        <v>13</v>
      </c>
      <c r="N69" s="259" t="s">
        <v>10</v>
      </c>
      <c r="O69" s="259" t="s">
        <v>1372</v>
      </c>
      <c r="P69" s="259" t="s">
        <v>16</v>
      </c>
      <c r="Q69" s="259" t="s">
        <v>952</v>
      </c>
      <c r="R69" s="259" t="s">
        <v>51</v>
      </c>
      <c r="S69" s="277"/>
      <c r="T69" s="259" t="s">
        <v>484</v>
      </c>
      <c r="U69" s="259" t="s">
        <v>55</v>
      </c>
      <c r="V69" s="261" t="s">
        <v>2277</v>
      </c>
      <c r="W69" s="259" t="s">
        <v>2278</v>
      </c>
      <c r="X69" s="261" t="s">
        <v>486</v>
      </c>
      <c r="Y69" s="262" t="s">
        <v>2404</v>
      </c>
      <c r="Z69" s="261" t="s">
        <v>955</v>
      </c>
      <c r="AA69" s="261" t="s">
        <v>2407</v>
      </c>
      <c r="AB69" s="261" t="s">
        <v>488</v>
      </c>
      <c r="AC69" s="261" t="s">
        <v>489</v>
      </c>
      <c r="AD69" s="261" t="s">
        <v>490</v>
      </c>
      <c r="AE69" s="261" t="s">
        <v>491</v>
      </c>
      <c r="AF69" s="261" t="s">
        <v>492</v>
      </c>
      <c r="AG69" s="261" t="s">
        <v>493</v>
      </c>
      <c r="AH69" s="261" t="s">
        <v>494</v>
      </c>
      <c r="AI69" s="261" t="s">
        <v>495</v>
      </c>
    </row>
    <row r="70" spans="1:35" ht="201.6" x14ac:dyDescent="0.3">
      <c r="A70" s="77"/>
      <c r="B70" s="268" t="str">
        <f t="shared" si="16"/>
        <v>N</v>
      </c>
      <c r="C70" s="268" t="s">
        <v>113</v>
      </c>
      <c r="D70" s="268" t="s">
        <v>2406</v>
      </c>
      <c r="E70" s="278" t="s">
        <v>2413</v>
      </c>
      <c r="F70" s="170" t="s">
        <v>1663</v>
      </c>
      <c r="G70" s="181" t="s">
        <v>1664</v>
      </c>
      <c r="H70" s="268">
        <v>200</v>
      </c>
      <c r="I70" s="182"/>
      <c r="J70" s="170" t="s">
        <v>50</v>
      </c>
      <c r="K70" s="170" t="s">
        <v>482</v>
      </c>
      <c r="L70" s="170" t="s">
        <v>51</v>
      </c>
      <c r="M70" s="170" t="s">
        <v>13</v>
      </c>
      <c r="N70" s="170" t="s">
        <v>10</v>
      </c>
      <c r="O70" s="170" t="s">
        <v>1372</v>
      </c>
      <c r="P70" s="170" t="s">
        <v>16</v>
      </c>
      <c r="Q70" s="170" t="s">
        <v>952</v>
      </c>
      <c r="R70" s="170" t="s">
        <v>51</v>
      </c>
      <c r="S70" s="273"/>
      <c r="T70" s="268" t="s">
        <v>484</v>
      </c>
      <c r="U70" s="170" t="s">
        <v>55</v>
      </c>
      <c r="V70" s="273" t="s">
        <v>2277</v>
      </c>
      <c r="W70" s="170" t="s">
        <v>2278</v>
      </c>
      <c r="X70" s="275" t="s">
        <v>517</v>
      </c>
      <c r="Y70" s="276" t="s">
        <v>2414</v>
      </c>
      <c r="Z70" s="268" t="s">
        <v>955</v>
      </c>
      <c r="AA70" s="273" t="s">
        <v>2408</v>
      </c>
      <c r="AB70" s="273" t="s">
        <v>488</v>
      </c>
      <c r="AC70" s="273" t="s">
        <v>489</v>
      </c>
      <c r="AD70" s="273" t="s">
        <v>490</v>
      </c>
      <c r="AE70" s="273" t="s">
        <v>491</v>
      </c>
      <c r="AF70" s="273" t="s">
        <v>492</v>
      </c>
      <c r="AG70" s="273" t="s">
        <v>493</v>
      </c>
      <c r="AH70" s="273" t="s">
        <v>494</v>
      </c>
      <c r="AI70" s="273" t="s">
        <v>495</v>
      </c>
    </row>
    <row r="71" spans="1:35" ht="201.6" x14ac:dyDescent="0.3">
      <c r="A71" s="77">
        <v>32</v>
      </c>
      <c r="B71" s="77" t="str">
        <f t="shared" si="0"/>
        <v>Y</v>
      </c>
      <c r="C71" s="77" t="s">
        <v>45</v>
      </c>
      <c r="D71" s="77" t="s">
        <v>1665</v>
      </c>
      <c r="E71" s="84" t="s">
        <v>1666</v>
      </c>
      <c r="F71" s="80" t="s">
        <v>1016</v>
      </c>
      <c r="G71" s="96" t="s">
        <v>1664</v>
      </c>
      <c r="H71" s="77">
        <v>200</v>
      </c>
      <c r="I71" s="21"/>
      <c r="J71" s="259" t="s">
        <v>50</v>
      </c>
      <c r="K71" s="259" t="s">
        <v>482</v>
      </c>
      <c r="L71" s="259" t="s">
        <v>51</v>
      </c>
      <c r="M71" s="259" t="s">
        <v>13</v>
      </c>
      <c r="N71" s="259" t="s">
        <v>10</v>
      </c>
      <c r="O71" s="259" t="s">
        <v>1372</v>
      </c>
      <c r="P71" s="259" t="s">
        <v>16</v>
      </c>
      <c r="Q71" s="259" t="s">
        <v>952</v>
      </c>
      <c r="R71" s="259" t="s">
        <v>51</v>
      </c>
      <c r="S71" s="277"/>
      <c r="T71" s="259" t="s">
        <v>484</v>
      </c>
      <c r="U71" s="259" t="s">
        <v>55</v>
      </c>
      <c r="V71" s="261" t="s">
        <v>2415</v>
      </c>
      <c r="W71" s="259" t="s">
        <v>2278</v>
      </c>
      <c r="X71" s="261" t="s">
        <v>486</v>
      </c>
      <c r="Y71" s="262" t="s">
        <v>2279</v>
      </c>
      <c r="Z71" s="261" t="s">
        <v>955</v>
      </c>
      <c r="AA71" s="261" t="s">
        <v>2407</v>
      </c>
      <c r="AB71" s="261" t="s">
        <v>488</v>
      </c>
      <c r="AC71" s="261" t="s">
        <v>489</v>
      </c>
      <c r="AD71" s="261" t="s">
        <v>490</v>
      </c>
      <c r="AE71" s="261" t="s">
        <v>491</v>
      </c>
      <c r="AF71" s="261" t="s">
        <v>492</v>
      </c>
      <c r="AG71" s="261" t="s">
        <v>493</v>
      </c>
      <c r="AH71" s="261" t="s">
        <v>494</v>
      </c>
      <c r="AI71" s="261" t="s">
        <v>495</v>
      </c>
    </row>
    <row r="72" spans="1:35" ht="201.6" x14ac:dyDescent="0.3">
      <c r="A72" s="77">
        <v>33</v>
      </c>
      <c r="B72" s="77" t="str">
        <f t="shared" si="0"/>
        <v>Y</v>
      </c>
      <c r="C72" s="77" t="s">
        <v>45</v>
      </c>
      <c r="D72" s="77" t="s">
        <v>1667</v>
      </c>
      <c r="E72" s="84" t="s">
        <v>1668</v>
      </c>
      <c r="F72" s="80" t="s">
        <v>1019</v>
      </c>
      <c r="G72" s="96" t="s">
        <v>645</v>
      </c>
      <c r="H72" s="77">
        <v>200</v>
      </c>
      <c r="I72" s="21"/>
      <c r="J72" s="259" t="s">
        <v>50</v>
      </c>
      <c r="K72" s="259" t="s">
        <v>482</v>
      </c>
      <c r="L72" s="259" t="s">
        <v>51</v>
      </c>
      <c r="M72" s="259" t="s">
        <v>13</v>
      </c>
      <c r="N72" s="259" t="s">
        <v>10</v>
      </c>
      <c r="O72" s="259" t="s">
        <v>1372</v>
      </c>
      <c r="P72" s="259" t="s">
        <v>16</v>
      </c>
      <c r="Q72" s="259" t="s">
        <v>952</v>
      </c>
      <c r="R72" s="259" t="s">
        <v>51</v>
      </c>
      <c r="S72" s="277"/>
      <c r="T72" s="257" t="s">
        <v>484</v>
      </c>
      <c r="U72" s="259" t="s">
        <v>55</v>
      </c>
      <c r="V72" s="261" t="s">
        <v>2415</v>
      </c>
      <c r="W72" s="259" t="s">
        <v>2278</v>
      </c>
      <c r="X72" s="264" t="s">
        <v>517</v>
      </c>
      <c r="Y72" s="265" t="s">
        <v>2280</v>
      </c>
      <c r="Z72" s="257" t="s">
        <v>955</v>
      </c>
      <c r="AA72" s="261" t="s">
        <v>2408</v>
      </c>
      <c r="AB72" s="261" t="s">
        <v>488</v>
      </c>
      <c r="AC72" s="261" t="s">
        <v>489</v>
      </c>
      <c r="AD72" s="261" t="s">
        <v>490</v>
      </c>
      <c r="AE72" s="261" t="s">
        <v>491</v>
      </c>
      <c r="AF72" s="261" t="s">
        <v>492</v>
      </c>
      <c r="AG72" s="261" t="s">
        <v>493</v>
      </c>
      <c r="AH72" s="261" t="s">
        <v>494</v>
      </c>
      <c r="AI72" s="261" t="s">
        <v>495</v>
      </c>
    </row>
    <row r="73" spans="1:35" ht="201.6" x14ac:dyDescent="0.3">
      <c r="A73" s="77">
        <v>34</v>
      </c>
      <c r="B73" s="77" t="str">
        <f t="shared" si="0"/>
        <v>Y</v>
      </c>
      <c r="C73" s="77" t="s">
        <v>45</v>
      </c>
      <c r="D73" s="77" t="s">
        <v>1669</v>
      </c>
      <c r="E73" s="84" t="s">
        <v>1670</v>
      </c>
      <c r="F73" s="80" t="s">
        <v>1022</v>
      </c>
      <c r="G73" s="96" t="s">
        <v>1664</v>
      </c>
      <c r="H73" s="77">
        <v>200</v>
      </c>
      <c r="I73" s="21"/>
      <c r="J73" s="259" t="s">
        <v>50</v>
      </c>
      <c r="K73" s="259" t="s">
        <v>482</v>
      </c>
      <c r="L73" s="259" t="s">
        <v>51</v>
      </c>
      <c r="M73" s="259" t="s">
        <v>13</v>
      </c>
      <c r="N73" s="259" t="s">
        <v>10</v>
      </c>
      <c r="O73" s="259" t="s">
        <v>1372</v>
      </c>
      <c r="P73" s="259" t="s">
        <v>16</v>
      </c>
      <c r="Q73" s="259" t="s">
        <v>952</v>
      </c>
      <c r="R73" s="259" t="s">
        <v>51</v>
      </c>
      <c r="S73" s="277"/>
      <c r="T73" s="257" t="s">
        <v>520</v>
      </c>
      <c r="U73" s="259" t="s">
        <v>55</v>
      </c>
      <c r="V73" s="261" t="s">
        <v>2415</v>
      </c>
      <c r="W73" s="259" t="s">
        <v>2278</v>
      </c>
      <c r="X73" s="266" t="s">
        <v>2281</v>
      </c>
      <c r="Y73" s="267" t="s">
        <v>2282</v>
      </c>
      <c r="Z73" s="257" t="s">
        <v>2283</v>
      </c>
      <c r="AA73" s="261" t="s">
        <v>2407</v>
      </c>
      <c r="AB73" s="261" t="s">
        <v>488</v>
      </c>
      <c r="AC73" s="261" t="s">
        <v>489</v>
      </c>
      <c r="AD73" s="261" t="s">
        <v>490</v>
      </c>
      <c r="AE73" s="261" t="s">
        <v>491</v>
      </c>
      <c r="AF73" s="261" t="s">
        <v>492</v>
      </c>
      <c r="AG73" s="261" t="s">
        <v>493</v>
      </c>
      <c r="AH73" s="261" t="s">
        <v>494</v>
      </c>
      <c r="AI73" s="261" t="s">
        <v>495</v>
      </c>
    </row>
    <row r="74" spans="1:35" ht="201.6" x14ac:dyDescent="0.3">
      <c r="A74" s="77">
        <v>35</v>
      </c>
      <c r="B74" s="77" t="str">
        <f t="shared" si="0"/>
        <v>Y</v>
      </c>
      <c r="C74" s="77" t="s">
        <v>45</v>
      </c>
      <c r="D74" s="77" t="s">
        <v>1671</v>
      </c>
      <c r="E74" s="84" t="s">
        <v>1672</v>
      </c>
      <c r="F74" s="80" t="s">
        <v>1025</v>
      </c>
      <c r="G74" s="96" t="s">
        <v>1664</v>
      </c>
      <c r="H74" s="77">
        <v>200</v>
      </c>
      <c r="I74" s="21"/>
      <c r="J74" s="259" t="s">
        <v>50</v>
      </c>
      <c r="K74" s="259" t="s">
        <v>482</v>
      </c>
      <c r="L74" s="259" t="s">
        <v>51</v>
      </c>
      <c r="M74" s="259" t="s">
        <v>13</v>
      </c>
      <c r="N74" s="259" t="s">
        <v>10</v>
      </c>
      <c r="O74" s="259" t="s">
        <v>1372</v>
      </c>
      <c r="P74" s="259" t="s">
        <v>16</v>
      </c>
      <c r="Q74" s="259" t="s">
        <v>952</v>
      </c>
      <c r="R74" s="259" t="s">
        <v>51</v>
      </c>
      <c r="S74" s="277"/>
      <c r="T74" s="257" t="s">
        <v>171</v>
      </c>
      <c r="U74" s="259" t="s">
        <v>55</v>
      </c>
      <c r="V74" s="261" t="s">
        <v>2415</v>
      </c>
      <c r="W74" s="259" t="s">
        <v>2278</v>
      </c>
      <c r="X74" s="264" t="s">
        <v>964</v>
      </c>
      <c r="Y74" s="265" t="s">
        <v>1159</v>
      </c>
      <c r="Z74" s="257" t="s">
        <v>2284</v>
      </c>
      <c r="AA74" s="261" t="s">
        <v>2408</v>
      </c>
      <c r="AB74" s="261" t="s">
        <v>488</v>
      </c>
      <c r="AC74" s="261" t="s">
        <v>489</v>
      </c>
      <c r="AD74" s="261" t="s">
        <v>490</v>
      </c>
      <c r="AE74" s="261" t="s">
        <v>491</v>
      </c>
      <c r="AF74" s="261" t="s">
        <v>492</v>
      </c>
      <c r="AG74" s="261" t="s">
        <v>493</v>
      </c>
      <c r="AH74" s="261" t="s">
        <v>494</v>
      </c>
      <c r="AI74" s="261" t="s">
        <v>495</v>
      </c>
    </row>
    <row r="75" spans="1:35" ht="201.6" x14ac:dyDescent="0.3">
      <c r="A75" s="77">
        <v>36</v>
      </c>
      <c r="B75" s="77" t="str">
        <f t="shared" si="0"/>
        <v>Y</v>
      </c>
      <c r="C75" s="77" t="s">
        <v>45</v>
      </c>
      <c r="D75" s="77" t="s">
        <v>2416</v>
      </c>
      <c r="E75" s="84" t="s">
        <v>2418</v>
      </c>
      <c r="F75" s="80" t="s">
        <v>1673</v>
      </c>
      <c r="G75" s="96" t="s">
        <v>1664</v>
      </c>
      <c r="H75" s="77">
        <v>200</v>
      </c>
      <c r="I75" s="21"/>
      <c r="J75" s="259" t="s">
        <v>50</v>
      </c>
      <c r="K75" s="259" t="s">
        <v>482</v>
      </c>
      <c r="L75" s="259" t="s">
        <v>51</v>
      </c>
      <c r="M75" s="259" t="s">
        <v>13</v>
      </c>
      <c r="N75" s="259" t="s">
        <v>10</v>
      </c>
      <c r="O75" s="259" t="s">
        <v>1372</v>
      </c>
      <c r="P75" s="259" t="s">
        <v>16</v>
      </c>
      <c r="Q75" s="259" t="s">
        <v>952</v>
      </c>
      <c r="R75" s="259" t="s">
        <v>51</v>
      </c>
      <c r="S75" s="277"/>
      <c r="T75" s="259" t="s">
        <v>484</v>
      </c>
      <c r="U75" s="259" t="s">
        <v>55</v>
      </c>
      <c r="V75" s="261" t="s">
        <v>2277</v>
      </c>
      <c r="W75" s="259" t="s">
        <v>2278</v>
      </c>
      <c r="X75" s="261" t="s">
        <v>486</v>
      </c>
      <c r="Y75" s="261" t="s">
        <v>2420</v>
      </c>
      <c r="Z75" s="261" t="s">
        <v>955</v>
      </c>
      <c r="AA75" s="261" t="s">
        <v>2407</v>
      </c>
      <c r="AB75" s="261" t="s">
        <v>488</v>
      </c>
      <c r="AC75" s="261" t="s">
        <v>489</v>
      </c>
      <c r="AD75" s="261" t="s">
        <v>490</v>
      </c>
      <c r="AE75" s="261" t="s">
        <v>491</v>
      </c>
      <c r="AF75" s="261" t="s">
        <v>492</v>
      </c>
      <c r="AG75" s="261" t="s">
        <v>493</v>
      </c>
      <c r="AH75" s="261" t="s">
        <v>494</v>
      </c>
      <c r="AI75" s="261" t="s">
        <v>495</v>
      </c>
    </row>
    <row r="76" spans="1:35" ht="201.6" x14ac:dyDescent="0.3">
      <c r="A76" s="77"/>
      <c r="B76" s="268" t="str">
        <f t="shared" ref="B76" si="17">C76</f>
        <v>N</v>
      </c>
      <c r="C76" s="268" t="s">
        <v>113</v>
      </c>
      <c r="D76" s="268" t="s">
        <v>2417</v>
      </c>
      <c r="E76" s="278" t="s">
        <v>2419</v>
      </c>
      <c r="F76" s="170" t="s">
        <v>1673</v>
      </c>
      <c r="G76" s="181" t="s">
        <v>1664</v>
      </c>
      <c r="H76" s="268">
        <v>200</v>
      </c>
      <c r="I76" s="183"/>
      <c r="J76" s="170" t="s">
        <v>50</v>
      </c>
      <c r="K76" s="170" t="s">
        <v>482</v>
      </c>
      <c r="L76" s="170" t="s">
        <v>51</v>
      </c>
      <c r="M76" s="170" t="s">
        <v>13</v>
      </c>
      <c r="N76" s="170" t="s">
        <v>10</v>
      </c>
      <c r="O76" s="170" t="s">
        <v>1372</v>
      </c>
      <c r="P76" s="170" t="s">
        <v>16</v>
      </c>
      <c r="Q76" s="170" t="s">
        <v>952</v>
      </c>
      <c r="R76" s="170" t="s">
        <v>51</v>
      </c>
      <c r="S76" s="273"/>
      <c r="T76" s="268" t="s">
        <v>484</v>
      </c>
      <c r="U76" s="170" t="s">
        <v>55</v>
      </c>
      <c r="V76" s="273" t="s">
        <v>2277</v>
      </c>
      <c r="W76" s="170" t="s">
        <v>2278</v>
      </c>
      <c r="X76" s="275" t="s">
        <v>517</v>
      </c>
      <c r="Y76" s="276"/>
      <c r="Z76" s="268" t="s">
        <v>955</v>
      </c>
      <c r="AA76" s="273" t="s">
        <v>2408</v>
      </c>
      <c r="AB76" s="273" t="s">
        <v>488</v>
      </c>
      <c r="AC76" s="273" t="s">
        <v>489</v>
      </c>
      <c r="AD76" s="273" t="s">
        <v>490</v>
      </c>
      <c r="AE76" s="273" t="s">
        <v>491</v>
      </c>
      <c r="AF76" s="273" t="s">
        <v>492</v>
      </c>
      <c r="AG76" s="273" t="s">
        <v>493</v>
      </c>
      <c r="AH76" s="273" t="s">
        <v>494</v>
      </c>
      <c r="AI76" s="273" t="s">
        <v>495</v>
      </c>
    </row>
    <row r="77" spans="1:35" ht="201.6" x14ac:dyDescent="0.3">
      <c r="A77" s="77">
        <v>37</v>
      </c>
      <c r="B77" s="268" t="str">
        <f t="shared" si="0"/>
        <v>N</v>
      </c>
      <c r="C77" s="268" t="s">
        <v>113</v>
      </c>
      <c r="D77" s="268" t="s">
        <v>1674</v>
      </c>
      <c r="E77" s="278" t="s">
        <v>1675</v>
      </c>
      <c r="F77" s="170" t="s">
        <v>550</v>
      </c>
      <c r="G77" s="181" t="s">
        <v>1664</v>
      </c>
      <c r="H77" s="268">
        <v>200</v>
      </c>
      <c r="I77" s="183"/>
      <c r="J77" s="170" t="s">
        <v>50</v>
      </c>
      <c r="K77" s="170" t="s">
        <v>482</v>
      </c>
      <c r="L77" s="170" t="s">
        <v>51</v>
      </c>
      <c r="M77" s="170" t="s">
        <v>13</v>
      </c>
      <c r="N77" s="170" t="s">
        <v>10</v>
      </c>
      <c r="O77" s="170" t="s">
        <v>1372</v>
      </c>
      <c r="P77" s="170" t="s">
        <v>16</v>
      </c>
      <c r="Q77" s="170" t="s">
        <v>952</v>
      </c>
      <c r="R77" s="170" t="s">
        <v>51</v>
      </c>
      <c r="S77" s="273"/>
      <c r="T77" s="170" t="s">
        <v>484</v>
      </c>
      <c r="U77" s="170" t="s">
        <v>55</v>
      </c>
      <c r="V77" s="271" t="s">
        <v>2421</v>
      </c>
      <c r="W77" s="170" t="s">
        <v>2278</v>
      </c>
      <c r="X77" s="273" t="s">
        <v>486</v>
      </c>
      <c r="Y77" s="274" t="s">
        <v>2279</v>
      </c>
      <c r="Z77" s="273" t="s">
        <v>955</v>
      </c>
      <c r="AA77" s="273" t="s">
        <v>2407</v>
      </c>
      <c r="AB77" s="273" t="s">
        <v>488</v>
      </c>
      <c r="AC77" s="273" t="s">
        <v>489</v>
      </c>
      <c r="AD77" s="273" t="s">
        <v>490</v>
      </c>
      <c r="AE77" s="273" t="s">
        <v>491</v>
      </c>
      <c r="AF77" s="273" t="s">
        <v>492</v>
      </c>
      <c r="AG77" s="273" t="s">
        <v>493</v>
      </c>
      <c r="AH77" s="273" t="s">
        <v>494</v>
      </c>
      <c r="AI77" s="273" t="s">
        <v>495</v>
      </c>
    </row>
    <row r="78" spans="1:35" ht="201.6" x14ac:dyDescent="0.3">
      <c r="A78" s="77">
        <v>38</v>
      </c>
      <c r="B78" s="268" t="str">
        <f t="shared" si="0"/>
        <v>N</v>
      </c>
      <c r="C78" s="268" t="s">
        <v>113</v>
      </c>
      <c r="D78" s="268" t="s">
        <v>1676</v>
      </c>
      <c r="E78" s="278" t="s">
        <v>1677</v>
      </c>
      <c r="F78" s="170" t="s">
        <v>554</v>
      </c>
      <c r="G78" s="181" t="s">
        <v>645</v>
      </c>
      <c r="H78" s="268">
        <v>200</v>
      </c>
      <c r="I78" s="183"/>
      <c r="J78" s="170" t="s">
        <v>50</v>
      </c>
      <c r="K78" s="170" t="s">
        <v>482</v>
      </c>
      <c r="L78" s="170" t="s">
        <v>51</v>
      </c>
      <c r="M78" s="170" t="s">
        <v>13</v>
      </c>
      <c r="N78" s="170" t="s">
        <v>10</v>
      </c>
      <c r="O78" s="170" t="s">
        <v>1372</v>
      </c>
      <c r="P78" s="170" t="s">
        <v>16</v>
      </c>
      <c r="Q78" s="170" t="s">
        <v>952</v>
      </c>
      <c r="R78" s="170" t="s">
        <v>51</v>
      </c>
      <c r="S78" s="273"/>
      <c r="T78" s="268" t="s">
        <v>484</v>
      </c>
      <c r="U78" s="170" t="s">
        <v>55</v>
      </c>
      <c r="V78" s="271" t="s">
        <v>2421</v>
      </c>
      <c r="W78" s="170" t="s">
        <v>2278</v>
      </c>
      <c r="X78" s="275" t="s">
        <v>517</v>
      </c>
      <c r="Y78" s="276" t="s">
        <v>2280</v>
      </c>
      <c r="Z78" s="268" t="s">
        <v>955</v>
      </c>
      <c r="AA78" s="273" t="s">
        <v>2408</v>
      </c>
      <c r="AB78" s="273" t="s">
        <v>488</v>
      </c>
      <c r="AC78" s="273" t="s">
        <v>489</v>
      </c>
      <c r="AD78" s="273" t="s">
        <v>490</v>
      </c>
      <c r="AE78" s="273" t="s">
        <v>491</v>
      </c>
      <c r="AF78" s="273" t="s">
        <v>492</v>
      </c>
      <c r="AG78" s="273" t="s">
        <v>493</v>
      </c>
      <c r="AH78" s="273" t="s">
        <v>494</v>
      </c>
      <c r="AI78" s="273" t="s">
        <v>495</v>
      </c>
    </row>
    <row r="79" spans="1:35" ht="201.6" x14ac:dyDescent="0.3">
      <c r="A79" s="77">
        <v>39</v>
      </c>
      <c r="B79" s="268" t="str">
        <f t="shared" si="0"/>
        <v>N</v>
      </c>
      <c r="C79" s="268" t="s">
        <v>113</v>
      </c>
      <c r="D79" s="268" t="s">
        <v>1678</v>
      </c>
      <c r="E79" s="278" t="s">
        <v>1679</v>
      </c>
      <c r="F79" s="170" t="s">
        <v>557</v>
      </c>
      <c r="G79" s="181" t="s">
        <v>1664</v>
      </c>
      <c r="H79" s="268">
        <v>200</v>
      </c>
      <c r="I79" s="183"/>
      <c r="J79" s="170" t="s">
        <v>50</v>
      </c>
      <c r="K79" s="170" t="s">
        <v>482</v>
      </c>
      <c r="L79" s="170" t="s">
        <v>51</v>
      </c>
      <c r="M79" s="170" t="s">
        <v>13</v>
      </c>
      <c r="N79" s="170" t="s">
        <v>10</v>
      </c>
      <c r="O79" s="170" t="s">
        <v>1372</v>
      </c>
      <c r="P79" s="170" t="s">
        <v>16</v>
      </c>
      <c r="Q79" s="170" t="s">
        <v>952</v>
      </c>
      <c r="R79" s="170" t="s">
        <v>51</v>
      </c>
      <c r="S79" s="273"/>
      <c r="T79" s="268" t="s">
        <v>520</v>
      </c>
      <c r="U79" s="170" t="s">
        <v>55</v>
      </c>
      <c r="V79" s="271" t="s">
        <v>2421</v>
      </c>
      <c r="W79" s="170" t="s">
        <v>2278</v>
      </c>
      <c r="X79" s="224" t="s">
        <v>2281</v>
      </c>
      <c r="Y79" s="230" t="s">
        <v>2282</v>
      </c>
      <c r="Z79" s="268" t="s">
        <v>2283</v>
      </c>
      <c r="AA79" s="273" t="s">
        <v>2407</v>
      </c>
      <c r="AB79" s="273" t="s">
        <v>488</v>
      </c>
      <c r="AC79" s="273" t="s">
        <v>489</v>
      </c>
      <c r="AD79" s="273" t="s">
        <v>490</v>
      </c>
      <c r="AE79" s="273" t="s">
        <v>491</v>
      </c>
      <c r="AF79" s="273" t="s">
        <v>492</v>
      </c>
      <c r="AG79" s="273" t="s">
        <v>493</v>
      </c>
      <c r="AH79" s="273" t="s">
        <v>494</v>
      </c>
      <c r="AI79" s="273" t="s">
        <v>495</v>
      </c>
    </row>
    <row r="80" spans="1:35" ht="201.6" x14ac:dyDescent="0.3">
      <c r="A80" s="77">
        <v>40</v>
      </c>
      <c r="B80" s="268" t="str">
        <f t="shared" si="0"/>
        <v>N</v>
      </c>
      <c r="C80" s="268" t="s">
        <v>113</v>
      </c>
      <c r="D80" s="268" t="s">
        <v>1680</v>
      </c>
      <c r="E80" s="278" t="s">
        <v>1681</v>
      </c>
      <c r="F80" s="170" t="s">
        <v>560</v>
      </c>
      <c r="G80" s="181" t="s">
        <v>1682</v>
      </c>
      <c r="H80" s="269">
        <v>200</v>
      </c>
      <c r="I80" s="183"/>
      <c r="J80" s="170" t="s">
        <v>50</v>
      </c>
      <c r="K80" s="170" t="s">
        <v>482</v>
      </c>
      <c r="L80" s="170" t="s">
        <v>51</v>
      </c>
      <c r="M80" s="170" t="s">
        <v>13</v>
      </c>
      <c r="N80" s="170" t="s">
        <v>10</v>
      </c>
      <c r="O80" s="170" t="s">
        <v>1372</v>
      </c>
      <c r="P80" s="170" t="s">
        <v>16</v>
      </c>
      <c r="Q80" s="170" t="s">
        <v>952</v>
      </c>
      <c r="R80" s="170" t="s">
        <v>51</v>
      </c>
      <c r="S80" s="273"/>
      <c r="T80" s="268" t="s">
        <v>171</v>
      </c>
      <c r="U80" s="170" t="s">
        <v>55</v>
      </c>
      <c r="V80" s="271" t="s">
        <v>2421</v>
      </c>
      <c r="W80" s="170" t="s">
        <v>2278</v>
      </c>
      <c r="X80" s="275" t="s">
        <v>964</v>
      </c>
      <c r="Y80" s="276" t="s">
        <v>1159</v>
      </c>
      <c r="Z80" s="268" t="s">
        <v>2284</v>
      </c>
      <c r="AA80" s="273" t="s">
        <v>2408</v>
      </c>
      <c r="AB80" s="273" t="s">
        <v>488</v>
      </c>
      <c r="AC80" s="273" t="s">
        <v>489</v>
      </c>
      <c r="AD80" s="273" t="s">
        <v>490</v>
      </c>
      <c r="AE80" s="273" t="s">
        <v>491</v>
      </c>
      <c r="AF80" s="273" t="s">
        <v>492</v>
      </c>
      <c r="AG80" s="273" t="s">
        <v>493</v>
      </c>
      <c r="AH80" s="273" t="s">
        <v>494</v>
      </c>
      <c r="AI80" s="273" t="s">
        <v>495</v>
      </c>
    </row>
    <row r="81" spans="1:35" ht="201.6" x14ac:dyDescent="0.3">
      <c r="A81" s="77">
        <v>41</v>
      </c>
      <c r="B81" s="77" t="str">
        <f t="shared" si="0"/>
        <v>Y</v>
      </c>
      <c r="C81" s="77" t="s">
        <v>45</v>
      </c>
      <c r="D81" s="77" t="s">
        <v>1683</v>
      </c>
      <c r="E81" s="84" t="s">
        <v>1684</v>
      </c>
      <c r="F81" s="80" t="s">
        <v>1042</v>
      </c>
      <c r="G81" s="96" t="s">
        <v>1664</v>
      </c>
      <c r="H81" s="77">
        <v>200</v>
      </c>
      <c r="I81" s="21"/>
      <c r="J81" s="259" t="s">
        <v>50</v>
      </c>
      <c r="K81" s="259" t="s">
        <v>482</v>
      </c>
      <c r="L81" s="259" t="s">
        <v>51</v>
      </c>
      <c r="M81" s="259" t="s">
        <v>13</v>
      </c>
      <c r="N81" s="259" t="s">
        <v>10</v>
      </c>
      <c r="O81" s="259" t="s">
        <v>1372</v>
      </c>
      <c r="P81" s="259" t="s">
        <v>16</v>
      </c>
      <c r="Q81" s="259" t="s">
        <v>952</v>
      </c>
      <c r="R81" s="259" t="s">
        <v>51</v>
      </c>
      <c r="S81" s="260"/>
      <c r="T81" s="259" t="s">
        <v>484</v>
      </c>
      <c r="U81" s="259" t="s">
        <v>55</v>
      </c>
      <c r="V81" s="261" t="s">
        <v>2277</v>
      </c>
      <c r="W81" s="259" t="s">
        <v>2278</v>
      </c>
      <c r="X81" s="261" t="s">
        <v>486</v>
      </c>
      <c r="Y81" s="279" t="s">
        <v>2422</v>
      </c>
      <c r="Z81" s="261" t="s">
        <v>955</v>
      </c>
      <c r="AA81" s="259">
        <v>1</v>
      </c>
      <c r="AB81" s="261" t="s">
        <v>488</v>
      </c>
      <c r="AC81" s="261" t="s">
        <v>489</v>
      </c>
      <c r="AD81" s="261" t="s">
        <v>490</v>
      </c>
      <c r="AE81" s="261" t="s">
        <v>491</v>
      </c>
      <c r="AF81" s="261" t="s">
        <v>492</v>
      </c>
      <c r="AG81" s="261" t="s">
        <v>493</v>
      </c>
      <c r="AH81" s="261" t="s">
        <v>494</v>
      </c>
      <c r="AI81" s="261" t="s">
        <v>495</v>
      </c>
    </row>
    <row r="82" spans="1:35" ht="201.6" x14ac:dyDescent="0.3">
      <c r="A82" s="77">
        <v>42</v>
      </c>
      <c r="B82" s="77" t="str">
        <f t="shared" si="0"/>
        <v>Y</v>
      </c>
      <c r="C82" s="77" t="s">
        <v>45</v>
      </c>
      <c r="D82" s="77" t="s">
        <v>1685</v>
      </c>
      <c r="E82" s="84" t="s">
        <v>1686</v>
      </c>
      <c r="F82" s="80" t="s">
        <v>1046</v>
      </c>
      <c r="G82" s="96" t="s">
        <v>1664</v>
      </c>
      <c r="H82" s="77">
        <v>200</v>
      </c>
      <c r="I82" s="21"/>
      <c r="J82" s="259" t="s">
        <v>50</v>
      </c>
      <c r="K82" s="259" t="s">
        <v>482</v>
      </c>
      <c r="L82" s="259" t="s">
        <v>51</v>
      </c>
      <c r="M82" s="259" t="s">
        <v>13</v>
      </c>
      <c r="N82" s="259" t="s">
        <v>10</v>
      </c>
      <c r="O82" s="259" t="s">
        <v>1372</v>
      </c>
      <c r="P82" s="259" t="s">
        <v>16</v>
      </c>
      <c r="Q82" s="259" t="s">
        <v>952</v>
      </c>
      <c r="R82" s="259" t="s">
        <v>51</v>
      </c>
      <c r="S82" s="263"/>
      <c r="T82" s="257" t="s">
        <v>484</v>
      </c>
      <c r="U82" s="259" t="s">
        <v>55</v>
      </c>
      <c r="V82" s="261" t="s">
        <v>2277</v>
      </c>
      <c r="W82" s="259" t="s">
        <v>2278</v>
      </c>
      <c r="X82" s="264" t="s">
        <v>517</v>
      </c>
      <c r="Y82" s="280" t="s">
        <v>2423</v>
      </c>
      <c r="Z82" s="257" t="s">
        <v>955</v>
      </c>
      <c r="AA82" s="257">
        <v>2</v>
      </c>
      <c r="AB82" s="261" t="s">
        <v>488</v>
      </c>
      <c r="AC82" s="261" t="s">
        <v>489</v>
      </c>
      <c r="AD82" s="261" t="s">
        <v>490</v>
      </c>
      <c r="AE82" s="261" t="s">
        <v>491</v>
      </c>
      <c r="AF82" s="261" t="s">
        <v>492</v>
      </c>
      <c r="AG82" s="261" t="s">
        <v>493</v>
      </c>
      <c r="AH82" s="261" t="s">
        <v>494</v>
      </c>
      <c r="AI82" s="261" t="s">
        <v>495</v>
      </c>
    </row>
    <row r="83" spans="1:35" ht="201.6" x14ac:dyDescent="0.3">
      <c r="A83" s="77">
        <v>43</v>
      </c>
      <c r="B83" s="77" t="str">
        <f t="shared" si="0"/>
        <v>Y</v>
      </c>
      <c r="C83" s="77" t="s">
        <v>45</v>
      </c>
      <c r="D83" s="77" t="s">
        <v>1687</v>
      </c>
      <c r="E83" s="84" t="s">
        <v>1688</v>
      </c>
      <c r="F83" s="80" t="s">
        <v>1050</v>
      </c>
      <c r="G83" s="96" t="s">
        <v>1648</v>
      </c>
      <c r="H83" s="77">
        <v>200</v>
      </c>
      <c r="I83" s="21"/>
      <c r="J83" s="259" t="s">
        <v>50</v>
      </c>
      <c r="K83" s="259" t="s">
        <v>482</v>
      </c>
      <c r="L83" s="259" t="s">
        <v>51</v>
      </c>
      <c r="M83" s="259" t="s">
        <v>13</v>
      </c>
      <c r="N83" s="259" t="s">
        <v>10</v>
      </c>
      <c r="O83" s="259" t="s">
        <v>1372</v>
      </c>
      <c r="P83" s="259" t="s">
        <v>16</v>
      </c>
      <c r="Q83" s="259" t="s">
        <v>952</v>
      </c>
      <c r="R83" s="259" t="s">
        <v>51</v>
      </c>
      <c r="S83" s="263"/>
      <c r="T83" s="257" t="s">
        <v>520</v>
      </c>
      <c r="U83" s="259" t="s">
        <v>55</v>
      </c>
      <c r="V83" s="261" t="s">
        <v>2277</v>
      </c>
      <c r="W83" s="259" t="s">
        <v>2278</v>
      </c>
      <c r="X83" s="266" t="s">
        <v>2281</v>
      </c>
      <c r="Y83" s="235" t="s">
        <v>2424</v>
      </c>
      <c r="Z83" s="257" t="s">
        <v>2283</v>
      </c>
      <c r="AA83" s="257">
        <v>3</v>
      </c>
      <c r="AB83" s="261" t="s">
        <v>488</v>
      </c>
      <c r="AC83" s="261" t="s">
        <v>489</v>
      </c>
      <c r="AD83" s="261" t="s">
        <v>490</v>
      </c>
      <c r="AE83" s="261" t="s">
        <v>491</v>
      </c>
      <c r="AF83" s="261" t="s">
        <v>492</v>
      </c>
      <c r="AG83" s="261" t="s">
        <v>493</v>
      </c>
      <c r="AH83" s="261" t="s">
        <v>494</v>
      </c>
      <c r="AI83" s="261" t="s">
        <v>495</v>
      </c>
    </row>
    <row r="84" spans="1:35" ht="201.6" x14ac:dyDescent="0.3">
      <c r="A84" s="77">
        <v>44</v>
      </c>
      <c r="B84" s="77" t="str">
        <f t="shared" si="0"/>
        <v>Y</v>
      </c>
      <c r="C84" s="77" t="s">
        <v>45</v>
      </c>
      <c r="D84" s="77" t="s">
        <v>1689</v>
      </c>
      <c r="E84" s="84" t="s">
        <v>1690</v>
      </c>
      <c r="F84" s="80" t="s">
        <v>1053</v>
      </c>
      <c r="G84" s="96" t="s">
        <v>1651</v>
      </c>
      <c r="H84" s="77">
        <v>200</v>
      </c>
      <c r="I84" s="21"/>
      <c r="J84" s="259" t="s">
        <v>50</v>
      </c>
      <c r="K84" s="259" t="s">
        <v>482</v>
      </c>
      <c r="L84" s="259" t="s">
        <v>51</v>
      </c>
      <c r="M84" s="259" t="s">
        <v>13</v>
      </c>
      <c r="N84" s="259" t="s">
        <v>10</v>
      </c>
      <c r="O84" s="259" t="s">
        <v>1372</v>
      </c>
      <c r="P84" s="259" t="s">
        <v>16</v>
      </c>
      <c r="Q84" s="259" t="s">
        <v>952</v>
      </c>
      <c r="R84" s="259" t="s">
        <v>51</v>
      </c>
      <c r="S84" s="263"/>
      <c r="T84" s="257" t="s">
        <v>171</v>
      </c>
      <c r="U84" s="259" t="s">
        <v>55</v>
      </c>
      <c r="V84" s="261" t="s">
        <v>2277</v>
      </c>
      <c r="W84" s="259" t="s">
        <v>2278</v>
      </c>
      <c r="X84" s="264" t="s">
        <v>964</v>
      </c>
      <c r="Y84" s="280" t="s">
        <v>2425</v>
      </c>
      <c r="Z84" s="257" t="s">
        <v>2284</v>
      </c>
      <c r="AA84" s="257">
        <v>4</v>
      </c>
      <c r="AB84" s="261" t="s">
        <v>488</v>
      </c>
      <c r="AC84" s="261" t="s">
        <v>489</v>
      </c>
      <c r="AD84" s="261" t="s">
        <v>490</v>
      </c>
      <c r="AE84" s="261" t="s">
        <v>491</v>
      </c>
      <c r="AF84" s="261" t="s">
        <v>492</v>
      </c>
      <c r="AG84" s="261" t="s">
        <v>493</v>
      </c>
      <c r="AH84" s="261" t="s">
        <v>494</v>
      </c>
      <c r="AI84" s="261" t="s">
        <v>495</v>
      </c>
    </row>
    <row r="85" spans="1:35" ht="201.6" x14ac:dyDescent="0.3">
      <c r="A85" s="77">
        <v>45</v>
      </c>
      <c r="B85" s="77" t="str">
        <f t="shared" si="0"/>
        <v>Y</v>
      </c>
      <c r="C85" s="77" t="s">
        <v>45</v>
      </c>
      <c r="D85" s="77" t="s">
        <v>1691</v>
      </c>
      <c r="E85" s="84" t="s">
        <v>1692</v>
      </c>
      <c r="F85" s="80" t="s">
        <v>1056</v>
      </c>
      <c r="G85" s="96" t="s">
        <v>1664</v>
      </c>
      <c r="H85" s="77">
        <v>200</v>
      </c>
      <c r="I85" s="21"/>
      <c r="J85" s="259" t="s">
        <v>50</v>
      </c>
      <c r="K85" s="259" t="s">
        <v>482</v>
      </c>
      <c r="L85" s="259" t="s">
        <v>51</v>
      </c>
      <c r="M85" s="259" t="s">
        <v>13</v>
      </c>
      <c r="N85" s="259" t="s">
        <v>10</v>
      </c>
      <c r="O85" s="259" t="s">
        <v>1372</v>
      </c>
      <c r="P85" s="259" t="s">
        <v>16</v>
      </c>
      <c r="Q85" s="259" t="s">
        <v>952</v>
      </c>
      <c r="R85" s="259" t="s">
        <v>51</v>
      </c>
      <c r="S85" s="260"/>
      <c r="T85" s="259" t="s">
        <v>484</v>
      </c>
      <c r="U85" s="259" t="s">
        <v>55</v>
      </c>
      <c r="V85" s="271" t="s">
        <v>2426</v>
      </c>
      <c r="W85" s="259" t="s">
        <v>2278</v>
      </c>
      <c r="X85" s="261" t="s">
        <v>486</v>
      </c>
      <c r="Y85" s="262" t="s">
        <v>2279</v>
      </c>
      <c r="Z85" s="261" t="s">
        <v>955</v>
      </c>
      <c r="AA85" s="259">
        <v>1</v>
      </c>
      <c r="AB85" s="261" t="s">
        <v>488</v>
      </c>
      <c r="AC85" s="261" t="s">
        <v>489</v>
      </c>
      <c r="AD85" s="261" t="s">
        <v>490</v>
      </c>
      <c r="AE85" s="261" t="s">
        <v>491</v>
      </c>
      <c r="AF85" s="261" t="s">
        <v>492</v>
      </c>
      <c r="AG85" s="261" t="s">
        <v>493</v>
      </c>
      <c r="AH85" s="261" t="s">
        <v>494</v>
      </c>
      <c r="AI85" s="261" t="s">
        <v>495</v>
      </c>
    </row>
    <row r="86" spans="1:35" ht="201.6" x14ac:dyDescent="0.3">
      <c r="A86" s="77">
        <v>46</v>
      </c>
      <c r="B86" s="77" t="str">
        <f t="shared" si="0"/>
        <v>Y</v>
      </c>
      <c r="C86" s="77" t="s">
        <v>45</v>
      </c>
      <c r="D86" s="77" t="s">
        <v>1693</v>
      </c>
      <c r="E86" s="84" t="s">
        <v>1694</v>
      </c>
      <c r="F86" s="80" t="s">
        <v>1059</v>
      </c>
      <c r="G86" s="96" t="s">
        <v>1664</v>
      </c>
      <c r="H86" s="77">
        <v>200</v>
      </c>
      <c r="I86" s="21"/>
      <c r="J86" s="259" t="s">
        <v>50</v>
      </c>
      <c r="K86" s="259" t="s">
        <v>482</v>
      </c>
      <c r="L86" s="259" t="s">
        <v>51</v>
      </c>
      <c r="M86" s="259" t="s">
        <v>13</v>
      </c>
      <c r="N86" s="259" t="s">
        <v>10</v>
      </c>
      <c r="O86" s="259" t="s">
        <v>1372</v>
      </c>
      <c r="P86" s="259" t="s">
        <v>16</v>
      </c>
      <c r="Q86" s="259" t="s">
        <v>952</v>
      </c>
      <c r="R86" s="259" t="s">
        <v>51</v>
      </c>
      <c r="S86" s="263"/>
      <c r="T86" s="257" t="s">
        <v>484</v>
      </c>
      <c r="U86" s="259" t="s">
        <v>55</v>
      </c>
      <c r="V86" s="271" t="s">
        <v>2426</v>
      </c>
      <c r="W86" s="259" t="s">
        <v>2278</v>
      </c>
      <c r="X86" s="264" t="s">
        <v>517</v>
      </c>
      <c r="Y86" s="265" t="s">
        <v>2280</v>
      </c>
      <c r="Z86" s="257" t="s">
        <v>955</v>
      </c>
      <c r="AA86" s="257">
        <v>2</v>
      </c>
      <c r="AB86" s="261" t="s">
        <v>488</v>
      </c>
      <c r="AC86" s="261" t="s">
        <v>489</v>
      </c>
      <c r="AD86" s="261" t="s">
        <v>490</v>
      </c>
      <c r="AE86" s="261" t="s">
        <v>491</v>
      </c>
      <c r="AF86" s="261" t="s">
        <v>492</v>
      </c>
      <c r="AG86" s="261" t="s">
        <v>493</v>
      </c>
      <c r="AH86" s="261" t="s">
        <v>494</v>
      </c>
      <c r="AI86" s="261" t="s">
        <v>495</v>
      </c>
    </row>
    <row r="87" spans="1:35" ht="201.6" x14ac:dyDescent="0.3">
      <c r="A87" s="77">
        <v>47</v>
      </c>
      <c r="B87" s="77" t="str">
        <f t="shared" si="0"/>
        <v>Y</v>
      </c>
      <c r="C87" s="77" t="s">
        <v>45</v>
      </c>
      <c r="D87" s="77" t="s">
        <v>1695</v>
      </c>
      <c r="E87" s="84" t="s">
        <v>1696</v>
      </c>
      <c r="F87" s="80" t="s">
        <v>1062</v>
      </c>
      <c r="G87" s="96" t="s">
        <v>1664</v>
      </c>
      <c r="H87" s="77">
        <v>200</v>
      </c>
      <c r="I87" s="21"/>
      <c r="J87" s="259" t="s">
        <v>50</v>
      </c>
      <c r="K87" s="259" t="s">
        <v>482</v>
      </c>
      <c r="L87" s="259" t="s">
        <v>51</v>
      </c>
      <c r="M87" s="259" t="s">
        <v>13</v>
      </c>
      <c r="N87" s="259" t="s">
        <v>10</v>
      </c>
      <c r="O87" s="259" t="s">
        <v>1372</v>
      </c>
      <c r="P87" s="259" t="s">
        <v>16</v>
      </c>
      <c r="Q87" s="259" t="s">
        <v>952</v>
      </c>
      <c r="R87" s="259" t="s">
        <v>51</v>
      </c>
      <c r="S87" s="263"/>
      <c r="T87" s="257" t="s">
        <v>520</v>
      </c>
      <c r="U87" s="259" t="s">
        <v>55</v>
      </c>
      <c r="V87" s="271" t="s">
        <v>2426</v>
      </c>
      <c r="W87" s="259" t="s">
        <v>2278</v>
      </c>
      <c r="X87" s="266" t="s">
        <v>2281</v>
      </c>
      <c r="Y87" s="267" t="s">
        <v>2282</v>
      </c>
      <c r="Z87" s="257" t="s">
        <v>2283</v>
      </c>
      <c r="AA87" s="257">
        <v>3</v>
      </c>
      <c r="AB87" s="261" t="s">
        <v>488</v>
      </c>
      <c r="AC87" s="261" t="s">
        <v>489</v>
      </c>
      <c r="AD87" s="261" t="s">
        <v>490</v>
      </c>
      <c r="AE87" s="261" t="s">
        <v>491</v>
      </c>
      <c r="AF87" s="261" t="s">
        <v>492</v>
      </c>
      <c r="AG87" s="261" t="s">
        <v>493</v>
      </c>
      <c r="AH87" s="261" t="s">
        <v>494</v>
      </c>
      <c r="AI87" s="261" t="s">
        <v>495</v>
      </c>
    </row>
    <row r="88" spans="1:35" ht="201.6" x14ac:dyDescent="0.3">
      <c r="A88" s="77">
        <v>48</v>
      </c>
      <c r="B88" s="77" t="str">
        <f t="shared" si="0"/>
        <v>Y</v>
      </c>
      <c r="C88" s="77" t="s">
        <v>45</v>
      </c>
      <c r="D88" s="77" t="s">
        <v>1697</v>
      </c>
      <c r="E88" s="84" t="s">
        <v>1698</v>
      </c>
      <c r="F88" s="80" t="s">
        <v>1065</v>
      </c>
      <c r="G88" s="96" t="s">
        <v>1648</v>
      </c>
      <c r="H88" s="77">
        <v>200</v>
      </c>
      <c r="I88" s="21"/>
      <c r="J88" s="259" t="s">
        <v>50</v>
      </c>
      <c r="K88" s="259" t="s">
        <v>482</v>
      </c>
      <c r="L88" s="259" t="s">
        <v>51</v>
      </c>
      <c r="M88" s="259" t="s">
        <v>13</v>
      </c>
      <c r="N88" s="259" t="s">
        <v>10</v>
      </c>
      <c r="O88" s="259" t="s">
        <v>1372</v>
      </c>
      <c r="P88" s="259" t="s">
        <v>16</v>
      </c>
      <c r="Q88" s="259" t="s">
        <v>952</v>
      </c>
      <c r="R88" s="259" t="s">
        <v>51</v>
      </c>
      <c r="S88" s="263"/>
      <c r="T88" s="257" t="s">
        <v>171</v>
      </c>
      <c r="U88" s="259" t="s">
        <v>55</v>
      </c>
      <c r="V88" s="271" t="s">
        <v>2426</v>
      </c>
      <c r="W88" s="259" t="s">
        <v>2278</v>
      </c>
      <c r="X88" s="264" t="s">
        <v>964</v>
      </c>
      <c r="Y88" s="265" t="s">
        <v>1159</v>
      </c>
      <c r="Z88" s="257" t="s">
        <v>2284</v>
      </c>
      <c r="AA88" s="257">
        <v>4</v>
      </c>
      <c r="AB88" s="261" t="s">
        <v>488</v>
      </c>
      <c r="AC88" s="261" t="s">
        <v>489</v>
      </c>
      <c r="AD88" s="261" t="s">
        <v>490</v>
      </c>
      <c r="AE88" s="261" t="s">
        <v>491</v>
      </c>
      <c r="AF88" s="261" t="s">
        <v>492</v>
      </c>
      <c r="AG88" s="261" t="s">
        <v>493</v>
      </c>
      <c r="AH88" s="261" t="s">
        <v>494</v>
      </c>
      <c r="AI88" s="261" t="s">
        <v>495</v>
      </c>
    </row>
    <row r="89" spans="1:35" ht="201.6" x14ac:dyDescent="0.3">
      <c r="A89" s="77">
        <v>49</v>
      </c>
      <c r="B89" s="77" t="str">
        <f t="shared" si="0"/>
        <v>Y</v>
      </c>
      <c r="C89" s="77" t="s">
        <v>45</v>
      </c>
      <c r="D89" s="77" t="s">
        <v>1699</v>
      </c>
      <c r="E89" s="84" t="s">
        <v>1700</v>
      </c>
      <c r="F89" s="80" t="s">
        <v>1068</v>
      </c>
      <c r="G89" s="96" t="s">
        <v>1664</v>
      </c>
      <c r="H89" s="77">
        <v>200</v>
      </c>
      <c r="I89" s="21"/>
      <c r="J89" s="259" t="s">
        <v>50</v>
      </c>
      <c r="K89" s="259" t="s">
        <v>482</v>
      </c>
      <c r="L89" s="259" t="s">
        <v>51</v>
      </c>
      <c r="M89" s="259" t="s">
        <v>13</v>
      </c>
      <c r="N89" s="259" t="s">
        <v>10</v>
      </c>
      <c r="O89" s="259" t="s">
        <v>1372</v>
      </c>
      <c r="P89" s="259" t="s">
        <v>16</v>
      </c>
      <c r="Q89" s="259" t="s">
        <v>952</v>
      </c>
      <c r="R89" s="259" t="s">
        <v>51</v>
      </c>
      <c r="S89" s="260"/>
      <c r="T89" s="259" t="s">
        <v>484</v>
      </c>
      <c r="U89" s="259" t="s">
        <v>55</v>
      </c>
      <c r="V89" s="271" t="s">
        <v>2427</v>
      </c>
      <c r="W89" s="259" t="s">
        <v>2278</v>
      </c>
      <c r="X89" s="261" t="s">
        <v>486</v>
      </c>
      <c r="Y89" s="262" t="s">
        <v>2279</v>
      </c>
      <c r="Z89" s="261" t="s">
        <v>955</v>
      </c>
      <c r="AA89" s="259">
        <v>1</v>
      </c>
      <c r="AB89" s="261" t="s">
        <v>488</v>
      </c>
      <c r="AC89" s="261" t="s">
        <v>489</v>
      </c>
      <c r="AD89" s="261" t="s">
        <v>490</v>
      </c>
      <c r="AE89" s="261" t="s">
        <v>491</v>
      </c>
      <c r="AF89" s="261" t="s">
        <v>492</v>
      </c>
      <c r="AG89" s="261" t="s">
        <v>493</v>
      </c>
      <c r="AH89" s="261" t="s">
        <v>494</v>
      </c>
      <c r="AI89" s="261" t="s">
        <v>495</v>
      </c>
    </row>
    <row r="90" spans="1:35" ht="201.6" x14ac:dyDescent="0.3">
      <c r="A90" s="77">
        <v>50</v>
      </c>
      <c r="B90" s="77" t="str">
        <f t="shared" si="0"/>
        <v>Y</v>
      </c>
      <c r="C90" s="77" t="s">
        <v>45</v>
      </c>
      <c r="D90" s="77" t="s">
        <v>1701</v>
      </c>
      <c r="E90" s="84" t="s">
        <v>1702</v>
      </c>
      <c r="F90" s="80" t="s">
        <v>1071</v>
      </c>
      <c r="G90" s="96" t="s">
        <v>1664</v>
      </c>
      <c r="H90" s="77">
        <v>200</v>
      </c>
      <c r="I90" s="21"/>
      <c r="J90" s="259" t="s">
        <v>50</v>
      </c>
      <c r="K90" s="259" t="s">
        <v>482</v>
      </c>
      <c r="L90" s="259" t="s">
        <v>51</v>
      </c>
      <c r="M90" s="259" t="s">
        <v>13</v>
      </c>
      <c r="N90" s="259" t="s">
        <v>10</v>
      </c>
      <c r="O90" s="259" t="s">
        <v>1372</v>
      </c>
      <c r="P90" s="259" t="s">
        <v>16</v>
      </c>
      <c r="Q90" s="259" t="s">
        <v>952</v>
      </c>
      <c r="R90" s="259" t="s">
        <v>51</v>
      </c>
      <c r="S90" s="263"/>
      <c r="T90" s="257" t="s">
        <v>484</v>
      </c>
      <c r="U90" s="259" t="s">
        <v>55</v>
      </c>
      <c r="V90" s="271" t="s">
        <v>2427</v>
      </c>
      <c r="W90" s="259" t="s">
        <v>2278</v>
      </c>
      <c r="X90" s="264" t="s">
        <v>517</v>
      </c>
      <c r="Y90" s="265" t="s">
        <v>2280</v>
      </c>
      <c r="Z90" s="257" t="s">
        <v>955</v>
      </c>
      <c r="AA90" s="257">
        <v>2</v>
      </c>
      <c r="AB90" s="261" t="s">
        <v>488</v>
      </c>
      <c r="AC90" s="261" t="s">
        <v>489</v>
      </c>
      <c r="AD90" s="261" t="s">
        <v>490</v>
      </c>
      <c r="AE90" s="261" t="s">
        <v>491</v>
      </c>
      <c r="AF90" s="261" t="s">
        <v>492</v>
      </c>
      <c r="AG90" s="261" t="s">
        <v>493</v>
      </c>
      <c r="AH90" s="261" t="s">
        <v>494</v>
      </c>
      <c r="AI90" s="261" t="s">
        <v>495</v>
      </c>
    </row>
    <row r="91" spans="1:35" ht="201.6" x14ac:dyDescent="0.3">
      <c r="A91" s="77">
        <v>51</v>
      </c>
      <c r="B91" s="77" t="str">
        <f t="shared" si="0"/>
        <v>Y</v>
      </c>
      <c r="C91" s="77" t="s">
        <v>45</v>
      </c>
      <c r="D91" s="77" t="s">
        <v>1703</v>
      </c>
      <c r="E91" s="84" t="s">
        <v>1704</v>
      </c>
      <c r="F91" s="80" t="s">
        <v>1074</v>
      </c>
      <c r="G91" s="96" t="s">
        <v>1664</v>
      </c>
      <c r="H91" s="77">
        <v>200</v>
      </c>
      <c r="I91" s="21"/>
      <c r="J91" s="259" t="s">
        <v>50</v>
      </c>
      <c r="K91" s="259" t="s">
        <v>482</v>
      </c>
      <c r="L91" s="259" t="s">
        <v>51</v>
      </c>
      <c r="M91" s="259" t="s">
        <v>13</v>
      </c>
      <c r="N91" s="259" t="s">
        <v>10</v>
      </c>
      <c r="O91" s="259" t="s">
        <v>1372</v>
      </c>
      <c r="P91" s="259" t="s">
        <v>16</v>
      </c>
      <c r="Q91" s="259" t="s">
        <v>952</v>
      </c>
      <c r="R91" s="259" t="s">
        <v>51</v>
      </c>
      <c r="S91" s="263"/>
      <c r="T91" s="257" t="s">
        <v>520</v>
      </c>
      <c r="U91" s="259" t="s">
        <v>55</v>
      </c>
      <c r="V91" s="271" t="s">
        <v>2427</v>
      </c>
      <c r="W91" s="259" t="s">
        <v>2278</v>
      </c>
      <c r="X91" s="266" t="s">
        <v>2281</v>
      </c>
      <c r="Y91" s="267" t="s">
        <v>2282</v>
      </c>
      <c r="Z91" s="257" t="s">
        <v>2283</v>
      </c>
      <c r="AA91" s="257">
        <v>3</v>
      </c>
      <c r="AB91" s="261" t="s">
        <v>488</v>
      </c>
      <c r="AC91" s="261" t="s">
        <v>489</v>
      </c>
      <c r="AD91" s="261" t="s">
        <v>490</v>
      </c>
      <c r="AE91" s="261" t="s">
        <v>491</v>
      </c>
      <c r="AF91" s="261" t="s">
        <v>492</v>
      </c>
      <c r="AG91" s="261" t="s">
        <v>493</v>
      </c>
      <c r="AH91" s="261" t="s">
        <v>494</v>
      </c>
      <c r="AI91" s="261" t="s">
        <v>495</v>
      </c>
    </row>
    <row r="92" spans="1:35" ht="201.6" x14ac:dyDescent="0.3">
      <c r="A92" s="77">
        <v>52</v>
      </c>
      <c r="B92" s="77" t="str">
        <f t="shared" si="0"/>
        <v>Y</v>
      </c>
      <c r="C92" s="77" t="s">
        <v>45</v>
      </c>
      <c r="D92" s="77" t="s">
        <v>1705</v>
      </c>
      <c r="E92" s="84" t="s">
        <v>1706</v>
      </c>
      <c r="F92" s="80" t="s">
        <v>1077</v>
      </c>
      <c r="G92" s="96" t="s">
        <v>1664</v>
      </c>
      <c r="H92" s="77">
        <v>200</v>
      </c>
      <c r="I92" s="21"/>
      <c r="J92" s="259" t="s">
        <v>50</v>
      </c>
      <c r="K92" s="259" t="s">
        <v>482</v>
      </c>
      <c r="L92" s="259" t="s">
        <v>51</v>
      </c>
      <c r="M92" s="259" t="s">
        <v>13</v>
      </c>
      <c r="N92" s="259" t="s">
        <v>10</v>
      </c>
      <c r="O92" s="259" t="s">
        <v>1372</v>
      </c>
      <c r="P92" s="259" t="s">
        <v>16</v>
      </c>
      <c r="Q92" s="259" t="s">
        <v>952</v>
      </c>
      <c r="R92" s="259" t="s">
        <v>51</v>
      </c>
      <c r="S92" s="263"/>
      <c r="T92" s="257" t="s">
        <v>171</v>
      </c>
      <c r="U92" s="259" t="s">
        <v>55</v>
      </c>
      <c r="V92" s="271" t="s">
        <v>2427</v>
      </c>
      <c r="W92" s="259" t="s">
        <v>2278</v>
      </c>
      <c r="X92" s="264" t="s">
        <v>964</v>
      </c>
      <c r="Y92" s="265" t="s">
        <v>1159</v>
      </c>
      <c r="Z92" s="257" t="s">
        <v>2284</v>
      </c>
      <c r="AA92" s="257">
        <v>4</v>
      </c>
      <c r="AB92" s="261" t="s">
        <v>488</v>
      </c>
      <c r="AC92" s="261" t="s">
        <v>489</v>
      </c>
      <c r="AD92" s="261" t="s">
        <v>490</v>
      </c>
      <c r="AE92" s="261" t="s">
        <v>491</v>
      </c>
      <c r="AF92" s="261" t="s">
        <v>492</v>
      </c>
      <c r="AG92" s="261" t="s">
        <v>493</v>
      </c>
      <c r="AH92" s="261" t="s">
        <v>494</v>
      </c>
      <c r="AI92" s="261" t="s">
        <v>495</v>
      </c>
    </row>
    <row r="93" spans="1:35" ht="201.6" x14ac:dyDescent="0.3">
      <c r="A93" s="77">
        <v>53</v>
      </c>
      <c r="B93" s="77" t="str">
        <f t="shared" si="0"/>
        <v>Y</v>
      </c>
      <c r="C93" s="77" t="s">
        <v>45</v>
      </c>
      <c r="D93" s="77" t="s">
        <v>1707</v>
      </c>
      <c r="E93" s="84" t="s">
        <v>1708</v>
      </c>
      <c r="F93" s="80" t="s">
        <v>1080</v>
      </c>
      <c r="G93" s="96" t="s">
        <v>1664</v>
      </c>
      <c r="H93" s="77">
        <v>200</v>
      </c>
      <c r="I93" s="21"/>
      <c r="J93" s="259" t="s">
        <v>50</v>
      </c>
      <c r="K93" s="259" t="s">
        <v>482</v>
      </c>
      <c r="L93" s="259" t="s">
        <v>51</v>
      </c>
      <c r="M93" s="259" t="s">
        <v>13</v>
      </c>
      <c r="N93" s="259" t="s">
        <v>10</v>
      </c>
      <c r="O93" s="259" t="s">
        <v>1372</v>
      </c>
      <c r="P93" s="259" t="s">
        <v>16</v>
      </c>
      <c r="Q93" s="259" t="s">
        <v>952</v>
      </c>
      <c r="R93" s="259" t="s">
        <v>51</v>
      </c>
      <c r="S93" s="260"/>
      <c r="T93" s="259" t="s">
        <v>484</v>
      </c>
      <c r="U93" s="259" t="s">
        <v>55</v>
      </c>
      <c r="V93" s="271" t="s">
        <v>2428</v>
      </c>
      <c r="W93" s="259" t="s">
        <v>2278</v>
      </c>
      <c r="X93" s="261" t="s">
        <v>486</v>
      </c>
      <c r="Y93" s="262" t="s">
        <v>2279</v>
      </c>
      <c r="Z93" s="261" t="s">
        <v>955</v>
      </c>
      <c r="AA93" s="259">
        <v>1</v>
      </c>
      <c r="AB93" s="261" t="s">
        <v>488</v>
      </c>
      <c r="AC93" s="261" t="s">
        <v>489</v>
      </c>
      <c r="AD93" s="261" t="s">
        <v>490</v>
      </c>
      <c r="AE93" s="261" t="s">
        <v>491</v>
      </c>
      <c r="AF93" s="261" t="s">
        <v>492</v>
      </c>
      <c r="AG93" s="261" t="s">
        <v>493</v>
      </c>
      <c r="AH93" s="261" t="s">
        <v>494</v>
      </c>
      <c r="AI93" s="261" t="s">
        <v>495</v>
      </c>
    </row>
    <row r="94" spans="1:35" ht="201.6" x14ac:dyDescent="0.3">
      <c r="A94" s="77">
        <v>54</v>
      </c>
      <c r="B94" s="77" t="str">
        <f t="shared" si="0"/>
        <v>Y</v>
      </c>
      <c r="C94" s="77" t="s">
        <v>45</v>
      </c>
      <c r="D94" s="77" t="s">
        <v>1709</v>
      </c>
      <c r="E94" s="84" t="s">
        <v>1710</v>
      </c>
      <c r="F94" s="80" t="s">
        <v>1083</v>
      </c>
      <c r="G94" s="96" t="s">
        <v>1664</v>
      </c>
      <c r="H94" s="77">
        <v>200</v>
      </c>
      <c r="I94" s="21"/>
      <c r="J94" s="259" t="s">
        <v>50</v>
      </c>
      <c r="K94" s="259" t="s">
        <v>482</v>
      </c>
      <c r="L94" s="259" t="s">
        <v>51</v>
      </c>
      <c r="M94" s="259" t="s">
        <v>13</v>
      </c>
      <c r="N94" s="259" t="s">
        <v>10</v>
      </c>
      <c r="O94" s="259" t="s">
        <v>1372</v>
      </c>
      <c r="P94" s="259" t="s">
        <v>16</v>
      </c>
      <c r="Q94" s="259" t="s">
        <v>952</v>
      </c>
      <c r="R94" s="259" t="s">
        <v>51</v>
      </c>
      <c r="S94" s="263"/>
      <c r="T94" s="257" t="s">
        <v>484</v>
      </c>
      <c r="U94" s="259" t="s">
        <v>55</v>
      </c>
      <c r="V94" s="271" t="s">
        <v>2428</v>
      </c>
      <c r="W94" s="259" t="s">
        <v>2278</v>
      </c>
      <c r="X94" s="264" t="s">
        <v>517</v>
      </c>
      <c r="Y94" s="265" t="s">
        <v>2280</v>
      </c>
      <c r="Z94" s="257" t="s">
        <v>955</v>
      </c>
      <c r="AA94" s="257">
        <v>2</v>
      </c>
      <c r="AB94" s="261" t="s">
        <v>488</v>
      </c>
      <c r="AC94" s="261" t="s">
        <v>489</v>
      </c>
      <c r="AD94" s="261" t="s">
        <v>490</v>
      </c>
      <c r="AE94" s="261" t="s">
        <v>491</v>
      </c>
      <c r="AF94" s="261" t="s">
        <v>492</v>
      </c>
      <c r="AG94" s="261" t="s">
        <v>493</v>
      </c>
      <c r="AH94" s="261" t="s">
        <v>494</v>
      </c>
      <c r="AI94" s="261" t="s">
        <v>495</v>
      </c>
    </row>
    <row r="95" spans="1:35" ht="201.6" x14ac:dyDescent="0.3">
      <c r="A95" s="77">
        <v>55</v>
      </c>
      <c r="B95" s="77" t="str">
        <f t="shared" si="0"/>
        <v>Y</v>
      </c>
      <c r="C95" s="77" t="s">
        <v>45</v>
      </c>
      <c r="D95" s="77" t="s">
        <v>1711</v>
      </c>
      <c r="E95" s="84" t="s">
        <v>1712</v>
      </c>
      <c r="F95" s="80" t="s">
        <v>1086</v>
      </c>
      <c r="G95" s="96" t="s">
        <v>1664</v>
      </c>
      <c r="H95" s="77">
        <v>200</v>
      </c>
      <c r="I95" s="21"/>
      <c r="J95" s="259" t="s">
        <v>50</v>
      </c>
      <c r="K95" s="259" t="s">
        <v>482</v>
      </c>
      <c r="L95" s="259" t="s">
        <v>51</v>
      </c>
      <c r="M95" s="259" t="s">
        <v>13</v>
      </c>
      <c r="N95" s="259" t="s">
        <v>10</v>
      </c>
      <c r="O95" s="259" t="s">
        <v>1372</v>
      </c>
      <c r="P95" s="259" t="s">
        <v>16</v>
      </c>
      <c r="Q95" s="259" t="s">
        <v>952</v>
      </c>
      <c r="R95" s="259" t="s">
        <v>51</v>
      </c>
      <c r="S95" s="263"/>
      <c r="T95" s="257" t="s">
        <v>520</v>
      </c>
      <c r="U95" s="259" t="s">
        <v>55</v>
      </c>
      <c r="V95" s="271" t="s">
        <v>2428</v>
      </c>
      <c r="W95" s="259" t="s">
        <v>2278</v>
      </c>
      <c r="X95" s="266" t="s">
        <v>2281</v>
      </c>
      <c r="Y95" s="267" t="s">
        <v>2282</v>
      </c>
      <c r="Z95" s="257" t="s">
        <v>2283</v>
      </c>
      <c r="AA95" s="257">
        <v>3</v>
      </c>
      <c r="AB95" s="261" t="s">
        <v>488</v>
      </c>
      <c r="AC95" s="261" t="s">
        <v>489</v>
      </c>
      <c r="AD95" s="261" t="s">
        <v>490</v>
      </c>
      <c r="AE95" s="261" t="s">
        <v>491</v>
      </c>
      <c r="AF95" s="261" t="s">
        <v>492</v>
      </c>
      <c r="AG95" s="261" t="s">
        <v>493</v>
      </c>
      <c r="AH95" s="261" t="s">
        <v>494</v>
      </c>
      <c r="AI95" s="261" t="s">
        <v>495</v>
      </c>
    </row>
    <row r="96" spans="1:35" ht="201.6" x14ac:dyDescent="0.3">
      <c r="A96" s="77">
        <v>56</v>
      </c>
      <c r="B96" s="77" t="str">
        <f t="shared" si="0"/>
        <v>Y</v>
      </c>
      <c r="C96" s="77" t="s">
        <v>45</v>
      </c>
      <c r="D96" s="77" t="s">
        <v>1713</v>
      </c>
      <c r="E96" s="84" t="s">
        <v>1714</v>
      </c>
      <c r="F96" s="80" t="s">
        <v>1089</v>
      </c>
      <c r="G96" s="96" t="s">
        <v>1664</v>
      </c>
      <c r="H96" s="77">
        <v>200</v>
      </c>
      <c r="I96" s="21"/>
      <c r="J96" s="259" t="s">
        <v>50</v>
      </c>
      <c r="K96" s="259" t="s">
        <v>482</v>
      </c>
      <c r="L96" s="259" t="s">
        <v>51</v>
      </c>
      <c r="M96" s="259" t="s">
        <v>13</v>
      </c>
      <c r="N96" s="259" t="s">
        <v>10</v>
      </c>
      <c r="O96" s="259" t="s">
        <v>1372</v>
      </c>
      <c r="P96" s="259" t="s">
        <v>16</v>
      </c>
      <c r="Q96" s="259" t="s">
        <v>952</v>
      </c>
      <c r="R96" s="259" t="s">
        <v>51</v>
      </c>
      <c r="S96" s="263"/>
      <c r="T96" s="257" t="s">
        <v>171</v>
      </c>
      <c r="U96" s="259" t="s">
        <v>55</v>
      </c>
      <c r="V96" s="271" t="s">
        <v>2428</v>
      </c>
      <c r="W96" s="259" t="s">
        <v>2278</v>
      </c>
      <c r="X96" s="264" t="s">
        <v>964</v>
      </c>
      <c r="Y96" s="265" t="s">
        <v>1159</v>
      </c>
      <c r="Z96" s="257" t="s">
        <v>2284</v>
      </c>
      <c r="AA96" s="257">
        <v>4</v>
      </c>
      <c r="AB96" s="261" t="s">
        <v>488</v>
      </c>
      <c r="AC96" s="261" t="s">
        <v>489</v>
      </c>
      <c r="AD96" s="261" t="s">
        <v>490</v>
      </c>
      <c r="AE96" s="261" t="s">
        <v>491</v>
      </c>
      <c r="AF96" s="261" t="s">
        <v>492</v>
      </c>
      <c r="AG96" s="261" t="s">
        <v>493</v>
      </c>
      <c r="AH96" s="261" t="s">
        <v>494</v>
      </c>
      <c r="AI96" s="261" t="s">
        <v>495</v>
      </c>
    </row>
    <row r="97" spans="1:35" ht="201.6" x14ac:dyDescent="0.3">
      <c r="A97" s="77">
        <v>57</v>
      </c>
      <c r="B97" s="77" t="str">
        <f t="shared" ref="B97:B100" si="18">C97</f>
        <v>Y</v>
      </c>
      <c r="C97" s="77" t="s">
        <v>45</v>
      </c>
      <c r="D97" s="77" t="s">
        <v>2429</v>
      </c>
      <c r="E97" s="84" t="s">
        <v>2431</v>
      </c>
      <c r="F97" s="80" t="s">
        <v>1090</v>
      </c>
      <c r="G97" s="96" t="s">
        <v>1715</v>
      </c>
      <c r="H97" s="77">
        <v>200</v>
      </c>
      <c r="I97" s="21"/>
      <c r="J97" s="259" t="s">
        <v>50</v>
      </c>
      <c r="K97" s="259" t="s">
        <v>482</v>
      </c>
      <c r="L97" s="259" t="s">
        <v>51</v>
      </c>
      <c r="M97" s="259" t="s">
        <v>13</v>
      </c>
      <c r="N97" s="259" t="s">
        <v>10</v>
      </c>
      <c r="O97" s="259" t="s">
        <v>1372</v>
      </c>
      <c r="P97" s="259" t="s">
        <v>16</v>
      </c>
      <c r="Q97" s="259" t="s">
        <v>952</v>
      </c>
      <c r="R97" s="259" t="s">
        <v>51</v>
      </c>
      <c r="S97" s="260"/>
      <c r="T97" s="259" t="s">
        <v>484</v>
      </c>
      <c r="U97" s="259" t="s">
        <v>55</v>
      </c>
      <c r="V97" s="261" t="s">
        <v>2277</v>
      </c>
      <c r="W97" s="259" t="s">
        <v>2278</v>
      </c>
      <c r="X97" s="261" t="s">
        <v>486</v>
      </c>
      <c r="Y97" s="279" t="s">
        <v>2426</v>
      </c>
      <c r="Z97" s="261" t="s">
        <v>955</v>
      </c>
      <c r="AA97" s="259">
        <v>1</v>
      </c>
      <c r="AB97" s="261" t="s">
        <v>488</v>
      </c>
      <c r="AC97" s="261" t="s">
        <v>489</v>
      </c>
      <c r="AD97" s="261" t="s">
        <v>490</v>
      </c>
      <c r="AE97" s="261" t="s">
        <v>491</v>
      </c>
      <c r="AF97" s="261" t="s">
        <v>492</v>
      </c>
      <c r="AG97" s="261" t="s">
        <v>493</v>
      </c>
      <c r="AH97" s="261" t="s">
        <v>494</v>
      </c>
      <c r="AI97" s="261" t="s">
        <v>495</v>
      </c>
    </row>
    <row r="98" spans="1:35" ht="201.6" x14ac:dyDescent="0.3">
      <c r="A98" s="77"/>
      <c r="B98" s="77" t="str">
        <f t="shared" si="18"/>
        <v>Y</v>
      </c>
      <c r="C98" s="77" t="s">
        <v>45</v>
      </c>
      <c r="D98" s="77" t="s">
        <v>2430</v>
      </c>
      <c r="E98" s="84" t="s">
        <v>2433</v>
      </c>
      <c r="F98" s="80" t="s">
        <v>1090</v>
      </c>
      <c r="G98" s="96" t="s">
        <v>1715</v>
      </c>
      <c r="H98" s="77">
        <v>200</v>
      </c>
      <c r="I98" s="21"/>
      <c r="J98" s="259" t="s">
        <v>50</v>
      </c>
      <c r="K98" s="259" t="s">
        <v>482</v>
      </c>
      <c r="L98" s="259" t="s">
        <v>51</v>
      </c>
      <c r="M98" s="259" t="s">
        <v>13</v>
      </c>
      <c r="N98" s="259" t="s">
        <v>10</v>
      </c>
      <c r="O98" s="259" t="s">
        <v>1372</v>
      </c>
      <c r="P98" s="259" t="s">
        <v>16</v>
      </c>
      <c r="Q98" s="259" t="s">
        <v>952</v>
      </c>
      <c r="R98" s="259" t="s">
        <v>51</v>
      </c>
      <c r="S98" s="263"/>
      <c r="T98" s="257" t="s">
        <v>484</v>
      </c>
      <c r="U98" s="259" t="s">
        <v>55</v>
      </c>
      <c r="V98" s="261" t="s">
        <v>2277</v>
      </c>
      <c r="W98" s="259" t="s">
        <v>2278</v>
      </c>
      <c r="X98" s="264" t="s">
        <v>517</v>
      </c>
      <c r="Y98" s="280" t="s">
        <v>2432</v>
      </c>
      <c r="Z98" s="257" t="s">
        <v>955</v>
      </c>
      <c r="AA98" s="257">
        <v>2</v>
      </c>
      <c r="AB98" s="261" t="s">
        <v>488</v>
      </c>
      <c r="AC98" s="261" t="s">
        <v>489</v>
      </c>
      <c r="AD98" s="261" t="s">
        <v>490</v>
      </c>
      <c r="AE98" s="261" t="s">
        <v>491</v>
      </c>
      <c r="AF98" s="261" t="s">
        <v>492</v>
      </c>
      <c r="AG98" s="261" t="s">
        <v>493</v>
      </c>
      <c r="AH98" s="261" t="s">
        <v>494</v>
      </c>
      <c r="AI98" s="261" t="s">
        <v>495</v>
      </c>
    </row>
    <row r="99" spans="1:35" ht="201.6" x14ac:dyDescent="0.3">
      <c r="A99" s="77">
        <v>58</v>
      </c>
      <c r="B99" s="77" t="str">
        <f t="shared" si="18"/>
        <v>Y</v>
      </c>
      <c r="C99" s="77" t="s">
        <v>45</v>
      </c>
      <c r="D99" s="77" t="s">
        <v>2435</v>
      </c>
      <c r="E99" s="84" t="s">
        <v>2434</v>
      </c>
      <c r="F99" s="80" t="s">
        <v>1091</v>
      </c>
      <c r="G99" s="96" t="s">
        <v>1664</v>
      </c>
      <c r="H99" s="77">
        <v>200</v>
      </c>
      <c r="I99" s="21"/>
      <c r="J99" s="259" t="s">
        <v>50</v>
      </c>
      <c r="K99" s="259" t="s">
        <v>482</v>
      </c>
      <c r="L99" s="259" t="s">
        <v>51</v>
      </c>
      <c r="M99" s="259" t="s">
        <v>13</v>
      </c>
      <c r="N99" s="259" t="s">
        <v>10</v>
      </c>
      <c r="O99" s="259" t="s">
        <v>1372</v>
      </c>
      <c r="P99" s="259" t="s">
        <v>16</v>
      </c>
      <c r="Q99" s="259" t="s">
        <v>952</v>
      </c>
      <c r="R99" s="259" t="s">
        <v>51</v>
      </c>
      <c r="S99" s="260"/>
      <c r="T99" s="259" t="s">
        <v>484</v>
      </c>
      <c r="U99" s="259" t="s">
        <v>55</v>
      </c>
      <c r="V99" s="261" t="s">
        <v>2277</v>
      </c>
      <c r="W99" s="259" t="s">
        <v>2278</v>
      </c>
      <c r="X99" s="261" t="s">
        <v>486</v>
      </c>
      <c r="Y99" s="279" t="s">
        <v>2427</v>
      </c>
      <c r="Z99" s="261" t="s">
        <v>955</v>
      </c>
      <c r="AA99" s="259">
        <v>1</v>
      </c>
      <c r="AB99" s="261" t="s">
        <v>488</v>
      </c>
      <c r="AC99" s="261" t="s">
        <v>489</v>
      </c>
      <c r="AD99" s="261" t="s">
        <v>490</v>
      </c>
      <c r="AE99" s="261" t="s">
        <v>491</v>
      </c>
      <c r="AF99" s="261" t="s">
        <v>492</v>
      </c>
      <c r="AG99" s="261" t="s">
        <v>493</v>
      </c>
      <c r="AH99" s="261" t="s">
        <v>494</v>
      </c>
      <c r="AI99" s="261" t="s">
        <v>495</v>
      </c>
    </row>
    <row r="100" spans="1:35" ht="201.6" x14ac:dyDescent="0.3">
      <c r="A100" s="77"/>
      <c r="B100" s="77" t="str">
        <f t="shared" si="18"/>
        <v>Y</v>
      </c>
      <c r="C100" s="77" t="s">
        <v>45</v>
      </c>
      <c r="D100" s="77" t="s">
        <v>2436</v>
      </c>
      <c r="E100" s="84" t="s">
        <v>2437</v>
      </c>
      <c r="F100" s="80" t="s">
        <v>1091</v>
      </c>
      <c r="G100" s="96" t="s">
        <v>1664</v>
      </c>
      <c r="H100" s="77">
        <v>200</v>
      </c>
      <c r="I100" s="21"/>
      <c r="J100" s="259" t="s">
        <v>50</v>
      </c>
      <c r="K100" s="259" t="s">
        <v>482</v>
      </c>
      <c r="L100" s="259" t="s">
        <v>51</v>
      </c>
      <c r="M100" s="259" t="s">
        <v>13</v>
      </c>
      <c r="N100" s="259" t="s">
        <v>10</v>
      </c>
      <c r="O100" s="259" t="s">
        <v>1372</v>
      </c>
      <c r="P100" s="259" t="s">
        <v>16</v>
      </c>
      <c r="Q100" s="259" t="s">
        <v>952</v>
      </c>
      <c r="R100" s="259" t="s">
        <v>51</v>
      </c>
      <c r="S100" s="263"/>
      <c r="T100" s="257" t="s">
        <v>484</v>
      </c>
      <c r="U100" s="259" t="s">
        <v>55</v>
      </c>
      <c r="V100" s="261" t="s">
        <v>2277</v>
      </c>
      <c r="W100" s="259" t="s">
        <v>2278</v>
      </c>
      <c r="X100" s="264" t="s">
        <v>517</v>
      </c>
      <c r="Y100" s="280" t="s">
        <v>2438</v>
      </c>
      <c r="Z100" s="257" t="s">
        <v>955</v>
      </c>
      <c r="AA100" s="257">
        <v>2</v>
      </c>
      <c r="AB100" s="261" t="s">
        <v>488</v>
      </c>
      <c r="AC100" s="261" t="s">
        <v>489</v>
      </c>
      <c r="AD100" s="261" t="s">
        <v>490</v>
      </c>
      <c r="AE100" s="261" t="s">
        <v>491</v>
      </c>
      <c r="AF100" s="261" t="s">
        <v>492</v>
      </c>
      <c r="AG100" s="261" t="s">
        <v>493</v>
      </c>
      <c r="AH100" s="261" t="s">
        <v>494</v>
      </c>
      <c r="AI100" s="261" t="s">
        <v>495</v>
      </c>
    </row>
    <row r="101" spans="1:35" ht="201.6" x14ac:dyDescent="0.3">
      <c r="A101" s="77">
        <v>59</v>
      </c>
      <c r="B101" s="77" t="str">
        <f t="shared" ref="B101:B102" si="19">C101</f>
        <v>Y</v>
      </c>
      <c r="C101" s="77" t="s">
        <v>45</v>
      </c>
      <c r="D101" s="77" t="s">
        <v>2440</v>
      </c>
      <c r="E101" s="84" t="s">
        <v>2439</v>
      </c>
      <c r="F101" s="80" t="s">
        <v>1092</v>
      </c>
      <c r="G101" s="96" t="s">
        <v>1664</v>
      </c>
      <c r="H101" s="77">
        <v>200</v>
      </c>
      <c r="I101" s="21"/>
      <c r="J101" s="259" t="s">
        <v>50</v>
      </c>
      <c r="K101" s="259" t="s">
        <v>482</v>
      </c>
      <c r="L101" s="259" t="s">
        <v>51</v>
      </c>
      <c r="M101" s="259" t="s">
        <v>13</v>
      </c>
      <c r="N101" s="259" t="s">
        <v>10</v>
      </c>
      <c r="O101" s="259" t="s">
        <v>1372</v>
      </c>
      <c r="P101" s="259" t="s">
        <v>16</v>
      </c>
      <c r="Q101" s="259" t="s">
        <v>952</v>
      </c>
      <c r="R101" s="259" t="s">
        <v>51</v>
      </c>
      <c r="S101" s="260"/>
      <c r="T101" s="259" t="s">
        <v>484</v>
      </c>
      <c r="U101" s="259" t="s">
        <v>55</v>
      </c>
      <c r="V101" s="261" t="s">
        <v>2277</v>
      </c>
      <c r="W101" s="259" t="s">
        <v>2278</v>
      </c>
      <c r="X101" s="261" t="s">
        <v>486</v>
      </c>
      <c r="Y101" s="281" t="s">
        <v>2428</v>
      </c>
      <c r="Z101" s="261" t="s">
        <v>955</v>
      </c>
      <c r="AA101" s="259">
        <v>1</v>
      </c>
      <c r="AB101" s="261" t="s">
        <v>488</v>
      </c>
      <c r="AC101" s="261" t="s">
        <v>489</v>
      </c>
      <c r="AD101" s="261" t="s">
        <v>490</v>
      </c>
      <c r="AE101" s="261" t="s">
        <v>491</v>
      </c>
      <c r="AF101" s="261" t="s">
        <v>492</v>
      </c>
      <c r="AG101" s="261" t="s">
        <v>493</v>
      </c>
      <c r="AH101" s="261" t="s">
        <v>494</v>
      </c>
      <c r="AI101" s="261" t="s">
        <v>495</v>
      </c>
    </row>
    <row r="102" spans="1:35" ht="201.6" x14ac:dyDescent="0.3">
      <c r="A102" s="77"/>
      <c r="B102" s="77" t="str">
        <f t="shared" si="19"/>
        <v>Y</v>
      </c>
      <c r="C102" s="77" t="s">
        <v>45</v>
      </c>
      <c r="D102" s="77" t="s">
        <v>2441</v>
      </c>
      <c r="E102" s="84" t="s">
        <v>2442</v>
      </c>
      <c r="F102" s="80" t="s">
        <v>1092</v>
      </c>
      <c r="G102" s="96" t="s">
        <v>1664</v>
      </c>
      <c r="H102" s="77">
        <v>200</v>
      </c>
      <c r="I102" s="21"/>
      <c r="J102" s="259" t="s">
        <v>50</v>
      </c>
      <c r="K102" s="259" t="s">
        <v>482</v>
      </c>
      <c r="L102" s="259" t="s">
        <v>51</v>
      </c>
      <c r="M102" s="259" t="s">
        <v>13</v>
      </c>
      <c r="N102" s="259" t="s">
        <v>10</v>
      </c>
      <c r="O102" s="259" t="s">
        <v>1372</v>
      </c>
      <c r="P102" s="259" t="s">
        <v>16</v>
      </c>
      <c r="Q102" s="259" t="s">
        <v>952</v>
      </c>
      <c r="R102" s="259" t="s">
        <v>51</v>
      </c>
      <c r="S102" s="263"/>
      <c r="T102" s="257" t="s">
        <v>484</v>
      </c>
      <c r="U102" s="259" t="s">
        <v>55</v>
      </c>
      <c r="V102" s="261" t="s">
        <v>2277</v>
      </c>
      <c r="W102" s="259" t="s">
        <v>2278</v>
      </c>
      <c r="X102" s="264" t="s">
        <v>517</v>
      </c>
      <c r="Y102" s="282" t="s">
        <v>2443</v>
      </c>
      <c r="Z102" s="257" t="s">
        <v>955</v>
      </c>
      <c r="AA102" s="257">
        <v>2</v>
      </c>
      <c r="AB102" s="261" t="s">
        <v>488</v>
      </c>
      <c r="AC102" s="261" t="s">
        <v>489</v>
      </c>
      <c r="AD102" s="261" t="s">
        <v>490</v>
      </c>
      <c r="AE102" s="261" t="s">
        <v>491</v>
      </c>
      <c r="AF102" s="261" t="s">
        <v>492</v>
      </c>
      <c r="AG102" s="261" t="s">
        <v>493</v>
      </c>
      <c r="AH102" s="261" t="s">
        <v>494</v>
      </c>
      <c r="AI102" s="261" t="s">
        <v>495</v>
      </c>
    </row>
    <row r="103" spans="1:35" ht="172.8" x14ac:dyDescent="0.3">
      <c r="A103" s="77">
        <v>60</v>
      </c>
      <c r="B103" s="77" t="str">
        <f t="shared" si="0"/>
        <v>Y</v>
      </c>
      <c r="C103" s="77" t="s">
        <v>45</v>
      </c>
      <c r="D103" s="77" t="s">
        <v>1716</v>
      </c>
      <c r="E103" s="84" t="s">
        <v>1717</v>
      </c>
      <c r="F103" s="80" t="s">
        <v>1095</v>
      </c>
      <c r="G103" s="96" t="s">
        <v>1718</v>
      </c>
      <c r="H103" s="77">
        <v>200</v>
      </c>
      <c r="I103" s="21"/>
      <c r="J103" s="259" t="s">
        <v>50</v>
      </c>
      <c r="K103" s="259" t="s">
        <v>482</v>
      </c>
      <c r="L103" s="259" t="s">
        <v>51</v>
      </c>
      <c r="M103" s="259" t="s">
        <v>13</v>
      </c>
      <c r="N103" s="259" t="s">
        <v>10</v>
      </c>
      <c r="O103" s="259" t="s">
        <v>1372</v>
      </c>
      <c r="P103" s="259" t="s">
        <v>16</v>
      </c>
      <c r="Q103" s="259" t="s">
        <v>952</v>
      </c>
      <c r="R103" s="259" t="s">
        <v>51</v>
      </c>
      <c r="S103" s="260"/>
      <c r="T103" s="259" t="s">
        <v>484</v>
      </c>
      <c r="U103" s="259" t="s">
        <v>55</v>
      </c>
      <c r="V103" s="271" t="s">
        <v>2444</v>
      </c>
      <c r="W103" s="283" t="s">
        <v>2278</v>
      </c>
      <c r="X103" s="277" t="s">
        <v>486</v>
      </c>
      <c r="Y103" s="285" t="s">
        <v>2279</v>
      </c>
      <c r="Z103" s="277" t="s">
        <v>955</v>
      </c>
      <c r="AA103" s="283">
        <v>1</v>
      </c>
      <c r="AB103" s="277" t="s">
        <v>488</v>
      </c>
      <c r="AC103" s="277" t="s">
        <v>489</v>
      </c>
      <c r="AD103" s="277" t="s">
        <v>490</v>
      </c>
      <c r="AE103" s="277" t="s">
        <v>491</v>
      </c>
      <c r="AF103" s="277" t="s">
        <v>492</v>
      </c>
      <c r="AG103" s="277" t="s">
        <v>493</v>
      </c>
      <c r="AH103" s="277" t="s">
        <v>494</v>
      </c>
      <c r="AI103" s="277" t="s">
        <v>495</v>
      </c>
    </row>
    <row r="104" spans="1:35" ht="172.8" x14ac:dyDescent="0.3">
      <c r="A104" s="77">
        <v>61</v>
      </c>
      <c r="B104" s="77" t="str">
        <f t="shared" si="0"/>
        <v>Y</v>
      </c>
      <c r="C104" s="77" t="s">
        <v>45</v>
      </c>
      <c r="D104" s="77" t="s">
        <v>1719</v>
      </c>
      <c r="E104" s="84" t="s">
        <v>1720</v>
      </c>
      <c r="F104" s="80" t="s">
        <v>1099</v>
      </c>
      <c r="G104" s="96" t="s">
        <v>1718</v>
      </c>
      <c r="H104" s="77">
        <v>200</v>
      </c>
      <c r="I104" s="21"/>
      <c r="J104" s="259" t="s">
        <v>50</v>
      </c>
      <c r="K104" s="259" t="s">
        <v>482</v>
      </c>
      <c r="L104" s="259" t="s">
        <v>51</v>
      </c>
      <c r="M104" s="259" t="s">
        <v>13</v>
      </c>
      <c r="N104" s="259" t="s">
        <v>10</v>
      </c>
      <c r="O104" s="259" t="s">
        <v>1372</v>
      </c>
      <c r="P104" s="259" t="s">
        <v>16</v>
      </c>
      <c r="Q104" s="259" t="s">
        <v>952</v>
      </c>
      <c r="R104" s="259" t="s">
        <v>51</v>
      </c>
      <c r="S104" s="263"/>
      <c r="T104" s="257" t="s">
        <v>484</v>
      </c>
      <c r="U104" s="259" t="s">
        <v>55</v>
      </c>
      <c r="V104" s="271" t="s">
        <v>2444</v>
      </c>
      <c r="W104" s="283" t="s">
        <v>2278</v>
      </c>
      <c r="X104" s="287" t="s">
        <v>517</v>
      </c>
      <c r="Y104" s="288" t="s">
        <v>2280</v>
      </c>
      <c r="Z104" s="286" t="s">
        <v>955</v>
      </c>
      <c r="AA104" s="286">
        <v>2</v>
      </c>
      <c r="AB104" s="277" t="s">
        <v>488</v>
      </c>
      <c r="AC104" s="277" t="s">
        <v>489</v>
      </c>
      <c r="AD104" s="277" t="s">
        <v>490</v>
      </c>
      <c r="AE104" s="277" t="s">
        <v>491</v>
      </c>
      <c r="AF104" s="277" t="s">
        <v>492</v>
      </c>
      <c r="AG104" s="277" t="s">
        <v>493</v>
      </c>
      <c r="AH104" s="277" t="s">
        <v>494</v>
      </c>
      <c r="AI104" s="277" t="s">
        <v>495</v>
      </c>
    </row>
    <row r="105" spans="1:35" ht="201.6" x14ac:dyDescent="0.3">
      <c r="A105" s="77">
        <v>62</v>
      </c>
      <c r="B105" s="77" t="str">
        <f t="shared" si="0"/>
        <v>Y</v>
      </c>
      <c r="C105" s="77" t="s">
        <v>45</v>
      </c>
      <c r="D105" s="77" t="s">
        <v>1721</v>
      </c>
      <c r="E105" s="84" t="s">
        <v>1722</v>
      </c>
      <c r="F105" s="80" t="s">
        <v>1102</v>
      </c>
      <c r="G105" s="96" t="s">
        <v>1664</v>
      </c>
      <c r="H105" s="77">
        <v>200</v>
      </c>
      <c r="I105" s="21"/>
      <c r="J105" s="259" t="s">
        <v>50</v>
      </c>
      <c r="K105" s="259" t="s">
        <v>482</v>
      </c>
      <c r="L105" s="259" t="s">
        <v>51</v>
      </c>
      <c r="M105" s="259" t="s">
        <v>13</v>
      </c>
      <c r="N105" s="259" t="s">
        <v>10</v>
      </c>
      <c r="O105" s="259" t="s">
        <v>1372</v>
      </c>
      <c r="P105" s="259" t="s">
        <v>16</v>
      </c>
      <c r="Q105" s="259" t="s">
        <v>952</v>
      </c>
      <c r="R105" s="259" t="s">
        <v>51</v>
      </c>
      <c r="S105" s="263"/>
      <c r="T105" s="257" t="s">
        <v>520</v>
      </c>
      <c r="U105" s="259" t="s">
        <v>55</v>
      </c>
      <c r="V105" s="271" t="s">
        <v>2444</v>
      </c>
      <c r="W105" s="283" t="s">
        <v>2278</v>
      </c>
      <c r="X105" s="289" t="s">
        <v>2281</v>
      </c>
      <c r="Y105" s="290" t="s">
        <v>2282</v>
      </c>
      <c r="Z105" s="286" t="s">
        <v>2283</v>
      </c>
      <c r="AA105" s="286">
        <v>3</v>
      </c>
      <c r="AB105" s="277" t="s">
        <v>488</v>
      </c>
      <c r="AC105" s="277" t="s">
        <v>489</v>
      </c>
      <c r="AD105" s="277" t="s">
        <v>490</v>
      </c>
      <c r="AE105" s="277" t="s">
        <v>491</v>
      </c>
      <c r="AF105" s="277" t="s">
        <v>492</v>
      </c>
      <c r="AG105" s="277" t="s">
        <v>493</v>
      </c>
      <c r="AH105" s="277" t="s">
        <v>494</v>
      </c>
      <c r="AI105" s="277" t="s">
        <v>495</v>
      </c>
    </row>
    <row r="106" spans="1:35" ht="201.6" x14ac:dyDescent="0.3">
      <c r="A106" s="77">
        <v>63</v>
      </c>
      <c r="B106" s="77" t="str">
        <f t="shared" si="0"/>
        <v>Y</v>
      </c>
      <c r="C106" s="77" t="s">
        <v>45</v>
      </c>
      <c r="D106" s="77" t="s">
        <v>1723</v>
      </c>
      <c r="E106" s="84" t="s">
        <v>1724</v>
      </c>
      <c r="F106" s="80" t="s">
        <v>1105</v>
      </c>
      <c r="G106" s="96" t="s">
        <v>1664</v>
      </c>
      <c r="H106" s="77">
        <v>200</v>
      </c>
      <c r="I106" s="21"/>
      <c r="J106" s="259" t="s">
        <v>50</v>
      </c>
      <c r="K106" s="259" t="s">
        <v>482</v>
      </c>
      <c r="L106" s="259" t="s">
        <v>51</v>
      </c>
      <c r="M106" s="259" t="s">
        <v>13</v>
      </c>
      <c r="N106" s="259" t="s">
        <v>10</v>
      </c>
      <c r="O106" s="259" t="s">
        <v>1372</v>
      </c>
      <c r="P106" s="259" t="s">
        <v>16</v>
      </c>
      <c r="Q106" s="259" t="s">
        <v>952</v>
      </c>
      <c r="R106" s="259" t="s">
        <v>51</v>
      </c>
      <c r="S106" s="263"/>
      <c r="T106" s="257" t="s">
        <v>171</v>
      </c>
      <c r="U106" s="259" t="s">
        <v>55</v>
      </c>
      <c r="V106" s="271" t="s">
        <v>2444</v>
      </c>
      <c r="W106" s="283" t="s">
        <v>2278</v>
      </c>
      <c r="X106" s="287" t="s">
        <v>964</v>
      </c>
      <c r="Y106" s="288" t="s">
        <v>1159</v>
      </c>
      <c r="Z106" s="286" t="s">
        <v>2284</v>
      </c>
      <c r="AA106" s="286">
        <v>4</v>
      </c>
      <c r="AB106" s="277" t="s">
        <v>488</v>
      </c>
      <c r="AC106" s="277" t="s">
        <v>489</v>
      </c>
      <c r="AD106" s="277" t="s">
        <v>490</v>
      </c>
      <c r="AE106" s="277" t="s">
        <v>491</v>
      </c>
      <c r="AF106" s="277" t="s">
        <v>492</v>
      </c>
      <c r="AG106" s="277" t="s">
        <v>493</v>
      </c>
      <c r="AH106" s="277" t="s">
        <v>494</v>
      </c>
      <c r="AI106" s="277" t="s">
        <v>495</v>
      </c>
    </row>
    <row r="107" spans="1:35" ht="172.8" x14ac:dyDescent="0.3">
      <c r="A107" s="77">
        <v>64</v>
      </c>
      <c r="B107" s="77" t="str">
        <f t="shared" si="0"/>
        <v>Y</v>
      </c>
      <c r="C107" s="77" t="s">
        <v>45</v>
      </c>
      <c r="D107" s="77" t="s">
        <v>1725</v>
      </c>
      <c r="E107" s="84" t="s">
        <v>1726</v>
      </c>
      <c r="F107" s="80" t="s">
        <v>1108</v>
      </c>
      <c r="G107" s="96" t="s">
        <v>1718</v>
      </c>
      <c r="H107" s="77">
        <v>200</v>
      </c>
      <c r="I107" s="21"/>
      <c r="J107" s="259" t="s">
        <v>50</v>
      </c>
      <c r="K107" s="259" t="s">
        <v>482</v>
      </c>
      <c r="L107" s="259" t="s">
        <v>51</v>
      </c>
      <c r="M107" s="259" t="s">
        <v>13</v>
      </c>
      <c r="N107" s="259" t="s">
        <v>10</v>
      </c>
      <c r="O107" s="259" t="s">
        <v>1372</v>
      </c>
      <c r="P107" s="259" t="s">
        <v>16</v>
      </c>
      <c r="Q107" s="259" t="s">
        <v>952</v>
      </c>
      <c r="R107" s="259" t="s">
        <v>51</v>
      </c>
      <c r="S107" s="260"/>
      <c r="T107" s="259" t="s">
        <v>484</v>
      </c>
      <c r="U107" s="259" t="s">
        <v>55</v>
      </c>
      <c r="V107" s="271" t="s">
        <v>2445</v>
      </c>
      <c r="W107" s="283" t="s">
        <v>2278</v>
      </c>
      <c r="X107" s="277" t="s">
        <v>486</v>
      </c>
      <c r="Y107" s="285" t="s">
        <v>2279</v>
      </c>
      <c r="Z107" s="277" t="s">
        <v>955</v>
      </c>
      <c r="AA107" s="283">
        <v>1</v>
      </c>
      <c r="AB107" s="277" t="s">
        <v>488</v>
      </c>
      <c r="AC107" s="277" t="s">
        <v>489</v>
      </c>
      <c r="AD107" s="277" t="s">
        <v>490</v>
      </c>
      <c r="AE107" s="277" t="s">
        <v>491</v>
      </c>
      <c r="AF107" s="277" t="s">
        <v>492</v>
      </c>
      <c r="AG107" s="277" t="s">
        <v>493</v>
      </c>
      <c r="AH107" s="277" t="s">
        <v>494</v>
      </c>
      <c r="AI107" s="277" t="s">
        <v>495</v>
      </c>
    </row>
    <row r="108" spans="1:35" ht="172.8" x14ac:dyDescent="0.3">
      <c r="A108" s="77">
        <v>65</v>
      </c>
      <c r="B108" s="77" t="str">
        <f t="shared" si="0"/>
        <v>Y</v>
      </c>
      <c r="C108" s="77" t="s">
        <v>45</v>
      </c>
      <c r="D108" s="77" t="s">
        <v>1727</v>
      </c>
      <c r="E108" s="84" t="s">
        <v>1728</v>
      </c>
      <c r="F108" s="80" t="s">
        <v>1111</v>
      </c>
      <c r="G108" s="96" t="s">
        <v>1718</v>
      </c>
      <c r="H108" s="77">
        <v>200</v>
      </c>
      <c r="I108" s="21"/>
      <c r="J108" s="259" t="s">
        <v>50</v>
      </c>
      <c r="K108" s="259" t="s">
        <v>482</v>
      </c>
      <c r="L108" s="259" t="s">
        <v>51</v>
      </c>
      <c r="M108" s="259" t="s">
        <v>13</v>
      </c>
      <c r="N108" s="259" t="s">
        <v>10</v>
      </c>
      <c r="O108" s="259" t="s">
        <v>1372</v>
      </c>
      <c r="P108" s="259" t="s">
        <v>16</v>
      </c>
      <c r="Q108" s="259" t="s">
        <v>952</v>
      </c>
      <c r="R108" s="259" t="s">
        <v>51</v>
      </c>
      <c r="S108" s="263"/>
      <c r="T108" s="257" t="s">
        <v>484</v>
      </c>
      <c r="U108" s="259" t="s">
        <v>55</v>
      </c>
      <c r="V108" s="271" t="s">
        <v>2445</v>
      </c>
      <c r="W108" s="283" t="s">
        <v>2278</v>
      </c>
      <c r="X108" s="287" t="s">
        <v>517</v>
      </c>
      <c r="Y108" s="288" t="s">
        <v>2280</v>
      </c>
      <c r="Z108" s="286" t="s">
        <v>955</v>
      </c>
      <c r="AA108" s="286">
        <v>2</v>
      </c>
      <c r="AB108" s="277" t="s">
        <v>488</v>
      </c>
      <c r="AC108" s="277" t="s">
        <v>489</v>
      </c>
      <c r="AD108" s="277" t="s">
        <v>490</v>
      </c>
      <c r="AE108" s="277" t="s">
        <v>491</v>
      </c>
      <c r="AF108" s="277" t="s">
        <v>492</v>
      </c>
      <c r="AG108" s="277" t="s">
        <v>493</v>
      </c>
      <c r="AH108" s="277" t="s">
        <v>494</v>
      </c>
      <c r="AI108" s="277" t="s">
        <v>495</v>
      </c>
    </row>
    <row r="109" spans="1:35" ht="201.6" x14ac:dyDescent="0.3">
      <c r="A109" s="77">
        <v>66</v>
      </c>
      <c r="B109" s="77" t="str">
        <f t="shared" ref="B109:B178" si="20">C109</f>
        <v>Y</v>
      </c>
      <c r="C109" s="77" t="s">
        <v>45</v>
      </c>
      <c r="D109" s="77" t="s">
        <v>1729</v>
      </c>
      <c r="E109" s="84" t="s">
        <v>1730</v>
      </c>
      <c r="F109" s="80" t="s">
        <v>1114</v>
      </c>
      <c r="G109" s="96" t="s">
        <v>1664</v>
      </c>
      <c r="H109" s="77">
        <v>200</v>
      </c>
      <c r="I109" s="21"/>
      <c r="J109" s="259" t="s">
        <v>50</v>
      </c>
      <c r="K109" s="259" t="s">
        <v>482</v>
      </c>
      <c r="L109" s="259" t="s">
        <v>51</v>
      </c>
      <c r="M109" s="259" t="s">
        <v>13</v>
      </c>
      <c r="N109" s="259" t="s">
        <v>10</v>
      </c>
      <c r="O109" s="259" t="s">
        <v>1372</v>
      </c>
      <c r="P109" s="259" t="s">
        <v>16</v>
      </c>
      <c r="Q109" s="259" t="s">
        <v>952</v>
      </c>
      <c r="R109" s="259" t="s">
        <v>51</v>
      </c>
      <c r="S109" s="263"/>
      <c r="T109" s="257" t="s">
        <v>520</v>
      </c>
      <c r="U109" s="259" t="s">
        <v>55</v>
      </c>
      <c r="V109" s="271" t="s">
        <v>2445</v>
      </c>
      <c r="W109" s="283" t="s">
        <v>2278</v>
      </c>
      <c r="X109" s="289" t="s">
        <v>2281</v>
      </c>
      <c r="Y109" s="290" t="s">
        <v>2282</v>
      </c>
      <c r="Z109" s="286" t="s">
        <v>2283</v>
      </c>
      <c r="AA109" s="286">
        <v>3</v>
      </c>
      <c r="AB109" s="277" t="s">
        <v>488</v>
      </c>
      <c r="AC109" s="277" t="s">
        <v>489</v>
      </c>
      <c r="AD109" s="277" t="s">
        <v>490</v>
      </c>
      <c r="AE109" s="277" t="s">
        <v>491</v>
      </c>
      <c r="AF109" s="277" t="s">
        <v>492</v>
      </c>
      <c r="AG109" s="277" t="s">
        <v>493</v>
      </c>
      <c r="AH109" s="277" t="s">
        <v>494</v>
      </c>
      <c r="AI109" s="277" t="s">
        <v>495</v>
      </c>
    </row>
    <row r="110" spans="1:35" ht="216" x14ac:dyDescent="0.3">
      <c r="A110" s="77">
        <v>67</v>
      </c>
      <c r="B110" s="77" t="str">
        <f t="shared" si="20"/>
        <v>Y</v>
      </c>
      <c r="C110" s="77" t="s">
        <v>45</v>
      </c>
      <c r="D110" s="77" t="s">
        <v>1731</v>
      </c>
      <c r="E110" s="84" t="s">
        <v>1732</v>
      </c>
      <c r="F110" s="80" t="s">
        <v>1117</v>
      </c>
      <c r="G110" s="96" t="s">
        <v>1733</v>
      </c>
      <c r="H110" s="77">
        <v>200</v>
      </c>
      <c r="I110" s="21"/>
      <c r="J110" s="259" t="s">
        <v>50</v>
      </c>
      <c r="K110" s="259" t="s">
        <v>482</v>
      </c>
      <c r="L110" s="259" t="s">
        <v>51</v>
      </c>
      <c r="M110" s="259" t="s">
        <v>13</v>
      </c>
      <c r="N110" s="259" t="s">
        <v>10</v>
      </c>
      <c r="O110" s="259" t="s">
        <v>1372</v>
      </c>
      <c r="P110" s="259" t="s">
        <v>16</v>
      </c>
      <c r="Q110" s="259" t="s">
        <v>952</v>
      </c>
      <c r="R110" s="259" t="s">
        <v>51</v>
      </c>
      <c r="S110" s="263"/>
      <c r="T110" s="257" t="s">
        <v>171</v>
      </c>
      <c r="U110" s="259" t="s">
        <v>55</v>
      </c>
      <c r="V110" s="271" t="s">
        <v>2445</v>
      </c>
      <c r="W110" s="283" t="s">
        <v>2278</v>
      </c>
      <c r="X110" s="287" t="s">
        <v>964</v>
      </c>
      <c r="Y110" s="288" t="s">
        <v>1159</v>
      </c>
      <c r="Z110" s="286" t="s">
        <v>2284</v>
      </c>
      <c r="AA110" s="286">
        <v>4</v>
      </c>
      <c r="AB110" s="277" t="s">
        <v>488</v>
      </c>
      <c r="AC110" s="277" t="s">
        <v>489</v>
      </c>
      <c r="AD110" s="277" t="s">
        <v>490</v>
      </c>
      <c r="AE110" s="277" t="s">
        <v>491</v>
      </c>
      <c r="AF110" s="277" t="s">
        <v>492</v>
      </c>
      <c r="AG110" s="277" t="s">
        <v>493</v>
      </c>
      <c r="AH110" s="277" t="s">
        <v>494</v>
      </c>
      <c r="AI110" s="277" t="s">
        <v>495</v>
      </c>
    </row>
    <row r="111" spans="1:35" ht="201.6" x14ac:dyDescent="0.3">
      <c r="A111" s="77">
        <v>68</v>
      </c>
      <c r="B111" s="77" t="str">
        <f t="shared" si="20"/>
        <v>Y</v>
      </c>
      <c r="C111" s="77" t="s">
        <v>45</v>
      </c>
      <c r="D111" s="77" t="s">
        <v>1734</v>
      </c>
      <c r="E111" s="84" t="s">
        <v>1735</v>
      </c>
      <c r="F111" s="80" t="s">
        <v>1120</v>
      </c>
      <c r="G111" s="96" t="s">
        <v>1664</v>
      </c>
      <c r="H111" s="77">
        <v>200</v>
      </c>
      <c r="I111" s="21"/>
      <c r="J111" s="259" t="s">
        <v>50</v>
      </c>
      <c r="K111" s="259" t="s">
        <v>482</v>
      </c>
      <c r="L111" s="259" t="s">
        <v>51</v>
      </c>
      <c r="M111" s="259" t="s">
        <v>13</v>
      </c>
      <c r="N111" s="259" t="s">
        <v>10</v>
      </c>
      <c r="O111" s="259" t="s">
        <v>1372</v>
      </c>
      <c r="P111" s="259" t="s">
        <v>16</v>
      </c>
      <c r="Q111" s="259" t="s">
        <v>952</v>
      </c>
      <c r="R111" s="259" t="s">
        <v>51</v>
      </c>
      <c r="S111" s="260"/>
      <c r="T111" s="259" t="s">
        <v>484</v>
      </c>
      <c r="U111" s="259" t="s">
        <v>55</v>
      </c>
      <c r="V111" s="271" t="s">
        <v>2446</v>
      </c>
      <c r="W111" s="283" t="s">
        <v>2278</v>
      </c>
      <c r="X111" s="277" t="s">
        <v>486</v>
      </c>
      <c r="Y111" s="285" t="s">
        <v>2279</v>
      </c>
      <c r="Z111" s="277" t="s">
        <v>955</v>
      </c>
      <c r="AA111" s="283">
        <v>1</v>
      </c>
      <c r="AB111" s="277" t="s">
        <v>488</v>
      </c>
      <c r="AC111" s="277" t="s">
        <v>489</v>
      </c>
      <c r="AD111" s="277" t="s">
        <v>490</v>
      </c>
      <c r="AE111" s="277" t="s">
        <v>491</v>
      </c>
      <c r="AF111" s="277" t="s">
        <v>492</v>
      </c>
      <c r="AG111" s="277" t="s">
        <v>493</v>
      </c>
      <c r="AH111" s="277" t="s">
        <v>494</v>
      </c>
      <c r="AI111" s="277" t="s">
        <v>495</v>
      </c>
    </row>
    <row r="112" spans="1:35" ht="201.6" x14ac:dyDescent="0.3">
      <c r="A112" s="77">
        <v>69</v>
      </c>
      <c r="B112" s="77" t="str">
        <f t="shared" si="20"/>
        <v>Y</v>
      </c>
      <c r="C112" s="77" t="s">
        <v>45</v>
      </c>
      <c r="D112" s="77" t="s">
        <v>1736</v>
      </c>
      <c r="E112" s="84" t="s">
        <v>1737</v>
      </c>
      <c r="F112" s="80" t="s">
        <v>1123</v>
      </c>
      <c r="G112" s="96" t="s">
        <v>1664</v>
      </c>
      <c r="H112" s="77">
        <v>200</v>
      </c>
      <c r="I112" s="21"/>
      <c r="J112" s="259" t="s">
        <v>50</v>
      </c>
      <c r="K112" s="259" t="s">
        <v>482</v>
      </c>
      <c r="L112" s="259" t="s">
        <v>51</v>
      </c>
      <c r="M112" s="259" t="s">
        <v>13</v>
      </c>
      <c r="N112" s="259" t="s">
        <v>10</v>
      </c>
      <c r="O112" s="259" t="s">
        <v>1372</v>
      </c>
      <c r="P112" s="259" t="s">
        <v>16</v>
      </c>
      <c r="Q112" s="259" t="s">
        <v>952</v>
      </c>
      <c r="R112" s="259" t="s">
        <v>51</v>
      </c>
      <c r="S112" s="263"/>
      <c r="T112" s="257" t="s">
        <v>484</v>
      </c>
      <c r="U112" s="259" t="s">
        <v>55</v>
      </c>
      <c r="V112" s="271" t="s">
        <v>2446</v>
      </c>
      <c r="W112" s="283" t="s">
        <v>2278</v>
      </c>
      <c r="X112" s="287" t="s">
        <v>517</v>
      </c>
      <c r="Y112" s="288" t="s">
        <v>2280</v>
      </c>
      <c r="Z112" s="286" t="s">
        <v>955</v>
      </c>
      <c r="AA112" s="286">
        <v>2</v>
      </c>
      <c r="AB112" s="277" t="s">
        <v>488</v>
      </c>
      <c r="AC112" s="277" t="s">
        <v>489</v>
      </c>
      <c r="AD112" s="277" t="s">
        <v>490</v>
      </c>
      <c r="AE112" s="277" t="s">
        <v>491</v>
      </c>
      <c r="AF112" s="277" t="s">
        <v>492</v>
      </c>
      <c r="AG112" s="277" t="s">
        <v>493</v>
      </c>
      <c r="AH112" s="277" t="s">
        <v>494</v>
      </c>
      <c r="AI112" s="277" t="s">
        <v>495</v>
      </c>
    </row>
    <row r="113" spans="1:35" ht="201.6" x14ac:dyDescent="0.3">
      <c r="A113" s="77">
        <v>70</v>
      </c>
      <c r="B113" s="77" t="str">
        <f t="shared" si="20"/>
        <v>Y</v>
      </c>
      <c r="C113" s="77" t="s">
        <v>45</v>
      </c>
      <c r="D113" s="77" t="s">
        <v>1738</v>
      </c>
      <c r="E113" s="84" t="s">
        <v>1739</v>
      </c>
      <c r="F113" s="80" t="s">
        <v>1126</v>
      </c>
      <c r="G113" s="96" t="s">
        <v>1664</v>
      </c>
      <c r="H113" s="77">
        <v>200</v>
      </c>
      <c r="I113" s="21"/>
      <c r="J113" s="259" t="s">
        <v>50</v>
      </c>
      <c r="K113" s="259" t="s">
        <v>482</v>
      </c>
      <c r="L113" s="259" t="s">
        <v>51</v>
      </c>
      <c r="M113" s="259" t="s">
        <v>13</v>
      </c>
      <c r="N113" s="259" t="s">
        <v>10</v>
      </c>
      <c r="O113" s="259" t="s">
        <v>1372</v>
      </c>
      <c r="P113" s="259" t="s">
        <v>16</v>
      </c>
      <c r="Q113" s="259" t="s">
        <v>952</v>
      </c>
      <c r="R113" s="259" t="s">
        <v>51</v>
      </c>
      <c r="S113" s="263"/>
      <c r="T113" s="257" t="s">
        <v>520</v>
      </c>
      <c r="U113" s="259" t="s">
        <v>55</v>
      </c>
      <c r="V113" s="271" t="s">
        <v>2446</v>
      </c>
      <c r="W113" s="283" t="s">
        <v>2278</v>
      </c>
      <c r="X113" s="289" t="s">
        <v>2281</v>
      </c>
      <c r="Y113" s="290" t="s">
        <v>2282</v>
      </c>
      <c r="Z113" s="286" t="s">
        <v>2283</v>
      </c>
      <c r="AA113" s="286">
        <v>3</v>
      </c>
      <c r="AB113" s="277" t="s">
        <v>488</v>
      </c>
      <c r="AC113" s="277" t="s">
        <v>489</v>
      </c>
      <c r="AD113" s="277" t="s">
        <v>490</v>
      </c>
      <c r="AE113" s="277" t="s">
        <v>491</v>
      </c>
      <c r="AF113" s="277" t="s">
        <v>492</v>
      </c>
      <c r="AG113" s="277" t="s">
        <v>493</v>
      </c>
      <c r="AH113" s="277" t="s">
        <v>494</v>
      </c>
      <c r="AI113" s="277" t="s">
        <v>495</v>
      </c>
    </row>
    <row r="114" spans="1:35" ht="201.6" x14ac:dyDescent="0.3">
      <c r="A114" s="77">
        <v>71</v>
      </c>
      <c r="B114" s="77" t="str">
        <f t="shared" si="20"/>
        <v>Y</v>
      </c>
      <c r="C114" s="77" t="s">
        <v>45</v>
      </c>
      <c r="D114" s="77" t="s">
        <v>1740</v>
      </c>
      <c r="E114" s="84" t="s">
        <v>1741</v>
      </c>
      <c r="F114" s="80" t="s">
        <v>1129</v>
      </c>
      <c r="G114" s="96" t="s">
        <v>1664</v>
      </c>
      <c r="H114" s="77">
        <v>200</v>
      </c>
      <c r="I114" s="21"/>
      <c r="J114" s="259" t="s">
        <v>50</v>
      </c>
      <c r="K114" s="259" t="s">
        <v>482</v>
      </c>
      <c r="L114" s="259" t="s">
        <v>51</v>
      </c>
      <c r="M114" s="259" t="s">
        <v>13</v>
      </c>
      <c r="N114" s="259" t="s">
        <v>10</v>
      </c>
      <c r="O114" s="259" t="s">
        <v>1372</v>
      </c>
      <c r="P114" s="259" t="s">
        <v>16</v>
      </c>
      <c r="Q114" s="259" t="s">
        <v>952</v>
      </c>
      <c r="R114" s="259" t="s">
        <v>51</v>
      </c>
      <c r="S114" s="263"/>
      <c r="T114" s="257" t="s">
        <v>171</v>
      </c>
      <c r="U114" s="259" t="s">
        <v>55</v>
      </c>
      <c r="V114" s="271" t="s">
        <v>2446</v>
      </c>
      <c r="W114" s="283" t="s">
        <v>2278</v>
      </c>
      <c r="X114" s="287" t="s">
        <v>964</v>
      </c>
      <c r="Y114" s="288" t="s">
        <v>1159</v>
      </c>
      <c r="Z114" s="286" t="s">
        <v>2284</v>
      </c>
      <c r="AA114" s="286">
        <v>4</v>
      </c>
      <c r="AB114" s="277" t="s">
        <v>488</v>
      </c>
      <c r="AC114" s="277" t="s">
        <v>489</v>
      </c>
      <c r="AD114" s="277" t="s">
        <v>490</v>
      </c>
      <c r="AE114" s="277" t="s">
        <v>491</v>
      </c>
      <c r="AF114" s="277" t="s">
        <v>492</v>
      </c>
      <c r="AG114" s="277" t="s">
        <v>493</v>
      </c>
      <c r="AH114" s="277" t="s">
        <v>494</v>
      </c>
      <c r="AI114" s="277" t="s">
        <v>495</v>
      </c>
    </row>
    <row r="115" spans="1:35" ht="201.6" x14ac:dyDescent="0.3">
      <c r="A115" s="77">
        <v>72</v>
      </c>
      <c r="B115" s="77" t="str">
        <f t="shared" ref="B115:B120" si="21">C115</f>
        <v>Y</v>
      </c>
      <c r="C115" s="77" t="s">
        <v>45</v>
      </c>
      <c r="D115" s="77" t="s">
        <v>2448</v>
      </c>
      <c r="E115" s="84" t="s">
        <v>2447</v>
      </c>
      <c r="F115" s="80" t="s">
        <v>1130</v>
      </c>
      <c r="G115" s="96" t="s">
        <v>1664</v>
      </c>
      <c r="H115" s="77">
        <v>200</v>
      </c>
      <c r="I115" s="15"/>
      <c r="J115" s="259" t="s">
        <v>50</v>
      </c>
      <c r="K115" s="259" t="s">
        <v>482</v>
      </c>
      <c r="L115" s="259" t="s">
        <v>51</v>
      </c>
      <c r="M115" s="259" t="s">
        <v>13</v>
      </c>
      <c r="N115" s="259" t="s">
        <v>10</v>
      </c>
      <c r="O115" s="259" t="s">
        <v>1372</v>
      </c>
      <c r="P115" s="259" t="s">
        <v>16</v>
      </c>
      <c r="Q115" s="259" t="s">
        <v>952</v>
      </c>
      <c r="R115" s="259" t="s">
        <v>51</v>
      </c>
      <c r="S115" s="260"/>
      <c r="T115" s="259" t="s">
        <v>484</v>
      </c>
      <c r="U115" s="259" t="s">
        <v>55</v>
      </c>
      <c r="V115" s="261" t="s">
        <v>2277</v>
      </c>
      <c r="W115" s="283" t="s">
        <v>2278</v>
      </c>
      <c r="X115" s="277" t="s">
        <v>486</v>
      </c>
      <c r="Y115" s="279" t="s">
        <v>2444</v>
      </c>
      <c r="Z115" s="277" t="s">
        <v>955</v>
      </c>
      <c r="AA115" s="283">
        <v>1</v>
      </c>
      <c r="AB115" s="277" t="s">
        <v>488</v>
      </c>
      <c r="AC115" s="277" t="s">
        <v>489</v>
      </c>
      <c r="AD115" s="277" t="s">
        <v>490</v>
      </c>
      <c r="AE115" s="277" t="s">
        <v>491</v>
      </c>
      <c r="AF115" s="277" t="s">
        <v>492</v>
      </c>
      <c r="AG115" s="277" t="s">
        <v>493</v>
      </c>
      <c r="AH115" s="277" t="s">
        <v>494</v>
      </c>
      <c r="AI115" s="277" t="s">
        <v>495</v>
      </c>
    </row>
    <row r="116" spans="1:35" ht="201.6" x14ac:dyDescent="0.3">
      <c r="A116" s="77"/>
      <c r="B116" s="77" t="str">
        <f t="shared" si="21"/>
        <v>Y</v>
      </c>
      <c r="C116" s="77" t="s">
        <v>45</v>
      </c>
      <c r="D116" s="77" t="s">
        <v>2449</v>
      </c>
      <c r="E116" s="84" t="s">
        <v>2450</v>
      </c>
      <c r="F116" s="80" t="s">
        <v>1130</v>
      </c>
      <c r="G116" s="96" t="s">
        <v>1664</v>
      </c>
      <c r="H116" s="77">
        <v>200</v>
      </c>
      <c r="I116" s="15"/>
      <c r="J116" s="259" t="s">
        <v>50</v>
      </c>
      <c r="K116" s="259" t="s">
        <v>482</v>
      </c>
      <c r="L116" s="259" t="s">
        <v>51</v>
      </c>
      <c r="M116" s="259" t="s">
        <v>13</v>
      </c>
      <c r="N116" s="259" t="s">
        <v>10</v>
      </c>
      <c r="O116" s="259" t="s">
        <v>1372</v>
      </c>
      <c r="P116" s="259" t="s">
        <v>16</v>
      </c>
      <c r="Q116" s="259" t="s">
        <v>952</v>
      </c>
      <c r="R116" s="259" t="s">
        <v>51</v>
      </c>
      <c r="S116" s="263"/>
      <c r="T116" s="257" t="s">
        <v>484</v>
      </c>
      <c r="U116" s="259" t="s">
        <v>55</v>
      </c>
      <c r="V116" s="261" t="s">
        <v>2277</v>
      </c>
      <c r="W116" s="283" t="s">
        <v>2278</v>
      </c>
      <c r="X116" s="287" t="s">
        <v>517</v>
      </c>
      <c r="Y116" s="280" t="s">
        <v>2459</v>
      </c>
      <c r="Z116" s="286" t="s">
        <v>955</v>
      </c>
      <c r="AA116" s="286">
        <v>2</v>
      </c>
      <c r="AB116" s="277" t="s">
        <v>488</v>
      </c>
      <c r="AC116" s="277" t="s">
        <v>489</v>
      </c>
      <c r="AD116" s="277" t="s">
        <v>490</v>
      </c>
      <c r="AE116" s="277" t="s">
        <v>491</v>
      </c>
      <c r="AF116" s="277" t="s">
        <v>492</v>
      </c>
      <c r="AG116" s="277" t="s">
        <v>493</v>
      </c>
      <c r="AH116" s="277" t="s">
        <v>494</v>
      </c>
      <c r="AI116" s="277" t="s">
        <v>495</v>
      </c>
    </row>
    <row r="117" spans="1:35" ht="201.6" x14ac:dyDescent="0.3">
      <c r="A117" s="77">
        <v>73</v>
      </c>
      <c r="B117" s="77" t="str">
        <f t="shared" si="21"/>
        <v>Y</v>
      </c>
      <c r="C117" s="77" t="s">
        <v>45</v>
      </c>
      <c r="D117" s="77" t="s">
        <v>2451</v>
      </c>
      <c r="E117" s="84" t="s">
        <v>2454</v>
      </c>
      <c r="F117" s="80" t="s">
        <v>1131</v>
      </c>
      <c r="G117" s="96" t="s">
        <v>1664</v>
      </c>
      <c r="H117" s="77">
        <v>200</v>
      </c>
      <c r="I117" s="21"/>
      <c r="J117" s="259" t="s">
        <v>50</v>
      </c>
      <c r="K117" s="259" t="s">
        <v>482</v>
      </c>
      <c r="L117" s="259" t="s">
        <v>51</v>
      </c>
      <c r="M117" s="259" t="s">
        <v>13</v>
      </c>
      <c r="N117" s="259" t="s">
        <v>10</v>
      </c>
      <c r="O117" s="259" t="s">
        <v>1372</v>
      </c>
      <c r="P117" s="259" t="s">
        <v>16</v>
      </c>
      <c r="Q117" s="259" t="s">
        <v>952</v>
      </c>
      <c r="R117" s="259" t="s">
        <v>51</v>
      </c>
      <c r="S117" s="260"/>
      <c r="T117" s="259" t="s">
        <v>484</v>
      </c>
      <c r="U117" s="259" t="s">
        <v>55</v>
      </c>
      <c r="V117" s="261" t="s">
        <v>2277</v>
      </c>
      <c r="W117" s="283" t="s">
        <v>2278</v>
      </c>
      <c r="X117" s="277" t="s">
        <v>486</v>
      </c>
      <c r="Y117" s="279" t="s">
        <v>2445</v>
      </c>
      <c r="Z117" s="277" t="s">
        <v>955</v>
      </c>
      <c r="AA117" s="283">
        <v>1</v>
      </c>
      <c r="AB117" s="277" t="s">
        <v>488</v>
      </c>
      <c r="AC117" s="277" t="s">
        <v>489</v>
      </c>
      <c r="AD117" s="277" t="s">
        <v>490</v>
      </c>
      <c r="AE117" s="277" t="s">
        <v>491</v>
      </c>
      <c r="AF117" s="277" t="s">
        <v>492</v>
      </c>
      <c r="AG117" s="277" t="s">
        <v>493</v>
      </c>
      <c r="AH117" s="277" t="s">
        <v>494</v>
      </c>
      <c r="AI117" s="277" t="s">
        <v>495</v>
      </c>
    </row>
    <row r="118" spans="1:35" ht="201.6" x14ac:dyDescent="0.3">
      <c r="A118" s="77"/>
      <c r="B118" s="77" t="str">
        <f t="shared" si="21"/>
        <v>Y</v>
      </c>
      <c r="C118" s="77" t="s">
        <v>45</v>
      </c>
      <c r="D118" s="77" t="s">
        <v>2452</v>
      </c>
      <c r="E118" s="84" t="s">
        <v>2453</v>
      </c>
      <c r="F118" s="80" t="s">
        <v>1131</v>
      </c>
      <c r="G118" s="96" t="s">
        <v>1664</v>
      </c>
      <c r="H118" s="77">
        <v>200</v>
      </c>
      <c r="I118" s="21"/>
      <c r="J118" s="259" t="s">
        <v>50</v>
      </c>
      <c r="K118" s="259" t="s">
        <v>482</v>
      </c>
      <c r="L118" s="259" t="s">
        <v>51</v>
      </c>
      <c r="M118" s="259" t="s">
        <v>13</v>
      </c>
      <c r="N118" s="259" t="s">
        <v>10</v>
      </c>
      <c r="O118" s="259" t="s">
        <v>1372</v>
      </c>
      <c r="P118" s="259" t="s">
        <v>16</v>
      </c>
      <c r="Q118" s="259" t="s">
        <v>952</v>
      </c>
      <c r="R118" s="259" t="s">
        <v>51</v>
      </c>
      <c r="S118" s="263"/>
      <c r="T118" s="257" t="s">
        <v>484</v>
      </c>
      <c r="U118" s="259" t="s">
        <v>55</v>
      </c>
      <c r="V118" s="261" t="s">
        <v>2277</v>
      </c>
      <c r="W118" s="283" t="s">
        <v>2278</v>
      </c>
      <c r="X118" s="287" t="s">
        <v>517</v>
      </c>
      <c r="Y118" s="280" t="s">
        <v>2460</v>
      </c>
      <c r="Z118" s="286" t="s">
        <v>955</v>
      </c>
      <c r="AA118" s="286">
        <v>2</v>
      </c>
      <c r="AB118" s="277" t="s">
        <v>488</v>
      </c>
      <c r="AC118" s="277" t="s">
        <v>489</v>
      </c>
      <c r="AD118" s="277" t="s">
        <v>490</v>
      </c>
      <c r="AE118" s="277" t="s">
        <v>491</v>
      </c>
      <c r="AF118" s="277" t="s">
        <v>492</v>
      </c>
      <c r="AG118" s="277" t="s">
        <v>493</v>
      </c>
      <c r="AH118" s="277" t="s">
        <v>494</v>
      </c>
      <c r="AI118" s="277" t="s">
        <v>495</v>
      </c>
    </row>
    <row r="119" spans="1:35" ht="201.6" x14ac:dyDescent="0.3">
      <c r="A119" s="77">
        <v>74</v>
      </c>
      <c r="B119" s="77" t="str">
        <f t="shared" si="21"/>
        <v>Y</v>
      </c>
      <c r="C119" s="77" t="s">
        <v>45</v>
      </c>
      <c r="D119" s="77" t="s">
        <v>2455</v>
      </c>
      <c r="E119" s="84" t="s">
        <v>2457</v>
      </c>
      <c r="F119" s="80" t="s">
        <v>1132</v>
      </c>
      <c r="G119" s="96" t="s">
        <v>1664</v>
      </c>
      <c r="H119" s="77">
        <v>200</v>
      </c>
      <c r="I119" s="21"/>
      <c r="J119" s="259" t="s">
        <v>50</v>
      </c>
      <c r="K119" s="259" t="s">
        <v>482</v>
      </c>
      <c r="L119" s="259" t="s">
        <v>51</v>
      </c>
      <c r="M119" s="259" t="s">
        <v>13</v>
      </c>
      <c r="N119" s="259" t="s">
        <v>10</v>
      </c>
      <c r="O119" s="259" t="s">
        <v>1372</v>
      </c>
      <c r="P119" s="259" t="s">
        <v>16</v>
      </c>
      <c r="Q119" s="259" t="s">
        <v>952</v>
      </c>
      <c r="R119" s="259" t="s">
        <v>51</v>
      </c>
      <c r="S119" s="260"/>
      <c r="T119" s="259" t="s">
        <v>484</v>
      </c>
      <c r="U119" s="259" t="s">
        <v>55</v>
      </c>
      <c r="V119" s="261" t="s">
        <v>2277</v>
      </c>
      <c r="W119" s="283" t="s">
        <v>2278</v>
      </c>
      <c r="X119" s="277" t="s">
        <v>486</v>
      </c>
      <c r="Y119" s="279" t="s">
        <v>2446</v>
      </c>
      <c r="Z119" s="277" t="s">
        <v>955</v>
      </c>
      <c r="AA119" s="283">
        <v>1</v>
      </c>
      <c r="AB119" s="277" t="s">
        <v>488</v>
      </c>
      <c r="AC119" s="277" t="s">
        <v>489</v>
      </c>
      <c r="AD119" s="277" t="s">
        <v>490</v>
      </c>
      <c r="AE119" s="277" t="s">
        <v>491</v>
      </c>
      <c r="AF119" s="277" t="s">
        <v>492</v>
      </c>
      <c r="AG119" s="277" t="s">
        <v>493</v>
      </c>
      <c r="AH119" s="277" t="s">
        <v>494</v>
      </c>
      <c r="AI119" s="277" t="s">
        <v>495</v>
      </c>
    </row>
    <row r="120" spans="1:35" ht="201.6" x14ac:dyDescent="0.3">
      <c r="A120" s="77"/>
      <c r="B120" s="77" t="str">
        <f t="shared" si="21"/>
        <v>Y</v>
      </c>
      <c r="C120" s="77" t="s">
        <v>45</v>
      </c>
      <c r="D120" s="77" t="s">
        <v>2456</v>
      </c>
      <c r="E120" s="84" t="s">
        <v>2458</v>
      </c>
      <c r="F120" s="80" t="s">
        <v>1132</v>
      </c>
      <c r="G120" s="96" t="s">
        <v>1664</v>
      </c>
      <c r="H120" s="77">
        <v>200</v>
      </c>
      <c r="I120" s="21"/>
      <c r="J120" s="259" t="s">
        <v>50</v>
      </c>
      <c r="K120" s="259" t="s">
        <v>482</v>
      </c>
      <c r="L120" s="259" t="s">
        <v>51</v>
      </c>
      <c r="M120" s="259" t="s">
        <v>13</v>
      </c>
      <c r="N120" s="259" t="s">
        <v>10</v>
      </c>
      <c r="O120" s="259" t="s">
        <v>1372</v>
      </c>
      <c r="P120" s="259" t="s">
        <v>16</v>
      </c>
      <c r="Q120" s="259" t="s">
        <v>952</v>
      </c>
      <c r="R120" s="259" t="s">
        <v>51</v>
      </c>
      <c r="S120" s="263"/>
      <c r="T120" s="257" t="s">
        <v>484</v>
      </c>
      <c r="U120" s="259" t="s">
        <v>55</v>
      </c>
      <c r="V120" s="261" t="s">
        <v>2277</v>
      </c>
      <c r="W120" s="283" t="s">
        <v>2278</v>
      </c>
      <c r="X120" s="287" t="s">
        <v>517</v>
      </c>
      <c r="Y120" s="280" t="s">
        <v>2461</v>
      </c>
      <c r="Z120" s="286" t="s">
        <v>955</v>
      </c>
      <c r="AA120" s="286">
        <v>2</v>
      </c>
      <c r="AB120" s="277" t="s">
        <v>488</v>
      </c>
      <c r="AC120" s="277" t="s">
        <v>489</v>
      </c>
      <c r="AD120" s="277" t="s">
        <v>490</v>
      </c>
      <c r="AE120" s="277" t="s">
        <v>491</v>
      </c>
      <c r="AF120" s="277" t="s">
        <v>492</v>
      </c>
      <c r="AG120" s="277" t="s">
        <v>493</v>
      </c>
      <c r="AH120" s="277" t="s">
        <v>494</v>
      </c>
      <c r="AI120" s="277" t="s">
        <v>495</v>
      </c>
    </row>
    <row r="121" spans="1:35" ht="127.2" customHeight="1" x14ac:dyDescent="0.3">
      <c r="A121" s="77">
        <v>75</v>
      </c>
      <c r="B121" s="268" t="str">
        <f t="shared" si="20"/>
        <v>N</v>
      </c>
      <c r="C121" s="268" t="s">
        <v>113</v>
      </c>
      <c r="D121" s="268" t="s">
        <v>1742</v>
      </c>
      <c r="E121" s="278" t="s">
        <v>1743</v>
      </c>
      <c r="F121" s="170" t="s">
        <v>563</v>
      </c>
      <c r="G121" s="181" t="s">
        <v>564</v>
      </c>
      <c r="H121" s="268">
        <v>400</v>
      </c>
      <c r="I121" s="183"/>
      <c r="J121" s="268"/>
      <c r="K121" s="269"/>
      <c r="L121" s="170"/>
      <c r="M121" s="170"/>
      <c r="N121" s="170"/>
      <c r="O121" s="269"/>
      <c r="P121" s="269"/>
      <c r="Q121" s="269"/>
      <c r="R121" s="269"/>
      <c r="S121" s="269"/>
      <c r="T121" s="268"/>
      <c r="U121" s="170"/>
      <c r="V121" s="268"/>
      <c r="W121" s="268"/>
      <c r="X121" s="268"/>
      <c r="Y121" s="270"/>
      <c r="Z121" s="268"/>
      <c r="AA121" s="268"/>
      <c r="AB121" s="268"/>
      <c r="AC121" s="268"/>
      <c r="AD121" s="268"/>
      <c r="AE121" s="268"/>
      <c r="AF121" s="268"/>
      <c r="AG121" s="268"/>
      <c r="AH121" s="268"/>
      <c r="AI121" s="268"/>
    </row>
    <row r="122" spans="1:35" ht="127.2" customHeight="1" x14ac:dyDescent="0.3">
      <c r="A122" s="77">
        <v>76</v>
      </c>
      <c r="B122" s="268" t="str">
        <f t="shared" si="20"/>
        <v>N</v>
      </c>
      <c r="C122" s="268" t="s">
        <v>113</v>
      </c>
      <c r="D122" s="268" t="s">
        <v>1744</v>
      </c>
      <c r="E122" s="278" t="s">
        <v>1745</v>
      </c>
      <c r="F122" s="170" t="s">
        <v>566</v>
      </c>
      <c r="G122" s="181" t="s">
        <v>564</v>
      </c>
      <c r="H122" s="268">
        <v>400</v>
      </c>
      <c r="I122" s="183"/>
      <c r="J122" s="268"/>
      <c r="K122" s="269"/>
      <c r="L122" s="170"/>
      <c r="M122" s="170"/>
      <c r="N122" s="170"/>
      <c r="O122" s="269"/>
      <c r="P122" s="269"/>
      <c r="Q122" s="269"/>
      <c r="R122" s="269"/>
      <c r="S122" s="269"/>
      <c r="T122" s="268"/>
      <c r="U122" s="170"/>
      <c r="V122" s="268"/>
      <c r="W122" s="268"/>
      <c r="X122" s="268"/>
      <c r="Y122" s="270"/>
      <c r="Z122" s="268"/>
      <c r="AA122" s="268"/>
      <c r="AB122" s="268"/>
      <c r="AC122" s="268"/>
      <c r="AD122" s="268"/>
      <c r="AE122" s="268"/>
      <c r="AF122" s="268"/>
      <c r="AG122" s="268"/>
      <c r="AH122" s="268"/>
      <c r="AI122" s="268"/>
    </row>
    <row r="123" spans="1:35" ht="127.2" customHeight="1" x14ac:dyDescent="0.3">
      <c r="A123" s="77">
        <v>77</v>
      </c>
      <c r="B123" s="268" t="str">
        <f t="shared" si="20"/>
        <v>N</v>
      </c>
      <c r="C123" s="268" t="s">
        <v>113</v>
      </c>
      <c r="D123" s="268" t="s">
        <v>1746</v>
      </c>
      <c r="E123" s="278" t="s">
        <v>1747</v>
      </c>
      <c r="F123" s="170" t="s">
        <v>569</v>
      </c>
      <c r="G123" s="181" t="s">
        <v>564</v>
      </c>
      <c r="H123" s="268">
        <v>400</v>
      </c>
      <c r="I123" s="183"/>
      <c r="J123" s="268"/>
      <c r="K123" s="269"/>
      <c r="L123" s="170"/>
      <c r="M123" s="170"/>
      <c r="N123" s="170"/>
      <c r="O123" s="269"/>
      <c r="P123" s="269"/>
      <c r="Q123" s="269"/>
      <c r="R123" s="269"/>
      <c r="S123" s="269"/>
      <c r="T123" s="268"/>
      <c r="U123" s="170"/>
      <c r="V123" s="268"/>
      <c r="W123" s="268"/>
      <c r="X123" s="268"/>
      <c r="Y123" s="270"/>
      <c r="Z123" s="268"/>
      <c r="AA123" s="268"/>
      <c r="AB123" s="268"/>
      <c r="AC123" s="268"/>
      <c r="AD123" s="268"/>
      <c r="AE123" s="268"/>
      <c r="AF123" s="268"/>
      <c r="AG123" s="268"/>
      <c r="AH123" s="268"/>
      <c r="AI123" s="268"/>
    </row>
    <row r="124" spans="1:35" ht="127.2" customHeight="1" x14ac:dyDescent="0.3">
      <c r="A124" s="77">
        <v>78</v>
      </c>
      <c r="B124" s="268" t="str">
        <f t="shared" si="20"/>
        <v>N</v>
      </c>
      <c r="C124" s="268" t="s">
        <v>113</v>
      </c>
      <c r="D124" s="268" t="s">
        <v>1748</v>
      </c>
      <c r="E124" s="278" t="s">
        <v>1749</v>
      </c>
      <c r="F124" s="170" t="s">
        <v>572</v>
      </c>
      <c r="G124" s="181" t="s">
        <v>564</v>
      </c>
      <c r="H124" s="268">
        <v>400</v>
      </c>
      <c r="I124" s="183"/>
      <c r="J124" s="268"/>
      <c r="K124" s="269"/>
      <c r="L124" s="170"/>
      <c r="M124" s="170"/>
      <c r="N124" s="170"/>
      <c r="O124" s="269"/>
      <c r="P124" s="269"/>
      <c r="Q124" s="269"/>
      <c r="R124" s="269"/>
      <c r="S124" s="269"/>
      <c r="T124" s="268"/>
      <c r="U124" s="170"/>
      <c r="V124" s="268"/>
      <c r="W124" s="268"/>
      <c r="X124" s="268"/>
      <c r="Y124" s="270"/>
      <c r="Z124" s="268"/>
      <c r="AA124" s="268"/>
      <c r="AB124" s="268"/>
      <c r="AC124" s="268"/>
      <c r="AD124" s="268"/>
      <c r="AE124" s="268"/>
      <c r="AF124" s="268"/>
      <c r="AG124" s="268"/>
      <c r="AH124" s="268"/>
      <c r="AI124" s="268"/>
    </row>
    <row r="125" spans="1:35" ht="127.2" customHeight="1" x14ac:dyDescent="0.3">
      <c r="A125" s="77">
        <v>79</v>
      </c>
      <c r="B125" s="77" t="str">
        <f t="shared" si="20"/>
        <v>Y</v>
      </c>
      <c r="C125" s="77" t="s">
        <v>45</v>
      </c>
      <c r="D125" s="77" t="s">
        <v>1750</v>
      </c>
      <c r="E125" s="291" t="s">
        <v>1751</v>
      </c>
      <c r="F125" s="283" t="s">
        <v>575</v>
      </c>
      <c r="G125" s="284" t="s">
        <v>564</v>
      </c>
      <c r="H125" s="77">
        <v>400</v>
      </c>
      <c r="I125" s="292" t="s">
        <v>2468</v>
      </c>
      <c r="J125" s="259" t="s">
        <v>50</v>
      </c>
      <c r="K125" s="259" t="s">
        <v>482</v>
      </c>
      <c r="L125" s="259" t="s">
        <v>51</v>
      </c>
      <c r="M125" s="259" t="s">
        <v>13</v>
      </c>
      <c r="N125" s="259" t="s">
        <v>10</v>
      </c>
      <c r="O125" s="259" t="s">
        <v>1372</v>
      </c>
      <c r="P125" s="259" t="s">
        <v>16</v>
      </c>
      <c r="Q125" s="259" t="s">
        <v>952</v>
      </c>
      <c r="R125" s="259" t="s">
        <v>51</v>
      </c>
      <c r="S125" s="260"/>
      <c r="T125" s="259" t="s">
        <v>484</v>
      </c>
      <c r="U125" s="259" t="s">
        <v>55</v>
      </c>
      <c r="V125" s="261" t="s">
        <v>2277</v>
      </c>
      <c r="W125" s="259" t="s">
        <v>2278</v>
      </c>
      <c r="X125" s="261" t="s">
        <v>486</v>
      </c>
      <c r="Y125" s="262"/>
      <c r="Z125" s="261" t="s">
        <v>955</v>
      </c>
      <c r="AA125" s="259">
        <v>1</v>
      </c>
      <c r="AB125" s="261" t="s">
        <v>488</v>
      </c>
      <c r="AC125" s="261" t="s">
        <v>489</v>
      </c>
      <c r="AD125" s="261" t="s">
        <v>490</v>
      </c>
      <c r="AE125" s="261" t="s">
        <v>491</v>
      </c>
      <c r="AF125" s="261" t="s">
        <v>492</v>
      </c>
      <c r="AG125" s="261" t="s">
        <v>493</v>
      </c>
      <c r="AH125" s="261" t="s">
        <v>494</v>
      </c>
      <c r="AI125" s="261" t="s">
        <v>495</v>
      </c>
    </row>
    <row r="126" spans="1:35" ht="127.2" customHeight="1" x14ac:dyDescent="0.3">
      <c r="A126" s="77">
        <v>80</v>
      </c>
      <c r="B126" s="77" t="str">
        <f t="shared" si="20"/>
        <v>Y</v>
      </c>
      <c r="C126" s="77" t="s">
        <v>45</v>
      </c>
      <c r="D126" s="77" t="s">
        <v>1752</v>
      </c>
      <c r="E126" s="291" t="s">
        <v>1753</v>
      </c>
      <c r="F126" s="283" t="s">
        <v>578</v>
      </c>
      <c r="G126" s="284" t="s">
        <v>564</v>
      </c>
      <c r="H126" s="77">
        <v>400</v>
      </c>
      <c r="I126" s="292" t="s">
        <v>2462</v>
      </c>
      <c r="J126" s="259" t="s">
        <v>50</v>
      </c>
      <c r="K126" s="259" t="s">
        <v>482</v>
      </c>
      <c r="L126" s="259" t="s">
        <v>51</v>
      </c>
      <c r="M126" s="259" t="s">
        <v>13</v>
      </c>
      <c r="N126" s="259" t="s">
        <v>10</v>
      </c>
      <c r="O126" s="259" t="s">
        <v>1372</v>
      </c>
      <c r="P126" s="259" t="s">
        <v>16</v>
      </c>
      <c r="Q126" s="259" t="s">
        <v>952</v>
      </c>
      <c r="R126" s="259" t="s">
        <v>51</v>
      </c>
      <c r="S126" s="263"/>
      <c r="T126" s="257" t="s">
        <v>484</v>
      </c>
      <c r="U126" s="259" t="s">
        <v>55</v>
      </c>
      <c r="V126" s="261" t="s">
        <v>2277</v>
      </c>
      <c r="W126" s="259" t="s">
        <v>2278</v>
      </c>
      <c r="X126" s="264" t="s">
        <v>517</v>
      </c>
      <c r="Y126" s="265" t="s">
        <v>1963</v>
      </c>
      <c r="Z126" s="257" t="s">
        <v>955</v>
      </c>
      <c r="AA126" s="257">
        <v>2</v>
      </c>
      <c r="AB126" s="261" t="s">
        <v>488</v>
      </c>
      <c r="AC126" s="261" t="s">
        <v>489</v>
      </c>
      <c r="AD126" s="261" t="s">
        <v>490</v>
      </c>
      <c r="AE126" s="261" t="s">
        <v>491</v>
      </c>
      <c r="AF126" s="261" t="s">
        <v>492</v>
      </c>
      <c r="AG126" s="261" t="s">
        <v>493</v>
      </c>
      <c r="AH126" s="261" t="s">
        <v>494</v>
      </c>
      <c r="AI126" s="261" t="s">
        <v>495</v>
      </c>
    </row>
    <row r="127" spans="1:35" ht="127.2" customHeight="1" x14ac:dyDescent="0.3">
      <c r="A127" s="77">
        <v>81</v>
      </c>
      <c r="B127" s="77" t="str">
        <f t="shared" si="20"/>
        <v>Y</v>
      </c>
      <c r="C127" s="77" t="s">
        <v>45</v>
      </c>
      <c r="D127" s="77" t="s">
        <v>1754</v>
      </c>
      <c r="E127" s="291" t="s">
        <v>1755</v>
      </c>
      <c r="F127" s="283" t="s">
        <v>581</v>
      </c>
      <c r="G127" s="284" t="s">
        <v>564</v>
      </c>
      <c r="H127" s="77">
        <v>400</v>
      </c>
      <c r="I127" s="292" t="s">
        <v>2462</v>
      </c>
      <c r="J127" s="259" t="s">
        <v>50</v>
      </c>
      <c r="K127" s="259" t="s">
        <v>482</v>
      </c>
      <c r="L127" s="259" t="s">
        <v>51</v>
      </c>
      <c r="M127" s="259" t="s">
        <v>13</v>
      </c>
      <c r="N127" s="259" t="s">
        <v>10</v>
      </c>
      <c r="O127" s="259" t="s">
        <v>1372</v>
      </c>
      <c r="P127" s="259" t="s">
        <v>16</v>
      </c>
      <c r="Q127" s="259" t="s">
        <v>952</v>
      </c>
      <c r="R127" s="259" t="s">
        <v>51</v>
      </c>
      <c r="S127" s="263"/>
      <c r="T127" s="257" t="s">
        <v>520</v>
      </c>
      <c r="U127" s="259" t="s">
        <v>55</v>
      </c>
      <c r="V127" s="261" t="s">
        <v>2277</v>
      </c>
      <c r="W127" s="259" t="s">
        <v>2278</v>
      </c>
      <c r="X127" s="266" t="s">
        <v>2281</v>
      </c>
      <c r="Y127" s="267" t="s">
        <v>1963</v>
      </c>
      <c r="Z127" s="257" t="s">
        <v>2283</v>
      </c>
      <c r="AA127" s="257">
        <v>3</v>
      </c>
      <c r="AB127" s="261" t="s">
        <v>488</v>
      </c>
      <c r="AC127" s="261" t="s">
        <v>489</v>
      </c>
      <c r="AD127" s="261" t="s">
        <v>490</v>
      </c>
      <c r="AE127" s="261" t="s">
        <v>491</v>
      </c>
      <c r="AF127" s="261" t="s">
        <v>492</v>
      </c>
      <c r="AG127" s="261" t="s">
        <v>493</v>
      </c>
      <c r="AH127" s="261" t="s">
        <v>494</v>
      </c>
      <c r="AI127" s="261" t="s">
        <v>495</v>
      </c>
    </row>
    <row r="128" spans="1:35" ht="127.2" customHeight="1" x14ac:dyDescent="0.3">
      <c r="A128" s="77">
        <v>82</v>
      </c>
      <c r="B128" s="77" t="str">
        <f t="shared" si="20"/>
        <v>Y</v>
      </c>
      <c r="C128" s="77" t="s">
        <v>45</v>
      </c>
      <c r="D128" s="77" t="s">
        <v>1756</v>
      </c>
      <c r="E128" s="291" t="s">
        <v>1757</v>
      </c>
      <c r="F128" s="283" t="s">
        <v>584</v>
      </c>
      <c r="G128" s="284" t="s">
        <v>564</v>
      </c>
      <c r="H128" s="77">
        <v>400</v>
      </c>
      <c r="I128" s="292" t="s">
        <v>2462</v>
      </c>
      <c r="J128" s="259" t="s">
        <v>50</v>
      </c>
      <c r="K128" s="259" t="s">
        <v>482</v>
      </c>
      <c r="L128" s="259" t="s">
        <v>51</v>
      </c>
      <c r="M128" s="259" t="s">
        <v>13</v>
      </c>
      <c r="N128" s="259" t="s">
        <v>10</v>
      </c>
      <c r="O128" s="259" t="s">
        <v>1372</v>
      </c>
      <c r="P128" s="259" t="s">
        <v>16</v>
      </c>
      <c r="Q128" s="259" t="s">
        <v>952</v>
      </c>
      <c r="R128" s="259" t="s">
        <v>51</v>
      </c>
      <c r="S128" s="263"/>
      <c r="T128" s="257" t="s">
        <v>171</v>
      </c>
      <c r="U128" s="259" t="s">
        <v>55</v>
      </c>
      <c r="V128" s="261" t="s">
        <v>2277</v>
      </c>
      <c r="W128" s="259" t="s">
        <v>2278</v>
      </c>
      <c r="X128" s="264" t="s">
        <v>964</v>
      </c>
      <c r="Y128" s="265" t="s">
        <v>1963</v>
      </c>
      <c r="Z128" s="257" t="s">
        <v>2284</v>
      </c>
      <c r="AA128" s="257">
        <v>4</v>
      </c>
      <c r="AB128" s="261" t="s">
        <v>488</v>
      </c>
      <c r="AC128" s="261" t="s">
        <v>489</v>
      </c>
      <c r="AD128" s="261" t="s">
        <v>490</v>
      </c>
      <c r="AE128" s="261" t="s">
        <v>491</v>
      </c>
      <c r="AF128" s="261" t="s">
        <v>492</v>
      </c>
      <c r="AG128" s="261" t="s">
        <v>493</v>
      </c>
      <c r="AH128" s="261" t="s">
        <v>494</v>
      </c>
      <c r="AI128" s="261" t="s">
        <v>495</v>
      </c>
    </row>
    <row r="129" spans="1:35" ht="127.2" customHeight="1" x14ac:dyDescent="0.3">
      <c r="A129" s="77">
        <v>83</v>
      </c>
      <c r="B129" s="268" t="str">
        <f t="shared" si="20"/>
        <v>N</v>
      </c>
      <c r="C129" s="268" t="s">
        <v>113</v>
      </c>
      <c r="D129" s="268" t="s">
        <v>1758</v>
      </c>
      <c r="E129" s="278" t="s">
        <v>1759</v>
      </c>
      <c r="F129" s="170" t="s">
        <v>587</v>
      </c>
      <c r="G129" s="181" t="s">
        <v>564</v>
      </c>
      <c r="H129" s="269"/>
      <c r="I129" s="183"/>
      <c r="J129" s="268"/>
      <c r="K129" s="269"/>
      <c r="L129" s="170"/>
      <c r="M129" s="170"/>
      <c r="N129" s="170"/>
      <c r="O129" s="269"/>
      <c r="P129" s="269"/>
      <c r="Q129" s="269"/>
      <c r="R129" s="269"/>
      <c r="S129" s="269"/>
      <c r="T129" s="268"/>
      <c r="U129" s="170"/>
      <c r="V129" s="268"/>
      <c r="W129" s="268"/>
      <c r="X129" s="268"/>
      <c r="Y129" s="270"/>
      <c r="Z129" s="268"/>
      <c r="AA129" s="268"/>
      <c r="AB129" s="268"/>
      <c r="AC129" s="268"/>
      <c r="AD129" s="268"/>
      <c r="AE129" s="268"/>
      <c r="AF129" s="268"/>
      <c r="AG129" s="268"/>
      <c r="AH129" s="268"/>
      <c r="AI129" s="268"/>
    </row>
    <row r="130" spans="1:35" ht="127.2" customHeight="1" x14ac:dyDescent="0.3">
      <c r="A130" s="77">
        <v>84</v>
      </c>
      <c r="B130" s="268" t="str">
        <f t="shared" si="20"/>
        <v>N</v>
      </c>
      <c r="C130" s="268" t="s">
        <v>113</v>
      </c>
      <c r="D130" s="268" t="s">
        <v>1760</v>
      </c>
      <c r="E130" s="278" t="s">
        <v>1761</v>
      </c>
      <c r="F130" s="170" t="s">
        <v>590</v>
      </c>
      <c r="G130" s="181" t="s">
        <v>564</v>
      </c>
      <c r="H130" s="269"/>
      <c r="I130" s="183"/>
      <c r="J130" s="268"/>
      <c r="K130" s="269"/>
      <c r="L130" s="170"/>
      <c r="M130" s="170"/>
      <c r="N130" s="170"/>
      <c r="O130" s="269"/>
      <c r="P130" s="269"/>
      <c r="Q130" s="269"/>
      <c r="R130" s="269"/>
      <c r="S130" s="269"/>
      <c r="T130" s="268"/>
      <c r="U130" s="170"/>
      <c r="V130" s="268"/>
      <c r="W130" s="268"/>
      <c r="X130" s="268"/>
      <c r="Y130" s="270"/>
      <c r="Z130" s="268"/>
      <c r="AA130" s="268"/>
      <c r="AB130" s="268"/>
      <c r="AC130" s="268"/>
      <c r="AD130" s="268"/>
      <c r="AE130" s="268"/>
      <c r="AF130" s="268"/>
      <c r="AG130" s="268"/>
      <c r="AH130" s="268"/>
      <c r="AI130" s="268"/>
    </row>
    <row r="131" spans="1:35" ht="127.2" customHeight="1" x14ac:dyDescent="0.3">
      <c r="A131" s="77">
        <v>85</v>
      </c>
      <c r="B131" s="268" t="str">
        <f t="shared" si="20"/>
        <v>N</v>
      </c>
      <c r="C131" s="268" t="s">
        <v>113</v>
      </c>
      <c r="D131" s="268" t="s">
        <v>1762</v>
      </c>
      <c r="E131" s="278" t="s">
        <v>1763</v>
      </c>
      <c r="F131" s="170" t="s">
        <v>593</v>
      </c>
      <c r="G131" s="181" t="s">
        <v>564</v>
      </c>
      <c r="H131" s="269"/>
      <c r="I131" s="183"/>
      <c r="J131" s="268"/>
      <c r="K131" s="269"/>
      <c r="L131" s="170"/>
      <c r="M131" s="170"/>
      <c r="N131" s="170"/>
      <c r="O131" s="269"/>
      <c r="P131" s="269"/>
      <c r="Q131" s="269"/>
      <c r="R131" s="269"/>
      <c r="S131" s="269"/>
      <c r="T131" s="268"/>
      <c r="U131" s="170"/>
      <c r="V131" s="268"/>
      <c r="W131" s="268"/>
      <c r="X131" s="268"/>
      <c r="Y131" s="270"/>
      <c r="Z131" s="268"/>
      <c r="AA131" s="268"/>
      <c r="AB131" s="268"/>
      <c r="AC131" s="268"/>
      <c r="AD131" s="268"/>
      <c r="AE131" s="268"/>
      <c r="AF131" s="268"/>
      <c r="AG131" s="268"/>
      <c r="AH131" s="268"/>
      <c r="AI131" s="268"/>
    </row>
    <row r="132" spans="1:35" ht="127.2" customHeight="1" x14ac:dyDescent="0.3">
      <c r="A132" s="77">
        <v>86</v>
      </c>
      <c r="B132" s="268" t="str">
        <f t="shared" si="20"/>
        <v>N</v>
      </c>
      <c r="C132" s="268" t="s">
        <v>113</v>
      </c>
      <c r="D132" s="268" t="s">
        <v>1764</v>
      </c>
      <c r="E132" s="278" t="s">
        <v>1765</v>
      </c>
      <c r="F132" s="170" t="s">
        <v>596</v>
      </c>
      <c r="G132" s="181" t="s">
        <v>564</v>
      </c>
      <c r="H132" s="269"/>
      <c r="I132" s="183"/>
      <c r="J132" s="268"/>
      <c r="K132" s="269"/>
      <c r="L132" s="170"/>
      <c r="M132" s="170"/>
      <c r="N132" s="170"/>
      <c r="O132" s="269"/>
      <c r="P132" s="269"/>
      <c r="Q132" s="269"/>
      <c r="R132" s="269"/>
      <c r="S132" s="269"/>
      <c r="T132" s="268"/>
      <c r="U132" s="170"/>
      <c r="V132" s="268"/>
      <c r="W132" s="268"/>
      <c r="X132" s="268"/>
      <c r="Y132" s="270"/>
      <c r="Z132" s="268"/>
      <c r="AA132" s="268"/>
      <c r="AB132" s="268"/>
      <c r="AC132" s="268"/>
      <c r="AD132" s="268"/>
      <c r="AE132" s="268"/>
      <c r="AF132" s="268"/>
      <c r="AG132" s="268"/>
      <c r="AH132" s="268"/>
      <c r="AI132" s="268"/>
    </row>
    <row r="133" spans="1:35" ht="127.2" customHeight="1" x14ac:dyDescent="0.3">
      <c r="A133" s="77">
        <v>87</v>
      </c>
      <c r="B133" s="268" t="str">
        <f t="shared" si="20"/>
        <v>N</v>
      </c>
      <c r="C133" s="268" t="s">
        <v>113</v>
      </c>
      <c r="D133" s="268" t="s">
        <v>1766</v>
      </c>
      <c r="E133" s="278" t="s">
        <v>1767</v>
      </c>
      <c r="F133" s="170" t="s">
        <v>599</v>
      </c>
      <c r="G133" s="181" t="s">
        <v>1768</v>
      </c>
      <c r="H133" s="269"/>
      <c r="I133" s="183"/>
      <c r="J133" s="268"/>
      <c r="K133" s="269"/>
      <c r="L133" s="170"/>
      <c r="M133" s="170"/>
      <c r="N133" s="170"/>
      <c r="O133" s="269"/>
      <c r="P133" s="269"/>
      <c r="Q133" s="269"/>
      <c r="R133" s="269"/>
      <c r="S133" s="269"/>
      <c r="T133" s="268"/>
      <c r="U133" s="170"/>
      <c r="V133" s="268"/>
      <c r="W133" s="268"/>
      <c r="X133" s="268"/>
      <c r="Y133" s="270"/>
      <c r="Z133" s="268"/>
      <c r="AA133" s="268"/>
      <c r="AB133" s="268"/>
      <c r="AC133" s="268"/>
      <c r="AD133" s="268"/>
      <c r="AE133" s="268"/>
      <c r="AF133" s="268"/>
      <c r="AG133" s="268"/>
      <c r="AH133" s="268"/>
      <c r="AI133" s="268"/>
    </row>
    <row r="134" spans="1:35" ht="57.6" x14ac:dyDescent="0.3">
      <c r="A134" s="77">
        <v>88</v>
      </c>
      <c r="B134" s="268" t="str">
        <f t="shared" si="20"/>
        <v>N</v>
      </c>
      <c r="C134" s="268" t="s">
        <v>113</v>
      </c>
      <c r="D134" s="268" t="s">
        <v>1769</v>
      </c>
      <c r="E134" s="278" t="s">
        <v>1770</v>
      </c>
      <c r="F134" s="170" t="s">
        <v>602</v>
      </c>
      <c r="G134" s="181" t="s">
        <v>1771</v>
      </c>
      <c r="H134" s="269"/>
      <c r="I134" s="183"/>
      <c r="J134" s="268"/>
      <c r="K134" s="269"/>
      <c r="L134" s="170"/>
      <c r="M134" s="170"/>
      <c r="N134" s="170"/>
      <c r="O134" s="269"/>
      <c r="P134" s="269"/>
      <c r="Q134" s="269"/>
      <c r="R134" s="269"/>
      <c r="S134" s="269"/>
      <c r="T134" s="268"/>
      <c r="U134" s="170"/>
      <c r="V134" s="268"/>
      <c r="W134" s="268"/>
      <c r="X134" s="268"/>
      <c r="Y134" s="270"/>
      <c r="Z134" s="268"/>
      <c r="AA134" s="268"/>
      <c r="AB134" s="268"/>
      <c r="AC134" s="268"/>
      <c r="AD134" s="268"/>
      <c r="AE134" s="268"/>
      <c r="AF134" s="268"/>
      <c r="AG134" s="268"/>
      <c r="AH134" s="268"/>
      <c r="AI134" s="268"/>
    </row>
    <row r="135" spans="1:35" ht="57.6" x14ac:dyDescent="0.3">
      <c r="A135" s="77">
        <v>89</v>
      </c>
      <c r="B135" s="268" t="str">
        <f t="shared" si="20"/>
        <v>N</v>
      </c>
      <c r="C135" s="268" t="s">
        <v>113</v>
      </c>
      <c r="D135" s="268" t="s">
        <v>1772</v>
      </c>
      <c r="E135" s="278" t="s">
        <v>1773</v>
      </c>
      <c r="F135" s="170" t="s">
        <v>605</v>
      </c>
      <c r="G135" s="181" t="s">
        <v>1140</v>
      </c>
      <c r="H135" s="269"/>
      <c r="I135" s="183"/>
      <c r="J135" s="268"/>
      <c r="K135" s="269"/>
      <c r="L135" s="170"/>
      <c r="M135" s="170"/>
      <c r="N135" s="170"/>
      <c r="O135" s="269"/>
      <c r="P135" s="269"/>
      <c r="Q135" s="269"/>
      <c r="R135" s="269"/>
      <c r="S135" s="269"/>
      <c r="T135" s="268"/>
      <c r="U135" s="170"/>
      <c r="V135" s="268"/>
      <c r="W135" s="268"/>
      <c r="X135" s="268"/>
      <c r="Y135" s="270"/>
      <c r="Z135" s="268"/>
      <c r="AA135" s="268"/>
      <c r="AB135" s="268"/>
      <c r="AC135" s="268"/>
      <c r="AD135" s="268"/>
      <c r="AE135" s="268"/>
      <c r="AF135" s="268"/>
      <c r="AG135" s="268"/>
      <c r="AH135" s="268"/>
      <c r="AI135" s="268"/>
    </row>
    <row r="136" spans="1:35" ht="57.6" x14ac:dyDescent="0.3">
      <c r="A136" s="77">
        <v>90</v>
      </c>
      <c r="B136" s="268" t="str">
        <f t="shared" si="20"/>
        <v>N</v>
      </c>
      <c r="C136" s="268" t="s">
        <v>113</v>
      </c>
      <c r="D136" s="268" t="s">
        <v>1774</v>
      </c>
      <c r="E136" s="278" t="s">
        <v>1775</v>
      </c>
      <c r="F136" s="170" t="s">
        <v>608</v>
      </c>
      <c r="G136" s="181" t="s">
        <v>1771</v>
      </c>
      <c r="H136" s="269"/>
      <c r="I136" s="183"/>
      <c r="J136" s="268"/>
      <c r="K136" s="269"/>
      <c r="L136" s="170"/>
      <c r="M136" s="170"/>
      <c r="N136" s="170"/>
      <c r="O136" s="269"/>
      <c r="P136" s="269"/>
      <c r="Q136" s="269"/>
      <c r="R136" s="269"/>
      <c r="S136" s="269"/>
      <c r="T136" s="268"/>
      <c r="U136" s="170"/>
      <c r="V136" s="268"/>
      <c r="W136" s="268"/>
      <c r="X136" s="268"/>
      <c r="Y136" s="270"/>
      <c r="Z136" s="268"/>
      <c r="AA136" s="268"/>
      <c r="AB136" s="268"/>
      <c r="AC136" s="268"/>
      <c r="AD136" s="268"/>
      <c r="AE136" s="268"/>
      <c r="AF136" s="268"/>
      <c r="AG136" s="268"/>
      <c r="AH136" s="268"/>
      <c r="AI136" s="268"/>
    </row>
    <row r="137" spans="1:35" ht="57.6" x14ac:dyDescent="0.3">
      <c r="A137" s="77">
        <v>91</v>
      </c>
      <c r="B137" s="268" t="str">
        <f t="shared" si="20"/>
        <v>N</v>
      </c>
      <c r="C137" s="268" t="s">
        <v>113</v>
      </c>
      <c r="D137" s="268" t="s">
        <v>1776</v>
      </c>
      <c r="E137" s="278" t="s">
        <v>1777</v>
      </c>
      <c r="F137" s="170" t="s">
        <v>611</v>
      </c>
      <c r="G137" s="181" t="s">
        <v>564</v>
      </c>
      <c r="H137" s="269"/>
      <c r="I137" s="183"/>
      <c r="J137" s="268"/>
      <c r="K137" s="269"/>
      <c r="L137" s="170"/>
      <c r="M137" s="170"/>
      <c r="N137" s="170"/>
      <c r="O137" s="269"/>
      <c r="P137" s="269"/>
      <c r="Q137" s="269"/>
      <c r="R137" s="269"/>
      <c r="S137" s="269"/>
      <c r="T137" s="268"/>
      <c r="U137" s="170"/>
      <c r="V137" s="268"/>
      <c r="W137" s="268"/>
      <c r="X137" s="268"/>
      <c r="Y137" s="270"/>
      <c r="Z137" s="268"/>
      <c r="AA137" s="268"/>
      <c r="AB137" s="268"/>
      <c r="AC137" s="268"/>
      <c r="AD137" s="268"/>
      <c r="AE137" s="268"/>
      <c r="AF137" s="268"/>
      <c r="AG137" s="268"/>
      <c r="AH137" s="268"/>
      <c r="AI137" s="268"/>
    </row>
    <row r="138" spans="1:35" ht="57.6" x14ac:dyDescent="0.3">
      <c r="A138" s="77">
        <v>92</v>
      </c>
      <c r="B138" s="268" t="str">
        <f t="shared" si="20"/>
        <v>N</v>
      </c>
      <c r="C138" s="268" t="s">
        <v>113</v>
      </c>
      <c r="D138" s="268" t="s">
        <v>1778</v>
      </c>
      <c r="E138" s="278" t="s">
        <v>1779</v>
      </c>
      <c r="F138" s="170" t="s">
        <v>614</v>
      </c>
      <c r="G138" s="181" t="s">
        <v>564</v>
      </c>
      <c r="H138" s="269"/>
      <c r="I138" s="183"/>
      <c r="J138" s="268"/>
      <c r="K138" s="269"/>
      <c r="L138" s="170"/>
      <c r="M138" s="170"/>
      <c r="N138" s="170"/>
      <c r="O138" s="269"/>
      <c r="P138" s="269"/>
      <c r="Q138" s="269"/>
      <c r="R138" s="269"/>
      <c r="S138" s="269"/>
      <c r="T138" s="268"/>
      <c r="U138" s="170"/>
      <c r="V138" s="268"/>
      <c r="W138" s="268"/>
      <c r="X138" s="268"/>
      <c r="Y138" s="270"/>
      <c r="Z138" s="268"/>
      <c r="AA138" s="268"/>
      <c r="AB138" s="268"/>
      <c r="AC138" s="268"/>
      <c r="AD138" s="268"/>
      <c r="AE138" s="268"/>
      <c r="AF138" s="268"/>
      <c r="AG138" s="268"/>
      <c r="AH138" s="268"/>
      <c r="AI138" s="268"/>
    </row>
    <row r="139" spans="1:35" ht="57.6" x14ac:dyDescent="0.3">
      <c r="A139" s="77">
        <v>93</v>
      </c>
      <c r="B139" s="268" t="str">
        <f t="shared" si="20"/>
        <v>N</v>
      </c>
      <c r="C139" s="268" t="s">
        <v>113</v>
      </c>
      <c r="D139" s="268" t="s">
        <v>1780</v>
      </c>
      <c r="E139" s="278" t="s">
        <v>1781</v>
      </c>
      <c r="F139" s="170" t="s">
        <v>617</v>
      </c>
      <c r="G139" s="181" t="s">
        <v>564</v>
      </c>
      <c r="H139" s="269"/>
      <c r="I139" s="182"/>
      <c r="J139" s="268"/>
      <c r="K139" s="269"/>
      <c r="L139" s="170"/>
      <c r="M139" s="170"/>
      <c r="N139" s="170"/>
      <c r="O139" s="269"/>
      <c r="P139" s="269"/>
      <c r="Q139" s="269"/>
      <c r="R139" s="269"/>
      <c r="S139" s="269"/>
      <c r="T139" s="268"/>
      <c r="U139" s="170"/>
      <c r="V139" s="268"/>
      <c r="W139" s="268"/>
      <c r="X139" s="268"/>
      <c r="Y139" s="270"/>
      <c r="Z139" s="268"/>
      <c r="AA139" s="268"/>
      <c r="AB139" s="268"/>
      <c r="AC139" s="268"/>
      <c r="AD139" s="268"/>
      <c r="AE139" s="268"/>
      <c r="AF139" s="268"/>
      <c r="AG139" s="268"/>
      <c r="AH139" s="268"/>
      <c r="AI139" s="268"/>
    </row>
    <row r="140" spans="1:35" ht="57.6" x14ac:dyDescent="0.3">
      <c r="A140" s="77">
        <v>94</v>
      </c>
      <c r="B140" s="268" t="str">
        <f t="shared" si="20"/>
        <v>N</v>
      </c>
      <c r="C140" s="268" t="s">
        <v>113</v>
      </c>
      <c r="D140" s="268" t="s">
        <v>1782</v>
      </c>
      <c r="E140" s="278" t="s">
        <v>1783</v>
      </c>
      <c r="F140" s="170" t="s">
        <v>620</v>
      </c>
      <c r="G140" s="181" t="s">
        <v>564</v>
      </c>
      <c r="H140" s="269"/>
      <c r="I140" s="183"/>
      <c r="J140" s="268"/>
      <c r="K140" s="269"/>
      <c r="L140" s="170"/>
      <c r="M140" s="170"/>
      <c r="N140" s="170"/>
      <c r="O140" s="269"/>
      <c r="P140" s="269"/>
      <c r="Q140" s="269"/>
      <c r="R140" s="269"/>
      <c r="S140" s="269"/>
      <c r="T140" s="268"/>
      <c r="U140" s="170"/>
      <c r="V140" s="268"/>
      <c r="W140" s="268"/>
      <c r="X140" s="268"/>
      <c r="Y140" s="270"/>
      <c r="Z140" s="268"/>
      <c r="AA140" s="268"/>
      <c r="AB140" s="268"/>
      <c r="AC140" s="268"/>
      <c r="AD140" s="268"/>
      <c r="AE140" s="268"/>
      <c r="AF140" s="268"/>
      <c r="AG140" s="268"/>
      <c r="AH140" s="268"/>
      <c r="AI140" s="268"/>
    </row>
    <row r="141" spans="1:35" ht="57.6" x14ac:dyDescent="0.3">
      <c r="A141" s="77">
        <v>95</v>
      </c>
      <c r="B141" s="77" t="str">
        <f t="shared" si="20"/>
        <v>Y</v>
      </c>
      <c r="C141" s="77" t="s">
        <v>45</v>
      </c>
      <c r="D141" s="77" t="s">
        <v>1784</v>
      </c>
      <c r="E141" s="84" t="s">
        <v>1785</v>
      </c>
      <c r="F141" s="80" t="s">
        <v>623</v>
      </c>
      <c r="G141" s="96" t="s">
        <v>564</v>
      </c>
      <c r="H141" s="77">
        <v>403</v>
      </c>
      <c r="I141" s="131" t="s">
        <v>1974</v>
      </c>
      <c r="J141" s="259" t="s">
        <v>50</v>
      </c>
      <c r="K141" s="259" t="s">
        <v>482</v>
      </c>
      <c r="L141" s="259" t="s">
        <v>51</v>
      </c>
      <c r="M141" s="272" t="s">
        <v>2367</v>
      </c>
      <c r="N141" s="272" t="s">
        <v>2366</v>
      </c>
      <c r="O141" s="259" t="s">
        <v>1372</v>
      </c>
      <c r="P141" s="272" t="s">
        <v>1452</v>
      </c>
      <c r="Q141" s="259" t="s">
        <v>952</v>
      </c>
      <c r="R141" s="259" t="s">
        <v>51</v>
      </c>
      <c r="S141" s="260"/>
      <c r="T141" s="259" t="s">
        <v>484</v>
      </c>
      <c r="U141" s="259" t="s">
        <v>55</v>
      </c>
      <c r="V141" s="261" t="s">
        <v>2277</v>
      </c>
      <c r="W141" s="259" t="s">
        <v>2278</v>
      </c>
      <c r="X141" s="261" t="s">
        <v>486</v>
      </c>
      <c r="Y141" s="262" t="s">
        <v>2279</v>
      </c>
      <c r="Z141" s="261" t="s">
        <v>955</v>
      </c>
      <c r="AA141" s="261" t="s">
        <v>2409</v>
      </c>
      <c r="AB141" s="261" t="s">
        <v>488</v>
      </c>
      <c r="AC141" s="261" t="s">
        <v>489</v>
      </c>
      <c r="AD141" s="261" t="s">
        <v>490</v>
      </c>
      <c r="AE141" s="261" t="s">
        <v>491</v>
      </c>
      <c r="AF141" s="261" t="s">
        <v>492</v>
      </c>
      <c r="AG141" s="261" t="s">
        <v>493</v>
      </c>
      <c r="AH141" s="261" t="s">
        <v>494</v>
      </c>
      <c r="AI141" s="261" t="s">
        <v>495</v>
      </c>
    </row>
    <row r="142" spans="1:35" ht="57.6" x14ac:dyDescent="0.3">
      <c r="A142" s="77">
        <v>96</v>
      </c>
      <c r="B142" s="77" t="str">
        <f t="shared" si="20"/>
        <v>Y</v>
      </c>
      <c r="C142" s="77" t="s">
        <v>45</v>
      </c>
      <c r="D142" s="77" t="s">
        <v>1786</v>
      </c>
      <c r="E142" s="84" t="s">
        <v>1787</v>
      </c>
      <c r="F142" s="80" t="s">
        <v>626</v>
      </c>
      <c r="G142" s="96" t="s">
        <v>564</v>
      </c>
      <c r="H142" s="77">
        <v>403</v>
      </c>
      <c r="I142" s="131" t="s">
        <v>1974</v>
      </c>
      <c r="J142" s="259" t="s">
        <v>50</v>
      </c>
      <c r="K142" s="259" t="s">
        <v>482</v>
      </c>
      <c r="L142" s="259" t="s">
        <v>51</v>
      </c>
      <c r="M142" s="272" t="s">
        <v>2367</v>
      </c>
      <c r="N142" s="272" t="s">
        <v>2366</v>
      </c>
      <c r="O142" s="259" t="s">
        <v>1372</v>
      </c>
      <c r="P142" s="272" t="s">
        <v>1452</v>
      </c>
      <c r="Q142" s="259" t="s">
        <v>952</v>
      </c>
      <c r="R142" s="259" t="s">
        <v>51</v>
      </c>
      <c r="S142" s="263"/>
      <c r="T142" s="257" t="s">
        <v>484</v>
      </c>
      <c r="U142" s="259" t="s">
        <v>55</v>
      </c>
      <c r="V142" s="261" t="s">
        <v>2277</v>
      </c>
      <c r="W142" s="259" t="s">
        <v>2278</v>
      </c>
      <c r="X142" s="264" t="s">
        <v>517</v>
      </c>
      <c r="Y142" s="265" t="s">
        <v>2280</v>
      </c>
      <c r="Z142" s="257" t="s">
        <v>955</v>
      </c>
      <c r="AA142" s="261" t="s">
        <v>2410</v>
      </c>
      <c r="AB142" s="261" t="s">
        <v>488</v>
      </c>
      <c r="AC142" s="261" t="s">
        <v>489</v>
      </c>
      <c r="AD142" s="261" t="s">
        <v>490</v>
      </c>
      <c r="AE142" s="261" t="s">
        <v>491</v>
      </c>
      <c r="AF142" s="261" t="s">
        <v>492</v>
      </c>
      <c r="AG142" s="261" t="s">
        <v>493</v>
      </c>
      <c r="AH142" s="261" t="s">
        <v>494</v>
      </c>
      <c r="AI142" s="261" t="s">
        <v>495</v>
      </c>
    </row>
    <row r="143" spans="1:35" ht="57.6" x14ac:dyDescent="0.3">
      <c r="A143" s="77">
        <v>97</v>
      </c>
      <c r="B143" s="77" t="str">
        <f t="shared" si="20"/>
        <v>Y</v>
      </c>
      <c r="C143" s="77" t="s">
        <v>45</v>
      </c>
      <c r="D143" s="77" t="s">
        <v>1788</v>
      </c>
      <c r="E143" s="84" t="s">
        <v>1789</v>
      </c>
      <c r="F143" s="80" t="s">
        <v>629</v>
      </c>
      <c r="G143" s="96" t="s">
        <v>1771</v>
      </c>
      <c r="H143" s="77">
        <v>403</v>
      </c>
      <c r="I143" s="131" t="s">
        <v>1974</v>
      </c>
      <c r="J143" s="259" t="s">
        <v>50</v>
      </c>
      <c r="K143" s="259" t="s">
        <v>482</v>
      </c>
      <c r="L143" s="259" t="s">
        <v>51</v>
      </c>
      <c r="M143" s="272" t="s">
        <v>2367</v>
      </c>
      <c r="N143" s="272" t="s">
        <v>2366</v>
      </c>
      <c r="O143" s="259" t="s">
        <v>1372</v>
      </c>
      <c r="P143" s="272" t="s">
        <v>1452</v>
      </c>
      <c r="Q143" s="259" t="s">
        <v>952</v>
      </c>
      <c r="R143" s="259" t="s">
        <v>51</v>
      </c>
      <c r="S143" s="263"/>
      <c r="T143" s="257" t="s">
        <v>520</v>
      </c>
      <c r="U143" s="259" t="s">
        <v>55</v>
      </c>
      <c r="V143" s="261" t="s">
        <v>2277</v>
      </c>
      <c r="W143" s="259" t="s">
        <v>2278</v>
      </c>
      <c r="X143" s="266" t="s">
        <v>2281</v>
      </c>
      <c r="Y143" s="267" t="s">
        <v>2282</v>
      </c>
      <c r="Z143" s="257" t="s">
        <v>2283</v>
      </c>
      <c r="AA143" s="261" t="s">
        <v>2411</v>
      </c>
      <c r="AB143" s="261" t="s">
        <v>488</v>
      </c>
      <c r="AC143" s="261" t="s">
        <v>489</v>
      </c>
      <c r="AD143" s="261" t="s">
        <v>490</v>
      </c>
      <c r="AE143" s="261" t="s">
        <v>491</v>
      </c>
      <c r="AF143" s="261" t="s">
        <v>492</v>
      </c>
      <c r="AG143" s="261" t="s">
        <v>493</v>
      </c>
      <c r="AH143" s="261" t="s">
        <v>494</v>
      </c>
      <c r="AI143" s="261" t="s">
        <v>495</v>
      </c>
    </row>
    <row r="144" spans="1:35" ht="57.6" x14ac:dyDescent="0.3">
      <c r="A144" s="77">
        <v>98</v>
      </c>
      <c r="B144" s="77" t="str">
        <f t="shared" si="20"/>
        <v>Y</v>
      </c>
      <c r="C144" s="77" t="s">
        <v>45</v>
      </c>
      <c r="D144" s="77" t="s">
        <v>1790</v>
      </c>
      <c r="E144" s="84" t="s">
        <v>1791</v>
      </c>
      <c r="F144" s="80" t="s">
        <v>632</v>
      </c>
      <c r="G144" s="96" t="s">
        <v>564</v>
      </c>
      <c r="H144" s="77">
        <v>403</v>
      </c>
      <c r="I144" s="131" t="s">
        <v>1974</v>
      </c>
      <c r="J144" s="259" t="s">
        <v>50</v>
      </c>
      <c r="K144" s="259" t="s">
        <v>482</v>
      </c>
      <c r="L144" s="259" t="s">
        <v>51</v>
      </c>
      <c r="M144" s="272" t="s">
        <v>2367</v>
      </c>
      <c r="N144" s="272" t="s">
        <v>2366</v>
      </c>
      <c r="O144" s="259" t="s">
        <v>1372</v>
      </c>
      <c r="P144" s="272" t="s">
        <v>1452</v>
      </c>
      <c r="Q144" s="259" t="s">
        <v>952</v>
      </c>
      <c r="R144" s="259" t="s">
        <v>51</v>
      </c>
      <c r="S144" s="263"/>
      <c r="T144" s="257" t="s">
        <v>171</v>
      </c>
      <c r="U144" s="259" t="s">
        <v>55</v>
      </c>
      <c r="V144" s="261" t="s">
        <v>2277</v>
      </c>
      <c r="W144" s="259" t="s">
        <v>2278</v>
      </c>
      <c r="X144" s="264" t="s">
        <v>964</v>
      </c>
      <c r="Y144" s="265" t="s">
        <v>1159</v>
      </c>
      <c r="Z144" s="257" t="s">
        <v>2284</v>
      </c>
      <c r="AA144" s="261" t="s">
        <v>2078</v>
      </c>
      <c r="AB144" s="261" t="s">
        <v>488</v>
      </c>
      <c r="AC144" s="261" t="s">
        <v>489</v>
      </c>
      <c r="AD144" s="261" t="s">
        <v>490</v>
      </c>
      <c r="AE144" s="261" t="s">
        <v>491</v>
      </c>
      <c r="AF144" s="261" t="s">
        <v>492</v>
      </c>
      <c r="AG144" s="261" t="s">
        <v>493</v>
      </c>
      <c r="AH144" s="261" t="s">
        <v>494</v>
      </c>
      <c r="AI144" s="261" t="s">
        <v>495</v>
      </c>
    </row>
    <row r="145" spans="1:35" ht="201.6" x14ac:dyDescent="0.3">
      <c r="A145" s="77">
        <v>99</v>
      </c>
      <c r="B145" s="77" t="str">
        <f t="shared" si="20"/>
        <v>Y</v>
      </c>
      <c r="C145" s="77" t="s">
        <v>45</v>
      </c>
      <c r="D145" s="77" t="s">
        <v>1792</v>
      </c>
      <c r="E145" s="84" t="s">
        <v>1793</v>
      </c>
      <c r="F145" s="80" t="s">
        <v>1146</v>
      </c>
      <c r="G145" s="96" t="s">
        <v>1664</v>
      </c>
      <c r="H145" s="77">
        <v>200</v>
      </c>
      <c r="I145" s="21"/>
      <c r="J145" s="259" t="s">
        <v>50</v>
      </c>
      <c r="K145" s="259" t="s">
        <v>482</v>
      </c>
      <c r="L145" s="259" t="s">
        <v>51</v>
      </c>
      <c r="M145" s="259" t="s">
        <v>13</v>
      </c>
      <c r="N145" s="259" t="s">
        <v>10</v>
      </c>
      <c r="O145" s="259" t="s">
        <v>1372</v>
      </c>
      <c r="P145" s="259" t="s">
        <v>16</v>
      </c>
      <c r="Q145" s="259" t="s">
        <v>952</v>
      </c>
      <c r="R145" s="259" t="s">
        <v>51</v>
      </c>
      <c r="S145" s="260"/>
      <c r="T145" s="259" t="s">
        <v>484</v>
      </c>
      <c r="U145" s="259" t="s">
        <v>55</v>
      </c>
      <c r="V145" s="271" t="s">
        <v>2463</v>
      </c>
      <c r="W145" s="259" t="s">
        <v>2278</v>
      </c>
      <c r="X145" s="261" t="s">
        <v>486</v>
      </c>
      <c r="Y145" s="262" t="s">
        <v>2279</v>
      </c>
      <c r="Z145" s="261" t="s">
        <v>955</v>
      </c>
      <c r="AA145" s="259">
        <v>1</v>
      </c>
      <c r="AB145" s="261" t="s">
        <v>488</v>
      </c>
      <c r="AC145" s="261" t="s">
        <v>489</v>
      </c>
      <c r="AD145" s="261" t="s">
        <v>490</v>
      </c>
      <c r="AE145" s="261" t="s">
        <v>491</v>
      </c>
      <c r="AF145" s="261" t="s">
        <v>492</v>
      </c>
      <c r="AG145" s="261" t="s">
        <v>493</v>
      </c>
      <c r="AH145" s="261" t="s">
        <v>494</v>
      </c>
      <c r="AI145" s="261" t="s">
        <v>495</v>
      </c>
    </row>
    <row r="146" spans="1:35" ht="201.6" x14ac:dyDescent="0.3">
      <c r="A146" s="77">
        <v>100</v>
      </c>
      <c r="B146" s="77" t="str">
        <f t="shared" si="20"/>
        <v>Y</v>
      </c>
      <c r="C146" s="77" t="s">
        <v>45</v>
      </c>
      <c r="D146" s="77" t="s">
        <v>1794</v>
      </c>
      <c r="E146" s="84" t="s">
        <v>1795</v>
      </c>
      <c r="F146" s="80" t="s">
        <v>1150</v>
      </c>
      <c r="G146" s="96" t="s">
        <v>1664</v>
      </c>
      <c r="H146" s="77">
        <v>200</v>
      </c>
      <c r="I146" s="21"/>
      <c r="J146" s="259" t="s">
        <v>50</v>
      </c>
      <c r="K146" s="259" t="s">
        <v>482</v>
      </c>
      <c r="L146" s="259" t="s">
        <v>51</v>
      </c>
      <c r="M146" s="259" t="s">
        <v>13</v>
      </c>
      <c r="N146" s="259" t="s">
        <v>10</v>
      </c>
      <c r="O146" s="259" t="s">
        <v>1372</v>
      </c>
      <c r="P146" s="259" t="s">
        <v>16</v>
      </c>
      <c r="Q146" s="259" t="s">
        <v>952</v>
      </c>
      <c r="R146" s="259" t="s">
        <v>51</v>
      </c>
      <c r="S146" s="263"/>
      <c r="T146" s="257" t="s">
        <v>484</v>
      </c>
      <c r="U146" s="259" t="s">
        <v>55</v>
      </c>
      <c r="V146" s="271" t="s">
        <v>2463</v>
      </c>
      <c r="W146" s="259" t="s">
        <v>2278</v>
      </c>
      <c r="X146" s="264" t="s">
        <v>517</v>
      </c>
      <c r="Y146" s="265" t="s">
        <v>2280</v>
      </c>
      <c r="Z146" s="257" t="s">
        <v>955</v>
      </c>
      <c r="AA146" s="257">
        <v>2</v>
      </c>
      <c r="AB146" s="261" t="s">
        <v>488</v>
      </c>
      <c r="AC146" s="261" t="s">
        <v>489</v>
      </c>
      <c r="AD146" s="261" t="s">
        <v>490</v>
      </c>
      <c r="AE146" s="261" t="s">
        <v>491</v>
      </c>
      <c r="AF146" s="261" t="s">
        <v>492</v>
      </c>
      <c r="AG146" s="261" t="s">
        <v>493</v>
      </c>
      <c r="AH146" s="261" t="s">
        <v>494</v>
      </c>
      <c r="AI146" s="261" t="s">
        <v>495</v>
      </c>
    </row>
    <row r="147" spans="1:35" ht="201.6" x14ac:dyDescent="0.3">
      <c r="A147" s="77">
        <v>101</v>
      </c>
      <c r="B147" s="77" t="str">
        <f t="shared" si="20"/>
        <v>Y</v>
      </c>
      <c r="C147" s="77" t="s">
        <v>45</v>
      </c>
      <c r="D147" s="77" t="s">
        <v>1796</v>
      </c>
      <c r="E147" s="84" t="s">
        <v>1797</v>
      </c>
      <c r="F147" s="80" t="s">
        <v>1153</v>
      </c>
      <c r="G147" s="96" t="s">
        <v>1664</v>
      </c>
      <c r="H147" s="77">
        <v>200</v>
      </c>
      <c r="I147" s="21"/>
      <c r="J147" s="259" t="s">
        <v>50</v>
      </c>
      <c r="K147" s="259" t="s">
        <v>482</v>
      </c>
      <c r="L147" s="259" t="s">
        <v>51</v>
      </c>
      <c r="M147" s="259" t="s">
        <v>13</v>
      </c>
      <c r="N147" s="259" t="s">
        <v>10</v>
      </c>
      <c r="O147" s="259" t="s">
        <v>1372</v>
      </c>
      <c r="P147" s="259" t="s">
        <v>16</v>
      </c>
      <c r="Q147" s="259" t="s">
        <v>952</v>
      </c>
      <c r="R147" s="259" t="s">
        <v>51</v>
      </c>
      <c r="S147" s="263"/>
      <c r="T147" s="257" t="s">
        <v>520</v>
      </c>
      <c r="U147" s="259" t="s">
        <v>55</v>
      </c>
      <c r="V147" s="271" t="s">
        <v>2463</v>
      </c>
      <c r="W147" s="259" t="s">
        <v>2278</v>
      </c>
      <c r="X147" s="266" t="s">
        <v>2281</v>
      </c>
      <c r="Y147" s="267" t="s">
        <v>2282</v>
      </c>
      <c r="Z147" s="257" t="s">
        <v>2283</v>
      </c>
      <c r="AA147" s="257">
        <v>3</v>
      </c>
      <c r="AB147" s="261" t="s">
        <v>488</v>
      </c>
      <c r="AC147" s="261" t="s">
        <v>489</v>
      </c>
      <c r="AD147" s="261" t="s">
        <v>490</v>
      </c>
      <c r="AE147" s="261" t="s">
        <v>491</v>
      </c>
      <c r="AF147" s="261" t="s">
        <v>492</v>
      </c>
      <c r="AG147" s="261" t="s">
        <v>493</v>
      </c>
      <c r="AH147" s="261" t="s">
        <v>494</v>
      </c>
      <c r="AI147" s="261" t="s">
        <v>495</v>
      </c>
    </row>
    <row r="148" spans="1:35" ht="201.6" x14ac:dyDescent="0.3">
      <c r="A148" s="77">
        <v>102</v>
      </c>
      <c r="B148" s="77" t="str">
        <f t="shared" si="20"/>
        <v>Y</v>
      </c>
      <c r="C148" s="77" t="s">
        <v>45</v>
      </c>
      <c r="D148" s="77" t="s">
        <v>1798</v>
      </c>
      <c r="E148" s="84" t="s">
        <v>1799</v>
      </c>
      <c r="F148" s="80" t="s">
        <v>1158</v>
      </c>
      <c r="G148" s="96" t="s">
        <v>1664</v>
      </c>
      <c r="H148" s="77">
        <v>200</v>
      </c>
      <c r="I148" s="21"/>
      <c r="J148" s="259" t="s">
        <v>50</v>
      </c>
      <c r="K148" s="259" t="s">
        <v>482</v>
      </c>
      <c r="L148" s="259" t="s">
        <v>51</v>
      </c>
      <c r="M148" s="259" t="s">
        <v>13</v>
      </c>
      <c r="N148" s="259" t="s">
        <v>10</v>
      </c>
      <c r="O148" s="259" t="s">
        <v>1372</v>
      </c>
      <c r="P148" s="259" t="s">
        <v>16</v>
      </c>
      <c r="Q148" s="259" t="s">
        <v>952</v>
      </c>
      <c r="R148" s="259" t="s">
        <v>51</v>
      </c>
      <c r="S148" s="263"/>
      <c r="T148" s="257" t="s">
        <v>171</v>
      </c>
      <c r="U148" s="259" t="s">
        <v>55</v>
      </c>
      <c r="V148" s="271" t="s">
        <v>2463</v>
      </c>
      <c r="W148" s="259" t="s">
        <v>2278</v>
      </c>
      <c r="X148" s="264" t="s">
        <v>964</v>
      </c>
      <c r="Y148" s="265" t="s">
        <v>1159</v>
      </c>
      <c r="Z148" s="257" t="s">
        <v>2284</v>
      </c>
      <c r="AA148" s="257">
        <v>4</v>
      </c>
      <c r="AB148" s="261" t="s">
        <v>488</v>
      </c>
      <c r="AC148" s="261" t="s">
        <v>489</v>
      </c>
      <c r="AD148" s="261" t="s">
        <v>490</v>
      </c>
      <c r="AE148" s="261" t="s">
        <v>491</v>
      </c>
      <c r="AF148" s="261" t="s">
        <v>492</v>
      </c>
      <c r="AG148" s="261" t="s">
        <v>493</v>
      </c>
      <c r="AH148" s="261" t="s">
        <v>494</v>
      </c>
      <c r="AI148" s="261" t="s">
        <v>495</v>
      </c>
    </row>
    <row r="149" spans="1:35" ht="201.6" x14ac:dyDescent="0.3">
      <c r="A149" s="77">
        <v>103</v>
      </c>
      <c r="B149" s="77" t="str">
        <f t="shared" si="20"/>
        <v>Y</v>
      </c>
      <c r="C149" s="77" t="s">
        <v>45</v>
      </c>
      <c r="D149" s="77" t="s">
        <v>1800</v>
      </c>
      <c r="E149" s="84" t="s">
        <v>1801</v>
      </c>
      <c r="F149" s="80" t="s">
        <v>635</v>
      </c>
      <c r="G149" s="96" t="s">
        <v>1664</v>
      </c>
      <c r="H149" s="77">
        <v>200</v>
      </c>
      <c r="I149" s="21"/>
      <c r="J149" s="259" t="s">
        <v>50</v>
      </c>
      <c r="K149" s="259" t="s">
        <v>482</v>
      </c>
      <c r="L149" s="259" t="s">
        <v>51</v>
      </c>
      <c r="M149" s="259" t="s">
        <v>13</v>
      </c>
      <c r="N149" s="259" t="s">
        <v>10</v>
      </c>
      <c r="O149" s="259" t="s">
        <v>1372</v>
      </c>
      <c r="P149" s="259" t="s">
        <v>16</v>
      </c>
      <c r="Q149" s="259" t="s">
        <v>952</v>
      </c>
      <c r="R149" s="259" t="s">
        <v>51</v>
      </c>
      <c r="S149" s="260"/>
      <c r="T149" s="259" t="s">
        <v>484</v>
      </c>
      <c r="U149" s="259" t="s">
        <v>55</v>
      </c>
      <c r="V149" s="261" t="s">
        <v>2277</v>
      </c>
      <c r="W149" s="259" t="s">
        <v>2278</v>
      </c>
      <c r="X149" s="261" t="s">
        <v>486</v>
      </c>
      <c r="Y149" s="279" t="s">
        <v>2160</v>
      </c>
      <c r="Z149" s="261" t="s">
        <v>955</v>
      </c>
      <c r="AA149" s="259">
        <v>1</v>
      </c>
      <c r="AB149" s="261" t="s">
        <v>488</v>
      </c>
      <c r="AC149" s="261" t="s">
        <v>489</v>
      </c>
      <c r="AD149" s="261" t="s">
        <v>490</v>
      </c>
      <c r="AE149" s="261" t="s">
        <v>491</v>
      </c>
      <c r="AF149" s="261" t="s">
        <v>492</v>
      </c>
      <c r="AG149" s="261" t="s">
        <v>493</v>
      </c>
      <c r="AH149" s="261" t="s">
        <v>494</v>
      </c>
      <c r="AI149" s="261" t="s">
        <v>495</v>
      </c>
    </row>
    <row r="150" spans="1:35" ht="201.6" x14ac:dyDescent="0.3">
      <c r="A150" s="77">
        <v>104</v>
      </c>
      <c r="B150" s="77" t="str">
        <f t="shared" si="20"/>
        <v>Y</v>
      </c>
      <c r="C150" s="77" t="s">
        <v>45</v>
      </c>
      <c r="D150" s="77" t="s">
        <v>1802</v>
      </c>
      <c r="E150" s="84" t="s">
        <v>1803</v>
      </c>
      <c r="F150" s="80" t="s">
        <v>638</v>
      </c>
      <c r="G150" s="96" t="s">
        <v>1664</v>
      </c>
      <c r="H150" s="77">
        <v>200</v>
      </c>
      <c r="I150" s="21"/>
      <c r="J150" s="259" t="s">
        <v>50</v>
      </c>
      <c r="K150" s="259" t="s">
        <v>482</v>
      </c>
      <c r="L150" s="259" t="s">
        <v>51</v>
      </c>
      <c r="M150" s="259" t="s">
        <v>13</v>
      </c>
      <c r="N150" s="259" t="s">
        <v>10</v>
      </c>
      <c r="O150" s="259" t="s">
        <v>1372</v>
      </c>
      <c r="P150" s="259" t="s">
        <v>16</v>
      </c>
      <c r="Q150" s="259" t="s">
        <v>952</v>
      </c>
      <c r="R150" s="259" t="s">
        <v>51</v>
      </c>
      <c r="S150" s="263"/>
      <c r="T150" s="257" t="s">
        <v>484</v>
      </c>
      <c r="U150" s="259" t="s">
        <v>55</v>
      </c>
      <c r="V150" s="261" t="s">
        <v>2277</v>
      </c>
      <c r="W150" s="259" t="s">
        <v>2278</v>
      </c>
      <c r="X150" s="264" t="s">
        <v>517</v>
      </c>
      <c r="Y150" s="280" t="s">
        <v>2464</v>
      </c>
      <c r="Z150" s="257" t="s">
        <v>955</v>
      </c>
      <c r="AA150" s="257">
        <v>2</v>
      </c>
      <c r="AB150" s="261" t="s">
        <v>488</v>
      </c>
      <c r="AC150" s="261" t="s">
        <v>489</v>
      </c>
      <c r="AD150" s="261" t="s">
        <v>490</v>
      </c>
      <c r="AE150" s="261" t="s">
        <v>491</v>
      </c>
      <c r="AF150" s="261" t="s">
        <v>492</v>
      </c>
      <c r="AG150" s="261" t="s">
        <v>493</v>
      </c>
      <c r="AH150" s="261" t="s">
        <v>494</v>
      </c>
      <c r="AI150" s="261" t="s">
        <v>495</v>
      </c>
    </row>
    <row r="151" spans="1:35" ht="201.6" x14ac:dyDescent="0.3">
      <c r="A151" s="77">
        <v>105</v>
      </c>
      <c r="B151" s="77" t="str">
        <f t="shared" si="20"/>
        <v>Y</v>
      </c>
      <c r="C151" s="77" t="s">
        <v>45</v>
      </c>
      <c r="D151" s="77" t="s">
        <v>1804</v>
      </c>
      <c r="E151" s="84" t="s">
        <v>1805</v>
      </c>
      <c r="F151" s="80" t="s">
        <v>641</v>
      </c>
      <c r="G151" s="96" t="s">
        <v>1664</v>
      </c>
      <c r="H151" s="77">
        <v>200</v>
      </c>
      <c r="I151" s="21"/>
      <c r="J151" s="259" t="s">
        <v>50</v>
      </c>
      <c r="K151" s="259" t="s">
        <v>482</v>
      </c>
      <c r="L151" s="259" t="s">
        <v>51</v>
      </c>
      <c r="M151" s="259" t="s">
        <v>13</v>
      </c>
      <c r="N151" s="259" t="s">
        <v>10</v>
      </c>
      <c r="O151" s="259" t="s">
        <v>1372</v>
      </c>
      <c r="P151" s="259" t="s">
        <v>16</v>
      </c>
      <c r="Q151" s="259" t="s">
        <v>952</v>
      </c>
      <c r="R151" s="259" t="s">
        <v>51</v>
      </c>
      <c r="S151" s="263"/>
      <c r="T151" s="257" t="s">
        <v>520</v>
      </c>
      <c r="U151" s="259" t="s">
        <v>55</v>
      </c>
      <c r="V151" s="261" t="s">
        <v>2277</v>
      </c>
      <c r="W151" s="259" t="s">
        <v>2278</v>
      </c>
      <c r="X151" s="293" t="s">
        <v>2163</v>
      </c>
      <c r="Y151" s="235" t="s">
        <v>2162</v>
      </c>
      <c r="Z151" s="257" t="s">
        <v>2283</v>
      </c>
      <c r="AA151" s="257">
        <v>3</v>
      </c>
      <c r="AB151" s="261" t="s">
        <v>488</v>
      </c>
      <c r="AC151" s="261" t="s">
        <v>489</v>
      </c>
      <c r="AD151" s="261" t="s">
        <v>490</v>
      </c>
      <c r="AE151" s="261" t="s">
        <v>491</v>
      </c>
      <c r="AF151" s="261" t="s">
        <v>492</v>
      </c>
      <c r="AG151" s="261" t="s">
        <v>493</v>
      </c>
      <c r="AH151" s="261" t="s">
        <v>494</v>
      </c>
      <c r="AI151" s="261" t="s">
        <v>495</v>
      </c>
    </row>
    <row r="152" spans="1:35" ht="201.6" x14ac:dyDescent="0.3">
      <c r="A152" s="77">
        <v>106</v>
      </c>
      <c r="B152" s="77" t="str">
        <f t="shared" si="20"/>
        <v>Y</v>
      </c>
      <c r="C152" s="77" t="s">
        <v>45</v>
      </c>
      <c r="D152" s="77" t="s">
        <v>1806</v>
      </c>
      <c r="E152" s="84" t="s">
        <v>1807</v>
      </c>
      <c r="F152" s="80" t="s">
        <v>644</v>
      </c>
      <c r="G152" s="96" t="s">
        <v>1664</v>
      </c>
      <c r="H152" s="77">
        <v>200</v>
      </c>
      <c r="I152" s="21"/>
      <c r="J152" s="259" t="s">
        <v>50</v>
      </c>
      <c r="K152" s="259" t="s">
        <v>482</v>
      </c>
      <c r="L152" s="259" t="s">
        <v>51</v>
      </c>
      <c r="M152" s="259" t="s">
        <v>13</v>
      </c>
      <c r="N152" s="259" t="s">
        <v>10</v>
      </c>
      <c r="O152" s="259" t="s">
        <v>1372</v>
      </c>
      <c r="P152" s="259" t="s">
        <v>16</v>
      </c>
      <c r="Q152" s="259" t="s">
        <v>952</v>
      </c>
      <c r="R152" s="259" t="s">
        <v>51</v>
      </c>
      <c r="S152" s="263"/>
      <c r="T152" s="257" t="s">
        <v>171</v>
      </c>
      <c r="U152" s="259" t="s">
        <v>55</v>
      </c>
      <c r="V152" s="261" t="s">
        <v>2277</v>
      </c>
      <c r="W152" s="259" t="s">
        <v>2278</v>
      </c>
      <c r="X152" s="293" t="s">
        <v>2163</v>
      </c>
      <c r="Y152" s="280" t="s">
        <v>2162</v>
      </c>
      <c r="Z152" s="257" t="s">
        <v>2284</v>
      </c>
      <c r="AA152" s="257">
        <v>4</v>
      </c>
      <c r="AB152" s="261" t="s">
        <v>488</v>
      </c>
      <c r="AC152" s="261" t="s">
        <v>489</v>
      </c>
      <c r="AD152" s="261" t="s">
        <v>490</v>
      </c>
      <c r="AE152" s="261" t="s">
        <v>491</v>
      </c>
      <c r="AF152" s="261" t="s">
        <v>492</v>
      </c>
      <c r="AG152" s="261" t="s">
        <v>493</v>
      </c>
      <c r="AH152" s="261" t="s">
        <v>494</v>
      </c>
      <c r="AI152" s="261" t="s">
        <v>495</v>
      </c>
    </row>
    <row r="153" spans="1:35" ht="68.400000000000006" customHeight="1" x14ac:dyDescent="0.3">
      <c r="A153" s="77">
        <v>107</v>
      </c>
      <c r="B153" s="77" t="str">
        <f t="shared" si="20"/>
        <v>Y</v>
      </c>
      <c r="C153" s="77" t="s">
        <v>45</v>
      </c>
      <c r="D153" s="77" t="s">
        <v>1808</v>
      </c>
      <c r="E153" s="84" t="s">
        <v>1809</v>
      </c>
      <c r="F153" s="80" t="s">
        <v>648</v>
      </c>
      <c r="G153" s="96" t="s">
        <v>1170</v>
      </c>
      <c r="H153" s="77">
        <v>200</v>
      </c>
      <c r="I153" s="21"/>
      <c r="J153" s="259" t="s">
        <v>50</v>
      </c>
      <c r="K153" s="259" t="s">
        <v>482</v>
      </c>
      <c r="L153" s="259" t="s">
        <v>51</v>
      </c>
      <c r="M153" s="259" t="s">
        <v>13</v>
      </c>
      <c r="N153" s="259" t="s">
        <v>10</v>
      </c>
      <c r="O153" s="259" t="s">
        <v>1372</v>
      </c>
      <c r="P153" s="259" t="s">
        <v>16</v>
      </c>
      <c r="Q153" s="259" t="s">
        <v>952</v>
      </c>
      <c r="R153" s="259" t="s">
        <v>51</v>
      </c>
      <c r="S153" s="260"/>
      <c r="T153" s="259" t="s">
        <v>484</v>
      </c>
      <c r="U153" s="259" t="s">
        <v>55</v>
      </c>
      <c r="V153" s="261" t="s">
        <v>2277</v>
      </c>
      <c r="W153" s="259" t="s">
        <v>2278</v>
      </c>
      <c r="X153" s="261" t="s">
        <v>486</v>
      </c>
      <c r="Y153" s="262" t="s">
        <v>2279</v>
      </c>
      <c r="Z153" s="261" t="s">
        <v>955</v>
      </c>
      <c r="AA153" s="259">
        <v>1</v>
      </c>
      <c r="AB153" s="261" t="s">
        <v>488</v>
      </c>
      <c r="AC153" s="261" t="s">
        <v>489</v>
      </c>
      <c r="AD153" s="261" t="s">
        <v>490</v>
      </c>
      <c r="AE153" s="261" t="s">
        <v>491</v>
      </c>
      <c r="AF153" s="261" t="s">
        <v>492</v>
      </c>
      <c r="AG153" s="261" t="s">
        <v>493</v>
      </c>
      <c r="AH153" s="261" t="s">
        <v>494</v>
      </c>
      <c r="AI153" s="261" t="s">
        <v>495</v>
      </c>
    </row>
    <row r="154" spans="1:35" ht="57.6" customHeight="1" x14ac:dyDescent="0.3">
      <c r="A154" s="77">
        <v>108</v>
      </c>
      <c r="B154" s="77" t="str">
        <f t="shared" si="20"/>
        <v>Y</v>
      </c>
      <c r="C154" s="77" t="s">
        <v>45</v>
      </c>
      <c r="D154" s="77" t="s">
        <v>1810</v>
      </c>
      <c r="E154" s="84" t="s">
        <v>1811</v>
      </c>
      <c r="F154" s="80" t="s">
        <v>652</v>
      </c>
      <c r="G154" s="96" t="s">
        <v>1170</v>
      </c>
      <c r="H154" s="77">
        <v>200</v>
      </c>
      <c r="I154" s="21"/>
      <c r="J154" s="259" t="s">
        <v>50</v>
      </c>
      <c r="K154" s="259" t="s">
        <v>482</v>
      </c>
      <c r="L154" s="259" t="s">
        <v>51</v>
      </c>
      <c r="M154" s="259" t="s">
        <v>13</v>
      </c>
      <c r="N154" s="259" t="s">
        <v>10</v>
      </c>
      <c r="O154" s="259" t="s">
        <v>1372</v>
      </c>
      <c r="P154" s="259" t="s">
        <v>16</v>
      </c>
      <c r="Q154" s="259" t="s">
        <v>952</v>
      </c>
      <c r="R154" s="259" t="s">
        <v>51</v>
      </c>
      <c r="S154" s="263"/>
      <c r="T154" s="257" t="s">
        <v>484</v>
      </c>
      <c r="U154" s="259" t="s">
        <v>55</v>
      </c>
      <c r="V154" s="261" t="s">
        <v>2277</v>
      </c>
      <c r="W154" s="259" t="s">
        <v>2278</v>
      </c>
      <c r="X154" s="264" t="s">
        <v>517</v>
      </c>
      <c r="Y154" s="265" t="s">
        <v>2280</v>
      </c>
      <c r="Z154" s="257" t="s">
        <v>955</v>
      </c>
      <c r="AA154" s="257">
        <v>2</v>
      </c>
      <c r="AB154" s="261" t="s">
        <v>488</v>
      </c>
      <c r="AC154" s="261" t="s">
        <v>489</v>
      </c>
      <c r="AD154" s="261" t="s">
        <v>490</v>
      </c>
      <c r="AE154" s="261" t="s">
        <v>491</v>
      </c>
      <c r="AF154" s="261" t="s">
        <v>492</v>
      </c>
      <c r="AG154" s="261" t="s">
        <v>493</v>
      </c>
      <c r="AH154" s="261" t="s">
        <v>494</v>
      </c>
      <c r="AI154" s="261" t="s">
        <v>495</v>
      </c>
    </row>
    <row r="155" spans="1:35" ht="43.2" x14ac:dyDescent="0.3">
      <c r="A155" s="77">
        <v>109</v>
      </c>
      <c r="B155" s="77" t="str">
        <f t="shared" si="20"/>
        <v>Y</v>
      </c>
      <c r="C155" s="77" t="s">
        <v>45</v>
      </c>
      <c r="D155" s="77" t="s">
        <v>1812</v>
      </c>
      <c r="E155" s="84" t="s">
        <v>1813</v>
      </c>
      <c r="F155" s="80" t="s">
        <v>655</v>
      </c>
      <c r="G155" s="96" t="s">
        <v>1170</v>
      </c>
      <c r="H155" s="77">
        <v>200</v>
      </c>
      <c r="I155" s="21"/>
      <c r="J155" s="259" t="s">
        <v>50</v>
      </c>
      <c r="K155" s="259" t="s">
        <v>482</v>
      </c>
      <c r="L155" s="259" t="s">
        <v>51</v>
      </c>
      <c r="M155" s="259" t="s">
        <v>13</v>
      </c>
      <c r="N155" s="259" t="s">
        <v>10</v>
      </c>
      <c r="O155" s="259" t="s">
        <v>1372</v>
      </c>
      <c r="P155" s="259" t="s">
        <v>16</v>
      </c>
      <c r="Q155" s="259" t="s">
        <v>952</v>
      </c>
      <c r="R155" s="259" t="s">
        <v>51</v>
      </c>
      <c r="S155" s="263"/>
      <c r="T155" s="257" t="s">
        <v>520</v>
      </c>
      <c r="U155" s="259" t="s">
        <v>55</v>
      </c>
      <c r="V155" s="261" t="s">
        <v>2277</v>
      </c>
      <c r="W155" s="259" t="s">
        <v>2278</v>
      </c>
      <c r="X155" s="266" t="s">
        <v>2281</v>
      </c>
      <c r="Y155" s="267" t="s">
        <v>2282</v>
      </c>
      <c r="Z155" s="257" t="s">
        <v>2283</v>
      </c>
      <c r="AA155" s="257">
        <v>3</v>
      </c>
      <c r="AB155" s="261" t="s">
        <v>488</v>
      </c>
      <c r="AC155" s="261" t="s">
        <v>489</v>
      </c>
      <c r="AD155" s="261" t="s">
        <v>490</v>
      </c>
      <c r="AE155" s="261" t="s">
        <v>491</v>
      </c>
      <c r="AF155" s="261" t="s">
        <v>492</v>
      </c>
      <c r="AG155" s="261" t="s">
        <v>493</v>
      </c>
      <c r="AH155" s="261" t="s">
        <v>494</v>
      </c>
      <c r="AI155" s="261" t="s">
        <v>495</v>
      </c>
    </row>
    <row r="156" spans="1:35" ht="57.6" x14ac:dyDescent="0.3">
      <c r="A156" s="77">
        <v>110</v>
      </c>
      <c r="B156" s="77" t="str">
        <f t="shared" si="20"/>
        <v>Y</v>
      </c>
      <c r="C156" s="77" t="s">
        <v>45</v>
      </c>
      <c r="D156" s="77" t="s">
        <v>1814</v>
      </c>
      <c r="E156" s="84" t="s">
        <v>1815</v>
      </c>
      <c r="F156" s="80" t="s">
        <v>658</v>
      </c>
      <c r="G156" s="96" t="s">
        <v>1170</v>
      </c>
      <c r="H156" s="77">
        <v>200</v>
      </c>
      <c r="I156" s="21"/>
      <c r="J156" s="259" t="s">
        <v>50</v>
      </c>
      <c r="K156" s="259" t="s">
        <v>482</v>
      </c>
      <c r="L156" s="259" t="s">
        <v>51</v>
      </c>
      <c r="M156" s="259" t="s">
        <v>13</v>
      </c>
      <c r="N156" s="259" t="s">
        <v>10</v>
      </c>
      <c r="O156" s="259" t="s">
        <v>1372</v>
      </c>
      <c r="P156" s="259" t="s">
        <v>16</v>
      </c>
      <c r="Q156" s="259" t="s">
        <v>952</v>
      </c>
      <c r="R156" s="259" t="s">
        <v>51</v>
      </c>
      <c r="S156" s="263"/>
      <c r="T156" s="257" t="s">
        <v>171</v>
      </c>
      <c r="U156" s="259" t="s">
        <v>55</v>
      </c>
      <c r="V156" s="261" t="s">
        <v>2277</v>
      </c>
      <c r="W156" s="259" t="s">
        <v>2278</v>
      </c>
      <c r="X156" s="264" t="s">
        <v>964</v>
      </c>
      <c r="Y156" s="265" t="s">
        <v>1159</v>
      </c>
      <c r="Z156" s="257" t="s">
        <v>2284</v>
      </c>
      <c r="AA156" s="257">
        <v>4</v>
      </c>
      <c r="AB156" s="261" t="s">
        <v>488</v>
      </c>
      <c r="AC156" s="261" t="s">
        <v>489</v>
      </c>
      <c r="AD156" s="261" t="s">
        <v>490</v>
      </c>
      <c r="AE156" s="261" t="s">
        <v>491</v>
      </c>
      <c r="AF156" s="261" t="s">
        <v>492</v>
      </c>
      <c r="AG156" s="261" t="s">
        <v>493</v>
      </c>
      <c r="AH156" s="261" t="s">
        <v>494</v>
      </c>
      <c r="AI156" s="261" t="s">
        <v>495</v>
      </c>
    </row>
    <row r="157" spans="1:35" ht="57.6" x14ac:dyDescent="0.3">
      <c r="A157" s="77">
        <v>111</v>
      </c>
      <c r="B157" s="77" t="str">
        <f t="shared" si="20"/>
        <v>Y</v>
      </c>
      <c r="C157" s="77" t="s">
        <v>45</v>
      </c>
      <c r="D157" s="77" t="s">
        <v>1816</v>
      </c>
      <c r="E157" s="84" t="s">
        <v>1817</v>
      </c>
      <c r="F157" s="80" t="s">
        <v>661</v>
      </c>
      <c r="G157" s="96" t="s">
        <v>564</v>
      </c>
      <c r="H157" s="77">
        <v>400</v>
      </c>
      <c r="I157" s="21" t="s">
        <v>1968</v>
      </c>
      <c r="J157" s="259" t="s">
        <v>50</v>
      </c>
      <c r="K157" s="259" t="s">
        <v>482</v>
      </c>
      <c r="L157" s="259" t="s">
        <v>51</v>
      </c>
      <c r="M157" s="259" t="s">
        <v>13</v>
      </c>
      <c r="N157" s="259" t="s">
        <v>10</v>
      </c>
      <c r="O157" s="259" t="s">
        <v>1372</v>
      </c>
      <c r="P157" s="259" t="s">
        <v>16</v>
      </c>
      <c r="Q157" s="259" t="s">
        <v>952</v>
      </c>
      <c r="R157" s="259" t="s">
        <v>51</v>
      </c>
      <c r="S157" s="260"/>
      <c r="T157" s="259" t="s">
        <v>484</v>
      </c>
      <c r="U157" s="259" t="s">
        <v>55</v>
      </c>
      <c r="V157" s="261" t="s">
        <v>2277</v>
      </c>
      <c r="W157" s="259" t="s">
        <v>2278</v>
      </c>
      <c r="X157" s="261" t="s">
        <v>486</v>
      </c>
      <c r="Y157" s="262" t="s">
        <v>1977</v>
      </c>
      <c r="Z157" s="261" t="s">
        <v>955</v>
      </c>
      <c r="AA157" s="259">
        <v>1</v>
      </c>
      <c r="AB157" s="261" t="s">
        <v>488</v>
      </c>
      <c r="AC157" s="261" t="s">
        <v>489</v>
      </c>
      <c r="AD157" s="261" t="s">
        <v>490</v>
      </c>
      <c r="AE157" s="261" t="s">
        <v>491</v>
      </c>
      <c r="AF157" s="261" t="s">
        <v>492</v>
      </c>
      <c r="AG157" s="261" t="s">
        <v>493</v>
      </c>
      <c r="AH157" s="261" t="s">
        <v>494</v>
      </c>
      <c r="AI157" s="261" t="s">
        <v>495</v>
      </c>
    </row>
    <row r="158" spans="1:35" ht="57.6" x14ac:dyDescent="0.3">
      <c r="A158" s="77">
        <v>112</v>
      </c>
      <c r="B158" s="77" t="str">
        <f t="shared" si="20"/>
        <v>Y</v>
      </c>
      <c r="C158" s="77" t="s">
        <v>45</v>
      </c>
      <c r="D158" s="77" t="s">
        <v>1818</v>
      </c>
      <c r="E158" s="84" t="s">
        <v>1819</v>
      </c>
      <c r="F158" s="80" t="s">
        <v>664</v>
      </c>
      <c r="G158" s="96" t="s">
        <v>564</v>
      </c>
      <c r="H158" s="77">
        <v>400</v>
      </c>
      <c r="I158" s="131" t="s">
        <v>2465</v>
      </c>
      <c r="J158" s="259" t="s">
        <v>50</v>
      </c>
      <c r="K158" s="259" t="s">
        <v>482</v>
      </c>
      <c r="L158" s="259" t="s">
        <v>51</v>
      </c>
      <c r="M158" s="259" t="s">
        <v>13</v>
      </c>
      <c r="N158" s="259" t="s">
        <v>10</v>
      </c>
      <c r="O158" s="259" t="s">
        <v>1372</v>
      </c>
      <c r="P158" s="259" t="s">
        <v>16</v>
      </c>
      <c r="Q158" s="259" t="s">
        <v>952</v>
      </c>
      <c r="R158" s="259" t="s">
        <v>51</v>
      </c>
      <c r="S158" s="263"/>
      <c r="T158" s="257" t="s">
        <v>484</v>
      </c>
      <c r="U158" s="259" t="s">
        <v>55</v>
      </c>
      <c r="V158" s="261" t="s">
        <v>2277</v>
      </c>
      <c r="W158" s="259" t="s">
        <v>2278</v>
      </c>
      <c r="X158" s="264" t="s">
        <v>1977</v>
      </c>
      <c r="Y158" s="265" t="s">
        <v>2280</v>
      </c>
      <c r="Z158" s="257" t="s">
        <v>955</v>
      </c>
      <c r="AA158" s="257">
        <v>2</v>
      </c>
      <c r="AB158" s="261" t="s">
        <v>488</v>
      </c>
      <c r="AC158" s="261" t="s">
        <v>489</v>
      </c>
      <c r="AD158" s="261" t="s">
        <v>490</v>
      </c>
      <c r="AE158" s="261" t="s">
        <v>491</v>
      </c>
      <c r="AF158" s="261" t="s">
        <v>492</v>
      </c>
      <c r="AG158" s="261" t="s">
        <v>493</v>
      </c>
      <c r="AH158" s="261" t="s">
        <v>494</v>
      </c>
      <c r="AI158" s="261" t="s">
        <v>495</v>
      </c>
    </row>
    <row r="159" spans="1:35" ht="57.6" x14ac:dyDescent="0.3">
      <c r="A159" s="77">
        <v>113</v>
      </c>
      <c r="B159" s="77" t="str">
        <f t="shared" si="20"/>
        <v>Y</v>
      </c>
      <c r="C159" s="77" t="s">
        <v>45</v>
      </c>
      <c r="D159" s="77" t="s">
        <v>1820</v>
      </c>
      <c r="E159" s="84" t="s">
        <v>1821</v>
      </c>
      <c r="F159" s="80" t="s">
        <v>667</v>
      </c>
      <c r="G159" s="96" t="s">
        <v>564</v>
      </c>
      <c r="H159" s="77">
        <v>400</v>
      </c>
      <c r="I159" s="131" t="s">
        <v>2166</v>
      </c>
      <c r="J159" s="259" t="s">
        <v>50</v>
      </c>
      <c r="K159" s="259" t="s">
        <v>482</v>
      </c>
      <c r="L159" s="259" t="s">
        <v>51</v>
      </c>
      <c r="M159" s="259" t="s">
        <v>13</v>
      </c>
      <c r="N159" s="259" t="s">
        <v>10</v>
      </c>
      <c r="O159" s="259" t="s">
        <v>1372</v>
      </c>
      <c r="P159" s="259" t="s">
        <v>16</v>
      </c>
      <c r="Q159" s="259" t="s">
        <v>952</v>
      </c>
      <c r="R159" s="259" t="s">
        <v>51</v>
      </c>
      <c r="S159" s="263"/>
      <c r="T159" s="257" t="s">
        <v>520</v>
      </c>
      <c r="U159" s="259" t="s">
        <v>55</v>
      </c>
      <c r="V159" s="261" t="s">
        <v>2277</v>
      </c>
      <c r="W159" s="259" t="s">
        <v>2278</v>
      </c>
      <c r="X159" s="266" t="s">
        <v>2466</v>
      </c>
      <c r="Y159" s="267" t="s">
        <v>2282</v>
      </c>
      <c r="Z159" s="257" t="s">
        <v>2283</v>
      </c>
      <c r="AA159" s="257">
        <v>3</v>
      </c>
      <c r="AB159" s="261" t="s">
        <v>488</v>
      </c>
      <c r="AC159" s="261" t="s">
        <v>489</v>
      </c>
      <c r="AD159" s="261" t="s">
        <v>490</v>
      </c>
      <c r="AE159" s="261" t="s">
        <v>491</v>
      </c>
      <c r="AF159" s="261" t="s">
        <v>492</v>
      </c>
      <c r="AG159" s="261" t="s">
        <v>493</v>
      </c>
      <c r="AH159" s="261" t="s">
        <v>494</v>
      </c>
      <c r="AI159" s="261" t="s">
        <v>495</v>
      </c>
    </row>
    <row r="160" spans="1:35" ht="86.4" x14ac:dyDescent="0.3">
      <c r="A160" s="77">
        <v>114</v>
      </c>
      <c r="B160" s="77" t="str">
        <f t="shared" si="20"/>
        <v>Y</v>
      </c>
      <c r="C160" s="77" t="s">
        <v>45</v>
      </c>
      <c r="D160" s="77" t="s">
        <v>1822</v>
      </c>
      <c r="E160" s="84" t="s">
        <v>1823</v>
      </c>
      <c r="F160" s="80" t="s">
        <v>670</v>
      </c>
      <c r="G160" s="96" t="s">
        <v>564</v>
      </c>
      <c r="H160" s="77">
        <v>400</v>
      </c>
      <c r="I160" s="155" t="s">
        <v>2658</v>
      </c>
      <c r="J160" s="259" t="s">
        <v>50</v>
      </c>
      <c r="K160" s="259" t="s">
        <v>482</v>
      </c>
      <c r="L160" s="259" t="s">
        <v>51</v>
      </c>
      <c r="M160" s="259" t="s">
        <v>13</v>
      </c>
      <c r="N160" s="259" t="s">
        <v>10</v>
      </c>
      <c r="O160" s="259" t="s">
        <v>1372</v>
      </c>
      <c r="P160" s="259" t="s">
        <v>16</v>
      </c>
      <c r="Q160" s="259" t="s">
        <v>952</v>
      </c>
      <c r="R160" s="259" t="s">
        <v>51</v>
      </c>
      <c r="S160" s="263"/>
      <c r="T160" s="264" t="s">
        <v>1977</v>
      </c>
      <c r="U160" s="259" t="s">
        <v>55</v>
      </c>
      <c r="V160" s="261" t="s">
        <v>2277</v>
      </c>
      <c r="W160" s="259" t="s">
        <v>2278</v>
      </c>
      <c r="X160" s="264" t="s">
        <v>964</v>
      </c>
      <c r="Y160" s="265" t="s">
        <v>1159</v>
      </c>
      <c r="Z160" s="257" t="s">
        <v>2284</v>
      </c>
      <c r="AA160" s="257">
        <v>4</v>
      </c>
      <c r="AB160" s="261" t="s">
        <v>488</v>
      </c>
      <c r="AC160" s="261" t="s">
        <v>489</v>
      </c>
      <c r="AD160" s="261" t="s">
        <v>490</v>
      </c>
      <c r="AE160" s="261" t="s">
        <v>491</v>
      </c>
      <c r="AF160" s="261" t="s">
        <v>492</v>
      </c>
      <c r="AG160" s="261" t="s">
        <v>493</v>
      </c>
      <c r="AH160" s="261" t="s">
        <v>494</v>
      </c>
      <c r="AI160" s="261" t="s">
        <v>495</v>
      </c>
    </row>
    <row r="161" spans="1:35" ht="57.6" x14ac:dyDescent="0.3">
      <c r="A161" s="77">
        <v>115</v>
      </c>
      <c r="B161" s="77" t="str">
        <f t="shared" si="20"/>
        <v>Y</v>
      </c>
      <c r="C161" s="77" t="s">
        <v>45</v>
      </c>
      <c r="D161" s="77" t="s">
        <v>1824</v>
      </c>
      <c r="E161" s="84" t="s">
        <v>1825</v>
      </c>
      <c r="F161" s="80" t="s">
        <v>673</v>
      </c>
      <c r="G161" s="96" t="s">
        <v>1170</v>
      </c>
      <c r="H161" s="77">
        <v>200</v>
      </c>
      <c r="I161" s="21"/>
      <c r="J161" s="294" t="s">
        <v>50</v>
      </c>
      <c r="K161" s="294" t="s">
        <v>482</v>
      </c>
      <c r="L161" s="294" t="s">
        <v>51</v>
      </c>
      <c r="M161" s="294" t="s">
        <v>13</v>
      </c>
      <c r="N161" s="294" t="s">
        <v>10</v>
      </c>
      <c r="O161" s="294" t="s">
        <v>1372</v>
      </c>
      <c r="P161" s="294" t="s">
        <v>16</v>
      </c>
      <c r="Q161" s="294" t="s">
        <v>952</v>
      </c>
      <c r="R161" s="294" t="s">
        <v>51</v>
      </c>
      <c r="S161" s="295"/>
      <c r="T161" s="294" t="s">
        <v>484</v>
      </c>
      <c r="U161" s="294" t="s">
        <v>55</v>
      </c>
      <c r="V161" s="296" t="s">
        <v>2277</v>
      </c>
      <c r="W161" s="294" t="s">
        <v>2278</v>
      </c>
      <c r="X161" s="296" t="s">
        <v>486</v>
      </c>
      <c r="Y161" s="297" t="s">
        <v>2279</v>
      </c>
      <c r="Z161" s="296" t="s">
        <v>955</v>
      </c>
      <c r="AA161" s="294">
        <v>1</v>
      </c>
      <c r="AB161" s="296" t="s">
        <v>488</v>
      </c>
      <c r="AC161" s="296" t="s">
        <v>489</v>
      </c>
      <c r="AD161" s="296" t="s">
        <v>490</v>
      </c>
      <c r="AE161" s="296" t="s">
        <v>491</v>
      </c>
      <c r="AF161" s="296" t="s">
        <v>492</v>
      </c>
      <c r="AG161" s="296" t="s">
        <v>493</v>
      </c>
      <c r="AH161" s="296" t="s">
        <v>494</v>
      </c>
      <c r="AI161" s="296" t="s">
        <v>495</v>
      </c>
    </row>
    <row r="162" spans="1:35" ht="57.6" x14ac:dyDescent="0.3">
      <c r="A162" s="77">
        <v>116</v>
      </c>
      <c r="B162" s="77" t="str">
        <f t="shared" ref="B162:B168" si="22">C162</f>
        <v>Y</v>
      </c>
      <c r="C162" s="77" t="s">
        <v>45</v>
      </c>
      <c r="D162" s="77" t="s">
        <v>1826</v>
      </c>
      <c r="E162" s="84" t="s">
        <v>1827</v>
      </c>
      <c r="F162" s="80" t="s">
        <v>676</v>
      </c>
      <c r="G162" s="96" t="s">
        <v>1170</v>
      </c>
      <c r="H162" s="77">
        <v>200</v>
      </c>
      <c r="I162" s="21"/>
      <c r="J162" s="294" t="s">
        <v>50</v>
      </c>
      <c r="K162" s="294" t="s">
        <v>482</v>
      </c>
      <c r="L162" s="294" t="s">
        <v>51</v>
      </c>
      <c r="M162" s="294" t="s">
        <v>13</v>
      </c>
      <c r="N162" s="294" t="s">
        <v>10</v>
      </c>
      <c r="O162" s="294" t="s">
        <v>1372</v>
      </c>
      <c r="P162" s="294" t="s">
        <v>16</v>
      </c>
      <c r="Q162" s="294" t="s">
        <v>952</v>
      </c>
      <c r="R162" s="294" t="s">
        <v>51</v>
      </c>
      <c r="S162" s="298"/>
      <c r="T162" s="299" t="s">
        <v>484</v>
      </c>
      <c r="U162" s="294" t="s">
        <v>55</v>
      </c>
      <c r="V162" s="296" t="s">
        <v>2277</v>
      </c>
      <c r="W162" s="294" t="s">
        <v>2278</v>
      </c>
      <c r="X162" s="300" t="s">
        <v>517</v>
      </c>
      <c r="Y162" s="301" t="s">
        <v>2280</v>
      </c>
      <c r="Z162" s="299" t="s">
        <v>955</v>
      </c>
      <c r="AA162" s="299">
        <v>2</v>
      </c>
      <c r="AB162" s="296" t="s">
        <v>488</v>
      </c>
      <c r="AC162" s="296" t="s">
        <v>489</v>
      </c>
      <c r="AD162" s="296" t="s">
        <v>490</v>
      </c>
      <c r="AE162" s="296" t="s">
        <v>491</v>
      </c>
      <c r="AF162" s="296" t="s">
        <v>492</v>
      </c>
      <c r="AG162" s="296" t="s">
        <v>493</v>
      </c>
      <c r="AH162" s="296" t="s">
        <v>494</v>
      </c>
      <c r="AI162" s="296" t="s">
        <v>495</v>
      </c>
    </row>
    <row r="163" spans="1:35" ht="57.6" x14ac:dyDescent="0.3">
      <c r="A163" s="77">
        <v>117</v>
      </c>
      <c r="B163" s="77" t="str">
        <f t="shared" si="22"/>
        <v>Y</v>
      </c>
      <c r="C163" s="77" t="s">
        <v>45</v>
      </c>
      <c r="D163" s="77" t="s">
        <v>1828</v>
      </c>
      <c r="E163" s="84" t="s">
        <v>1829</v>
      </c>
      <c r="F163" s="80" t="s">
        <v>679</v>
      </c>
      <c r="G163" s="96" t="s">
        <v>1170</v>
      </c>
      <c r="H163" s="77">
        <v>200</v>
      </c>
      <c r="I163" s="21"/>
      <c r="J163" s="294" t="s">
        <v>50</v>
      </c>
      <c r="K163" s="294" t="s">
        <v>482</v>
      </c>
      <c r="L163" s="294" t="s">
        <v>51</v>
      </c>
      <c r="M163" s="294" t="s">
        <v>13</v>
      </c>
      <c r="N163" s="294" t="s">
        <v>10</v>
      </c>
      <c r="O163" s="294" t="s">
        <v>1372</v>
      </c>
      <c r="P163" s="294" t="s">
        <v>16</v>
      </c>
      <c r="Q163" s="294" t="s">
        <v>952</v>
      </c>
      <c r="R163" s="294" t="s">
        <v>51</v>
      </c>
      <c r="S163" s="298"/>
      <c r="T163" s="299" t="s">
        <v>520</v>
      </c>
      <c r="U163" s="294" t="s">
        <v>55</v>
      </c>
      <c r="V163" s="296" t="s">
        <v>2277</v>
      </c>
      <c r="W163" s="294" t="s">
        <v>2278</v>
      </c>
      <c r="X163" s="302" t="s">
        <v>2281</v>
      </c>
      <c r="Y163" s="303" t="s">
        <v>2282</v>
      </c>
      <c r="Z163" s="299" t="s">
        <v>2283</v>
      </c>
      <c r="AA163" s="299">
        <v>3</v>
      </c>
      <c r="AB163" s="296" t="s">
        <v>488</v>
      </c>
      <c r="AC163" s="296" t="s">
        <v>489</v>
      </c>
      <c r="AD163" s="296" t="s">
        <v>490</v>
      </c>
      <c r="AE163" s="296" t="s">
        <v>491</v>
      </c>
      <c r="AF163" s="296" t="s">
        <v>492</v>
      </c>
      <c r="AG163" s="296" t="s">
        <v>493</v>
      </c>
      <c r="AH163" s="296" t="s">
        <v>494</v>
      </c>
      <c r="AI163" s="296" t="s">
        <v>495</v>
      </c>
    </row>
    <row r="164" spans="1:35" ht="57.6" x14ac:dyDescent="0.3">
      <c r="A164" s="77">
        <v>118</v>
      </c>
      <c r="B164" s="77" t="str">
        <f t="shared" si="22"/>
        <v>Y</v>
      </c>
      <c r="C164" s="77" t="s">
        <v>45</v>
      </c>
      <c r="D164" s="77" t="s">
        <v>1830</v>
      </c>
      <c r="E164" s="84" t="s">
        <v>1831</v>
      </c>
      <c r="F164" s="80" t="s">
        <v>682</v>
      </c>
      <c r="G164" s="96" t="s">
        <v>1170</v>
      </c>
      <c r="H164" s="77">
        <v>200</v>
      </c>
      <c r="I164" s="21"/>
      <c r="J164" s="294" t="s">
        <v>50</v>
      </c>
      <c r="K164" s="294" t="s">
        <v>482</v>
      </c>
      <c r="L164" s="294" t="s">
        <v>51</v>
      </c>
      <c r="M164" s="294" t="s">
        <v>13</v>
      </c>
      <c r="N164" s="294" t="s">
        <v>10</v>
      </c>
      <c r="O164" s="294" t="s">
        <v>1372</v>
      </c>
      <c r="P164" s="294" t="s">
        <v>16</v>
      </c>
      <c r="Q164" s="294" t="s">
        <v>952</v>
      </c>
      <c r="R164" s="294" t="s">
        <v>51</v>
      </c>
      <c r="S164" s="298"/>
      <c r="T164" s="299" t="s">
        <v>171</v>
      </c>
      <c r="U164" s="294" t="s">
        <v>55</v>
      </c>
      <c r="V164" s="296" t="s">
        <v>2277</v>
      </c>
      <c r="W164" s="294" t="s">
        <v>2278</v>
      </c>
      <c r="X164" s="300" t="s">
        <v>964</v>
      </c>
      <c r="Y164" s="301" t="s">
        <v>1159</v>
      </c>
      <c r="Z164" s="299" t="s">
        <v>2284</v>
      </c>
      <c r="AA164" s="299">
        <v>4</v>
      </c>
      <c r="AB164" s="296" t="s">
        <v>488</v>
      </c>
      <c r="AC164" s="296" t="s">
        <v>489</v>
      </c>
      <c r="AD164" s="296" t="s">
        <v>490</v>
      </c>
      <c r="AE164" s="296" t="s">
        <v>491</v>
      </c>
      <c r="AF164" s="296" t="s">
        <v>492</v>
      </c>
      <c r="AG164" s="296" t="s">
        <v>493</v>
      </c>
      <c r="AH164" s="296" t="s">
        <v>494</v>
      </c>
      <c r="AI164" s="296" t="s">
        <v>495</v>
      </c>
    </row>
    <row r="165" spans="1:35" ht="57.6" x14ac:dyDescent="0.3">
      <c r="A165" s="77">
        <v>119</v>
      </c>
      <c r="B165" s="77" t="str">
        <f t="shared" si="22"/>
        <v>Y</v>
      </c>
      <c r="C165" s="77" t="s">
        <v>45</v>
      </c>
      <c r="D165" s="77" t="s">
        <v>1832</v>
      </c>
      <c r="E165" s="84" t="s">
        <v>1833</v>
      </c>
      <c r="F165" s="80" t="s">
        <v>685</v>
      </c>
      <c r="G165" s="96" t="s">
        <v>564</v>
      </c>
      <c r="H165" s="77">
        <v>200</v>
      </c>
      <c r="I165" s="21"/>
      <c r="J165" s="294" t="s">
        <v>50</v>
      </c>
      <c r="K165" s="294" t="s">
        <v>482</v>
      </c>
      <c r="L165" s="294" t="s">
        <v>51</v>
      </c>
      <c r="M165" s="294" t="s">
        <v>13</v>
      </c>
      <c r="N165" s="294" t="s">
        <v>10</v>
      </c>
      <c r="O165" s="294" t="s">
        <v>1372</v>
      </c>
      <c r="P165" s="294" t="s">
        <v>16</v>
      </c>
      <c r="Q165" s="294" t="s">
        <v>952</v>
      </c>
      <c r="R165" s="294" t="s">
        <v>51</v>
      </c>
      <c r="S165" s="295"/>
      <c r="T165" s="294" t="s">
        <v>484</v>
      </c>
      <c r="U165" s="294" t="s">
        <v>55</v>
      </c>
      <c r="V165" s="296" t="s">
        <v>2277</v>
      </c>
      <c r="W165" s="294" t="s">
        <v>2278</v>
      </c>
      <c r="X165" s="296" t="s">
        <v>486</v>
      </c>
      <c r="Y165" s="297" t="s">
        <v>2279</v>
      </c>
      <c r="Z165" s="296" t="s">
        <v>955</v>
      </c>
      <c r="AA165" s="294">
        <v>1</v>
      </c>
      <c r="AB165" s="296" t="s">
        <v>488</v>
      </c>
      <c r="AC165" s="296" t="s">
        <v>489</v>
      </c>
      <c r="AD165" s="296" t="s">
        <v>490</v>
      </c>
      <c r="AE165" s="296" t="s">
        <v>491</v>
      </c>
      <c r="AF165" s="296" t="s">
        <v>492</v>
      </c>
      <c r="AG165" s="296" t="s">
        <v>493</v>
      </c>
      <c r="AH165" s="296" t="s">
        <v>494</v>
      </c>
      <c r="AI165" s="296" t="s">
        <v>495</v>
      </c>
    </row>
    <row r="166" spans="1:35" ht="57.6" x14ac:dyDescent="0.3">
      <c r="A166" s="77">
        <v>120</v>
      </c>
      <c r="B166" s="77" t="str">
        <f t="shared" si="22"/>
        <v>Y</v>
      </c>
      <c r="C166" s="77" t="s">
        <v>45</v>
      </c>
      <c r="D166" s="77" t="s">
        <v>1834</v>
      </c>
      <c r="E166" s="84" t="s">
        <v>1835</v>
      </c>
      <c r="F166" s="80" t="s">
        <v>688</v>
      </c>
      <c r="G166" s="96" t="s">
        <v>564</v>
      </c>
      <c r="H166" s="77">
        <v>200</v>
      </c>
      <c r="I166" s="21"/>
      <c r="J166" s="294" t="s">
        <v>50</v>
      </c>
      <c r="K166" s="294" t="s">
        <v>482</v>
      </c>
      <c r="L166" s="294" t="s">
        <v>51</v>
      </c>
      <c r="M166" s="294" t="s">
        <v>13</v>
      </c>
      <c r="N166" s="294" t="s">
        <v>10</v>
      </c>
      <c r="O166" s="294" t="s">
        <v>1372</v>
      </c>
      <c r="P166" s="294" t="s">
        <v>16</v>
      </c>
      <c r="Q166" s="294" t="s">
        <v>952</v>
      </c>
      <c r="R166" s="294" t="s">
        <v>51</v>
      </c>
      <c r="S166" s="298"/>
      <c r="T166" s="299" t="s">
        <v>484</v>
      </c>
      <c r="U166" s="294" t="s">
        <v>55</v>
      </c>
      <c r="V166" s="296" t="s">
        <v>2277</v>
      </c>
      <c r="W166" s="294" t="s">
        <v>2278</v>
      </c>
      <c r="X166" s="300" t="s">
        <v>517</v>
      </c>
      <c r="Y166" s="301" t="s">
        <v>2280</v>
      </c>
      <c r="Z166" s="299" t="s">
        <v>955</v>
      </c>
      <c r="AA166" s="299">
        <v>2</v>
      </c>
      <c r="AB166" s="296" t="s">
        <v>488</v>
      </c>
      <c r="AC166" s="296" t="s">
        <v>489</v>
      </c>
      <c r="AD166" s="296" t="s">
        <v>490</v>
      </c>
      <c r="AE166" s="296" t="s">
        <v>491</v>
      </c>
      <c r="AF166" s="296" t="s">
        <v>492</v>
      </c>
      <c r="AG166" s="296" t="s">
        <v>493</v>
      </c>
      <c r="AH166" s="296" t="s">
        <v>494</v>
      </c>
      <c r="AI166" s="296" t="s">
        <v>495</v>
      </c>
    </row>
    <row r="167" spans="1:35" ht="57.6" x14ac:dyDescent="0.3">
      <c r="A167" s="77">
        <v>121</v>
      </c>
      <c r="B167" s="77" t="str">
        <f t="shared" si="22"/>
        <v>Y</v>
      </c>
      <c r="C167" s="77" t="s">
        <v>45</v>
      </c>
      <c r="D167" s="77" t="s">
        <v>1836</v>
      </c>
      <c r="E167" s="84" t="s">
        <v>1837</v>
      </c>
      <c r="F167" s="80" t="s">
        <v>691</v>
      </c>
      <c r="G167" s="96" t="s">
        <v>564</v>
      </c>
      <c r="H167" s="77">
        <v>200</v>
      </c>
      <c r="I167" s="21"/>
      <c r="J167" s="294" t="s">
        <v>50</v>
      </c>
      <c r="K167" s="294" t="s">
        <v>482</v>
      </c>
      <c r="L167" s="294" t="s">
        <v>51</v>
      </c>
      <c r="M167" s="294" t="s">
        <v>13</v>
      </c>
      <c r="N167" s="294" t="s">
        <v>10</v>
      </c>
      <c r="O167" s="294" t="s">
        <v>1372</v>
      </c>
      <c r="P167" s="294" t="s">
        <v>16</v>
      </c>
      <c r="Q167" s="294" t="s">
        <v>952</v>
      </c>
      <c r="R167" s="294" t="s">
        <v>51</v>
      </c>
      <c r="S167" s="298"/>
      <c r="T167" s="299" t="s">
        <v>520</v>
      </c>
      <c r="U167" s="294" t="s">
        <v>55</v>
      </c>
      <c r="V167" s="296" t="s">
        <v>2277</v>
      </c>
      <c r="W167" s="294" t="s">
        <v>2278</v>
      </c>
      <c r="X167" s="302" t="s">
        <v>2281</v>
      </c>
      <c r="Y167" s="303" t="s">
        <v>2282</v>
      </c>
      <c r="Z167" s="299" t="s">
        <v>2283</v>
      </c>
      <c r="AA167" s="299">
        <v>3</v>
      </c>
      <c r="AB167" s="296" t="s">
        <v>488</v>
      </c>
      <c r="AC167" s="296" t="s">
        <v>489</v>
      </c>
      <c r="AD167" s="296" t="s">
        <v>490</v>
      </c>
      <c r="AE167" s="296" t="s">
        <v>491</v>
      </c>
      <c r="AF167" s="296" t="s">
        <v>492</v>
      </c>
      <c r="AG167" s="296" t="s">
        <v>493</v>
      </c>
      <c r="AH167" s="296" t="s">
        <v>494</v>
      </c>
      <c r="AI167" s="296" t="s">
        <v>495</v>
      </c>
    </row>
    <row r="168" spans="1:35" ht="57.6" x14ac:dyDescent="0.3">
      <c r="A168" s="77">
        <v>122</v>
      </c>
      <c r="B168" s="77" t="str">
        <f t="shared" si="22"/>
        <v>Y</v>
      </c>
      <c r="C168" s="77" t="s">
        <v>45</v>
      </c>
      <c r="D168" s="77" t="s">
        <v>1838</v>
      </c>
      <c r="E168" s="84" t="s">
        <v>1839</v>
      </c>
      <c r="F168" s="80" t="s">
        <v>694</v>
      </c>
      <c r="G168" s="96" t="s">
        <v>564</v>
      </c>
      <c r="H168" s="77">
        <v>200</v>
      </c>
      <c r="I168" s="21"/>
      <c r="J168" s="294" t="s">
        <v>50</v>
      </c>
      <c r="K168" s="294" t="s">
        <v>482</v>
      </c>
      <c r="L168" s="294" t="s">
        <v>51</v>
      </c>
      <c r="M168" s="294" t="s">
        <v>13</v>
      </c>
      <c r="N168" s="294" t="s">
        <v>10</v>
      </c>
      <c r="O168" s="294" t="s">
        <v>1372</v>
      </c>
      <c r="P168" s="294" t="s">
        <v>16</v>
      </c>
      <c r="Q168" s="294" t="s">
        <v>952</v>
      </c>
      <c r="R168" s="294" t="s">
        <v>51</v>
      </c>
      <c r="S168" s="298"/>
      <c r="T168" s="299" t="s">
        <v>171</v>
      </c>
      <c r="U168" s="294" t="s">
        <v>55</v>
      </c>
      <c r="V168" s="296" t="s">
        <v>2277</v>
      </c>
      <c r="W168" s="294" t="s">
        <v>2278</v>
      </c>
      <c r="X168" s="300" t="s">
        <v>964</v>
      </c>
      <c r="Y168" s="301" t="s">
        <v>1159</v>
      </c>
      <c r="Z168" s="299" t="s">
        <v>2284</v>
      </c>
      <c r="AA168" s="299">
        <v>4</v>
      </c>
      <c r="AB168" s="296" t="s">
        <v>488</v>
      </c>
      <c r="AC168" s="296" t="s">
        <v>489</v>
      </c>
      <c r="AD168" s="296" t="s">
        <v>490</v>
      </c>
      <c r="AE168" s="296" t="s">
        <v>491</v>
      </c>
      <c r="AF168" s="296" t="s">
        <v>492</v>
      </c>
      <c r="AG168" s="296" t="s">
        <v>493</v>
      </c>
      <c r="AH168" s="296" t="s">
        <v>494</v>
      </c>
      <c r="AI168" s="296" t="s">
        <v>495</v>
      </c>
    </row>
    <row r="169" spans="1:35" ht="288" x14ac:dyDescent="0.3">
      <c r="A169" s="77">
        <v>123</v>
      </c>
      <c r="B169" s="305" t="str">
        <f t="shared" si="20"/>
        <v>N</v>
      </c>
      <c r="C169" s="305" t="s">
        <v>113</v>
      </c>
      <c r="D169" s="305" t="s">
        <v>1840</v>
      </c>
      <c r="E169" s="306" t="s">
        <v>1841</v>
      </c>
      <c r="F169" s="307" t="s">
        <v>697</v>
      </c>
      <c r="G169" s="308" t="s">
        <v>698</v>
      </c>
      <c r="H169" s="309"/>
      <c r="I169" s="310"/>
      <c r="J169" s="305"/>
      <c r="K169" s="309"/>
      <c r="L169" s="307"/>
      <c r="M169" s="307"/>
      <c r="N169" s="307"/>
      <c r="O169" s="309"/>
      <c r="P169" s="309"/>
      <c r="Q169" s="309"/>
      <c r="R169" s="309"/>
      <c r="S169" s="309"/>
      <c r="T169" s="305"/>
      <c r="U169" s="307"/>
      <c r="V169" s="305"/>
      <c r="W169" s="305"/>
      <c r="X169" s="305"/>
      <c r="Y169" s="311"/>
      <c r="Z169" s="305"/>
      <c r="AA169" s="305"/>
      <c r="AB169" s="305"/>
      <c r="AC169" s="305"/>
      <c r="AD169" s="305"/>
      <c r="AE169" s="305"/>
      <c r="AF169" s="305"/>
      <c r="AG169" s="305"/>
      <c r="AH169" s="305"/>
      <c r="AI169" s="305"/>
    </row>
    <row r="170" spans="1:35" ht="201.6" x14ac:dyDescent="0.3">
      <c r="A170" s="77">
        <v>124</v>
      </c>
      <c r="B170" s="305" t="str">
        <f t="shared" si="20"/>
        <v>N</v>
      </c>
      <c r="C170" s="305" t="s">
        <v>113</v>
      </c>
      <c r="D170" s="305" t="s">
        <v>1842</v>
      </c>
      <c r="E170" s="306" t="s">
        <v>1843</v>
      </c>
      <c r="F170" s="307" t="s">
        <v>707</v>
      </c>
      <c r="G170" s="308" t="s">
        <v>708</v>
      </c>
      <c r="H170" s="309"/>
      <c r="I170" s="310"/>
      <c r="J170" s="305"/>
      <c r="K170" s="309"/>
      <c r="L170" s="307"/>
      <c r="M170" s="307"/>
      <c r="N170" s="307"/>
      <c r="O170" s="309"/>
      <c r="P170" s="309"/>
      <c r="Q170" s="309"/>
      <c r="R170" s="309"/>
      <c r="S170" s="309"/>
      <c r="T170" s="305"/>
      <c r="U170" s="307"/>
      <c r="V170" s="305"/>
      <c r="W170" s="305"/>
      <c r="X170" s="305"/>
      <c r="Y170" s="311"/>
      <c r="Z170" s="305"/>
      <c r="AA170" s="305"/>
      <c r="AB170" s="305"/>
      <c r="AC170" s="305"/>
      <c r="AD170" s="305"/>
      <c r="AE170" s="305"/>
      <c r="AF170" s="305"/>
      <c r="AG170" s="305"/>
      <c r="AH170" s="305"/>
      <c r="AI170" s="305"/>
    </row>
    <row r="171" spans="1:35" ht="57.6" x14ac:dyDescent="0.3">
      <c r="A171" s="77">
        <v>125</v>
      </c>
      <c r="B171" s="305" t="str">
        <f t="shared" si="20"/>
        <v>N</v>
      </c>
      <c r="C171" s="305" t="s">
        <v>113</v>
      </c>
      <c r="D171" s="305" t="s">
        <v>1844</v>
      </c>
      <c r="E171" s="306" t="s">
        <v>1845</v>
      </c>
      <c r="F171" s="307" t="s">
        <v>716</v>
      </c>
      <c r="G171" s="308" t="s">
        <v>717</v>
      </c>
      <c r="H171" s="309"/>
      <c r="I171" s="310"/>
      <c r="J171" s="305"/>
      <c r="K171" s="309"/>
      <c r="L171" s="307"/>
      <c r="M171" s="307"/>
      <c r="N171" s="307"/>
      <c r="O171" s="309"/>
      <c r="P171" s="309"/>
      <c r="Q171" s="309"/>
      <c r="R171" s="309"/>
      <c r="S171" s="309"/>
      <c r="T171" s="305"/>
      <c r="U171" s="307"/>
      <c r="V171" s="305"/>
      <c r="W171" s="305"/>
      <c r="X171" s="305"/>
      <c r="Y171" s="311"/>
      <c r="Z171" s="305"/>
      <c r="AA171" s="305"/>
      <c r="AB171" s="305"/>
      <c r="AC171" s="305"/>
      <c r="AD171" s="305"/>
      <c r="AE171" s="305"/>
      <c r="AF171" s="305"/>
      <c r="AG171" s="305"/>
      <c r="AH171" s="305"/>
      <c r="AI171" s="305"/>
    </row>
    <row r="172" spans="1:35" ht="57.6" x14ac:dyDescent="0.3">
      <c r="A172" s="77">
        <v>126</v>
      </c>
      <c r="B172" s="305" t="str">
        <f t="shared" si="20"/>
        <v>N</v>
      </c>
      <c r="C172" s="305" t="s">
        <v>113</v>
      </c>
      <c r="D172" s="305" t="s">
        <v>1846</v>
      </c>
      <c r="E172" s="306" t="s">
        <v>1847</v>
      </c>
      <c r="F172" s="307" t="s">
        <v>1197</v>
      </c>
      <c r="G172" s="308" t="s">
        <v>1198</v>
      </c>
      <c r="H172" s="309"/>
      <c r="I172" s="310"/>
      <c r="J172" s="305"/>
      <c r="K172" s="309"/>
      <c r="L172" s="307"/>
      <c r="M172" s="307"/>
      <c r="N172" s="307"/>
      <c r="O172" s="309"/>
      <c r="P172" s="309"/>
      <c r="Q172" s="309"/>
      <c r="R172" s="309"/>
      <c r="S172" s="309"/>
      <c r="T172" s="305"/>
      <c r="U172" s="307"/>
      <c r="V172" s="305"/>
      <c r="W172" s="305"/>
      <c r="X172" s="305"/>
      <c r="Y172" s="311"/>
      <c r="Z172" s="305"/>
      <c r="AA172" s="305"/>
      <c r="AB172" s="305"/>
      <c r="AC172" s="305"/>
      <c r="AD172" s="305"/>
      <c r="AE172" s="305"/>
      <c r="AF172" s="305"/>
      <c r="AG172" s="305"/>
      <c r="AH172" s="305"/>
      <c r="AI172" s="305"/>
    </row>
    <row r="173" spans="1:35" ht="57.6" x14ac:dyDescent="0.3">
      <c r="A173" s="77">
        <v>127</v>
      </c>
      <c r="B173" s="77" t="str">
        <f t="shared" si="20"/>
        <v>Y</v>
      </c>
      <c r="C173" s="77" t="s">
        <v>45</v>
      </c>
      <c r="D173" s="77" t="s">
        <v>2470</v>
      </c>
      <c r="E173" s="84" t="s">
        <v>2474</v>
      </c>
      <c r="F173" s="80" t="s">
        <v>1201</v>
      </c>
      <c r="G173" s="96" t="s">
        <v>1202</v>
      </c>
      <c r="H173" s="77">
        <v>200</v>
      </c>
      <c r="J173" s="259" t="s">
        <v>50</v>
      </c>
      <c r="K173" s="259" t="s">
        <v>482</v>
      </c>
      <c r="L173" s="259" t="s">
        <v>51</v>
      </c>
      <c r="M173" s="259" t="s">
        <v>13</v>
      </c>
      <c r="N173" s="259" t="s">
        <v>10</v>
      </c>
      <c r="O173" s="259" t="s">
        <v>1372</v>
      </c>
      <c r="P173" s="259" t="s">
        <v>16</v>
      </c>
      <c r="Q173" s="259" t="s">
        <v>952</v>
      </c>
      <c r="R173" s="259" t="s">
        <v>51</v>
      </c>
      <c r="S173" s="260"/>
      <c r="T173" s="259" t="s">
        <v>484</v>
      </c>
      <c r="U173" s="259" t="s">
        <v>55</v>
      </c>
      <c r="V173" s="261" t="s">
        <v>2277</v>
      </c>
      <c r="W173" s="259" t="s">
        <v>2278</v>
      </c>
      <c r="X173" s="261" t="s">
        <v>486</v>
      </c>
      <c r="Y173" s="262" t="s">
        <v>2279</v>
      </c>
      <c r="Z173" s="261" t="s">
        <v>955</v>
      </c>
      <c r="AA173" s="259">
        <v>1</v>
      </c>
      <c r="AB173" s="261" t="s">
        <v>488</v>
      </c>
      <c r="AC173" s="261" t="s">
        <v>489</v>
      </c>
      <c r="AD173" s="261" t="s">
        <v>490</v>
      </c>
      <c r="AE173" s="261" t="s">
        <v>491</v>
      </c>
      <c r="AF173" s="261" t="s">
        <v>492</v>
      </c>
      <c r="AG173" s="261" t="s">
        <v>493</v>
      </c>
      <c r="AH173" s="261" t="s">
        <v>494</v>
      </c>
      <c r="AI173" s="261" t="s">
        <v>495</v>
      </c>
    </row>
    <row r="174" spans="1:35" ht="57.6" x14ac:dyDescent="0.3">
      <c r="A174" s="77"/>
      <c r="B174" s="77" t="str">
        <f t="shared" ref="B174:B176" si="23">C174</f>
        <v>Y</v>
      </c>
      <c r="C174" s="77" t="s">
        <v>45</v>
      </c>
      <c r="D174" s="77" t="s">
        <v>2471</v>
      </c>
      <c r="E174" s="84" t="s">
        <v>2475</v>
      </c>
      <c r="F174" s="80" t="s">
        <v>1201</v>
      </c>
      <c r="G174" s="96" t="s">
        <v>1202</v>
      </c>
      <c r="H174" s="77">
        <v>200</v>
      </c>
      <c r="J174" s="259" t="s">
        <v>50</v>
      </c>
      <c r="K174" s="259" t="s">
        <v>482</v>
      </c>
      <c r="L174" s="259" t="s">
        <v>51</v>
      </c>
      <c r="M174" s="259" t="s">
        <v>13</v>
      </c>
      <c r="N174" s="259" t="s">
        <v>10</v>
      </c>
      <c r="O174" s="259" t="s">
        <v>1372</v>
      </c>
      <c r="P174" s="259" t="s">
        <v>16</v>
      </c>
      <c r="Q174" s="259" t="s">
        <v>952</v>
      </c>
      <c r="R174" s="259" t="s">
        <v>51</v>
      </c>
      <c r="S174" s="263"/>
      <c r="T174" s="257" t="s">
        <v>484</v>
      </c>
      <c r="U174" s="259" t="s">
        <v>55</v>
      </c>
      <c r="V174" s="261" t="s">
        <v>2277</v>
      </c>
      <c r="W174" s="259" t="s">
        <v>2278</v>
      </c>
      <c r="X174" s="264" t="s">
        <v>517</v>
      </c>
      <c r="Y174" s="265" t="s">
        <v>2280</v>
      </c>
      <c r="Z174" s="257" t="s">
        <v>955</v>
      </c>
      <c r="AA174" s="257">
        <v>2</v>
      </c>
      <c r="AB174" s="261" t="s">
        <v>488</v>
      </c>
      <c r="AC174" s="261" t="s">
        <v>489</v>
      </c>
      <c r="AD174" s="261" t="s">
        <v>490</v>
      </c>
      <c r="AE174" s="261" t="s">
        <v>491</v>
      </c>
      <c r="AF174" s="261" t="s">
        <v>492</v>
      </c>
      <c r="AG174" s="261" t="s">
        <v>493</v>
      </c>
      <c r="AH174" s="261" t="s">
        <v>494</v>
      </c>
      <c r="AI174" s="261" t="s">
        <v>495</v>
      </c>
    </row>
    <row r="175" spans="1:35" ht="57.6" x14ac:dyDescent="0.3">
      <c r="A175" s="77"/>
      <c r="B175" s="77" t="str">
        <f t="shared" si="23"/>
        <v>Y</v>
      </c>
      <c r="C175" s="77" t="s">
        <v>45</v>
      </c>
      <c r="D175" s="77" t="s">
        <v>2472</v>
      </c>
      <c r="E175" s="84" t="s">
        <v>2476</v>
      </c>
      <c r="F175" s="80" t="s">
        <v>1201</v>
      </c>
      <c r="G175" s="96" t="s">
        <v>1202</v>
      </c>
      <c r="H175" s="77">
        <v>200</v>
      </c>
      <c r="J175" s="259" t="s">
        <v>50</v>
      </c>
      <c r="K175" s="259" t="s">
        <v>482</v>
      </c>
      <c r="L175" s="259" t="s">
        <v>51</v>
      </c>
      <c r="M175" s="259" t="s">
        <v>13</v>
      </c>
      <c r="N175" s="259" t="s">
        <v>10</v>
      </c>
      <c r="O175" s="259" t="s">
        <v>1372</v>
      </c>
      <c r="P175" s="259" t="s">
        <v>16</v>
      </c>
      <c r="Q175" s="259" t="s">
        <v>952</v>
      </c>
      <c r="R175" s="259" t="s">
        <v>51</v>
      </c>
      <c r="S175" s="263"/>
      <c r="T175" s="257" t="s">
        <v>520</v>
      </c>
      <c r="U175" s="259" t="s">
        <v>55</v>
      </c>
      <c r="V175" s="261" t="s">
        <v>2277</v>
      </c>
      <c r="W175" s="259" t="s">
        <v>2278</v>
      </c>
      <c r="X175" s="266" t="s">
        <v>2281</v>
      </c>
      <c r="Y175" s="267" t="s">
        <v>2282</v>
      </c>
      <c r="Z175" s="257" t="s">
        <v>2283</v>
      </c>
      <c r="AA175" s="257">
        <v>3</v>
      </c>
      <c r="AB175" s="261" t="s">
        <v>488</v>
      </c>
      <c r="AC175" s="261" t="s">
        <v>489</v>
      </c>
      <c r="AD175" s="261" t="s">
        <v>490</v>
      </c>
      <c r="AE175" s="261" t="s">
        <v>491</v>
      </c>
      <c r="AF175" s="261" t="s">
        <v>492</v>
      </c>
      <c r="AG175" s="261" t="s">
        <v>493</v>
      </c>
      <c r="AH175" s="261" t="s">
        <v>494</v>
      </c>
      <c r="AI175" s="261" t="s">
        <v>495</v>
      </c>
    </row>
    <row r="176" spans="1:35" ht="57.6" x14ac:dyDescent="0.3">
      <c r="A176" s="77"/>
      <c r="B176" s="77" t="str">
        <f t="shared" si="23"/>
        <v>Y</v>
      </c>
      <c r="C176" s="77" t="s">
        <v>45</v>
      </c>
      <c r="D176" s="77" t="s">
        <v>2473</v>
      </c>
      <c r="E176" s="84" t="s">
        <v>2477</v>
      </c>
      <c r="F176" s="80" t="s">
        <v>1201</v>
      </c>
      <c r="G176" s="96" t="s">
        <v>1202</v>
      </c>
      <c r="H176" s="77">
        <v>200</v>
      </c>
      <c r="J176" s="259" t="s">
        <v>50</v>
      </c>
      <c r="K176" s="259" t="s">
        <v>482</v>
      </c>
      <c r="L176" s="259" t="s">
        <v>51</v>
      </c>
      <c r="M176" s="259" t="s">
        <v>13</v>
      </c>
      <c r="N176" s="259" t="s">
        <v>10</v>
      </c>
      <c r="O176" s="259" t="s">
        <v>1372</v>
      </c>
      <c r="P176" s="259" t="s">
        <v>16</v>
      </c>
      <c r="Q176" s="259" t="s">
        <v>952</v>
      </c>
      <c r="R176" s="259" t="s">
        <v>51</v>
      </c>
      <c r="S176" s="263"/>
      <c r="T176" s="257" t="s">
        <v>171</v>
      </c>
      <c r="U176" s="259" t="s">
        <v>55</v>
      </c>
      <c r="V176" s="261" t="s">
        <v>2277</v>
      </c>
      <c r="W176" s="259" t="s">
        <v>2278</v>
      </c>
      <c r="X176" s="264" t="s">
        <v>964</v>
      </c>
      <c r="Y176" s="265" t="s">
        <v>1159</v>
      </c>
      <c r="Z176" s="257" t="s">
        <v>2284</v>
      </c>
      <c r="AA176" s="257">
        <v>4</v>
      </c>
      <c r="AB176" s="261" t="s">
        <v>488</v>
      </c>
      <c r="AC176" s="261" t="s">
        <v>489</v>
      </c>
      <c r="AD176" s="261" t="s">
        <v>490</v>
      </c>
      <c r="AE176" s="261" t="s">
        <v>491</v>
      </c>
      <c r="AF176" s="261" t="s">
        <v>492</v>
      </c>
      <c r="AG176" s="261" t="s">
        <v>493</v>
      </c>
      <c r="AH176" s="261" t="s">
        <v>494</v>
      </c>
      <c r="AI176" s="261" t="s">
        <v>495</v>
      </c>
    </row>
    <row r="177" spans="1:35" ht="86.4" x14ac:dyDescent="0.3">
      <c r="A177" s="77">
        <v>128</v>
      </c>
      <c r="B177" s="305" t="str">
        <f t="shared" si="20"/>
        <v>N</v>
      </c>
      <c r="C177" s="305" t="s">
        <v>113</v>
      </c>
      <c r="D177" s="305" t="s">
        <v>1848</v>
      </c>
      <c r="E177" s="306" t="s">
        <v>1849</v>
      </c>
      <c r="F177" s="307" t="s">
        <v>1205</v>
      </c>
      <c r="G177" s="308" t="s">
        <v>1850</v>
      </c>
      <c r="H177" s="309"/>
      <c r="I177" s="310"/>
      <c r="J177" s="305"/>
      <c r="K177" s="309"/>
      <c r="L177" s="307"/>
      <c r="M177" s="307"/>
      <c r="N177" s="307"/>
      <c r="O177" s="309"/>
      <c r="P177" s="309"/>
      <c r="Q177" s="309"/>
      <c r="R177" s="309"/>
      <c r="S177" s="309"/>
      <c r="T177" s="305"/>
      <c r="U177" s="307"/>
      <c r="V177" s="305"/>
      <c r="W177" s="305"/>
      <c r="X177" s="305"/>
      <c r="Y177" s="311"/>
      <c r="Z177" s="305"/>
      <c r="AA177" s="305"/>
      <c r="AB177" s="305"/>
      <c r="AC177" s="305"/>
      <c r="AD177" s="305"/>
      <c r="AE177" s="305"/>
      <c r="AF177" s="305"/>
      <c r="AG177" s="305"/>
      <c r="AH177" s="305"/>
      <c r="AI177" s="305"/>
    </row>
    <row r="178" spans="1:35" ht="57.6" x14ac:dyDescent="0.3">
      <c r="A178" s="77">
        <v>129</v>
      </c>
      <c r="B178" s="305" t="str">
        <f t="shared" si="20"/>
        <v>N</v>
      </c>
      <c r="C178" s="305" t="s">
        <v>113</v>
      </c>
      <c r="D178" s="305" t="s">
        <v>1851</v>
      </c>
      <c r="E178" s="306" t="s">
        <v>1852</v>
      </c>
      <c r="F178" s="307" t="s">
        <v>1209</v>
      </c>
      <c r="G178" s="308" t="s">
        <v>1210</v>
      </c>
      <c r="H178" s="309"/>
      <c r="I178" s="310"/>
      <c r="J178" s="305"/>
      <c r="K178" s="309"/>
      <c r="L178" s="307"/>
      <c r="M178" s="307"/>
      <c r="N178" s="307"/>
      <c r="O178" s="309"/>
      <c r="P178" s="309"/>
      <c r="Q178" s="309"/>
      <c r="R178" s="309"/>
      <c r="S178" s="309"/>
      <c r="T178" s="305"/>
      <c r="U178" s="307"/>
      <c r="V178" s="305"/>
      <c r="W178" s="305"/>
      <c r="X178" s="305"/>
      <c r="Y178" s="311"/>
      <c r="Z178" s="305"/>
      <c r="AA178" s="305"/>
      <c r="AB178" s="305"/>
      <c r="AC178" s="305"/>
      <c r="AD178" s="305"/>
      <c r="AE178" s="305"/>
      <c r="AF178" s="305"/>
      <c r="AG178" s="305"/>
      <c r="AH178" s="305"/>
      <c r="AI178" s="305"/>
    </row>
    <row r="179" spans="1:35" ht="72" x14ac:dyDescent="0.3">
      <c r="A179" s="77">
        <v>130</v>
      </c>
      <c r="B179" s="77" t="str">
        <f t="shared" ref="B179:B303" si="24">C179</f>
        <v>Y</v>
      </c>
      <c r="C179" s="77" t="s">
        <v>45</v>
      </c>
      <c r="D179" s="77" t="s">
        <v>2478</v>
      </c>
      <c r="E179" s="84" t="s">
        <v>2482</v>
      </c>
      <c r="F179" s="80" t="s">
        <v>1213</v>
      </c>
      <c r="G179" s="96" t="s">
        <v>1214</v>
      </c>
      <c r="H179" s="77">
        <v>200</v>
      </c>
      <c r="J179" s="259" t="s">
        <v>50</v>
      </c>
      <c r="K179" s="259" t="s">
        <v>482</v>
      </c>
      <c r="L179" s="259" t="s">
        <v>51</v>
      </c>
      <c r="M179" s="259" t="s">
        <v>13</v>
      </c>
      <c r="N179" s="259" t="s">
        <v>10</v>
      </c>
      <c r="O179" s="259" t="s">
        <v>1372</v>
      </c>
      <c r="P179" s="259" t="s">
        <v>16</v>
      </c>
      <c r="Q179" s="259" t="s">
        <v>952</v>
      </c>
      <c r="R179" s="259" t="s">
        <v>51</v>
      </c>
      <c r="S179" s="260"/>
      <c r="T179" s="259" t="s">
        <v>484</v>
      </c>
      <c r="U179" s="259" t="s">
        <v>55</v>
      </c>
      <c r="V179" s="261" t="s">
        <v>2277</v>
      </c>
      <c r="W179" s="259" t="s">
        <v>2278</v>
      </c>
      <c r="X179" s="261" t="s">
        <v>486</v>
      </c>
      <c r="Y179" s="262" t="s">
        <v>2279</v>
      </c>
      <c r="Z179" s="261" t="s">
        <v>955</v>
      </c>
      <c r="AA179" s="261" t="s">
        <v>2409</v>
      </c>
      <c r="AB179" s="261" t="s">
        <v>488</v>
      </c>
      <c r="AC179" s="261" t="s">
        <v>489</v>
      </c>
      <c r="AD179" s="261" t="s">
        <v>490</v>
      </c>
      <c r="AE179" s="261" t="s">
        <v>491</v>
      </c>
      <c r="AF179" s="261" t="s">
        <v>492</v>
      </c>
      <c r="AG179" s="261" t="s">
        <v>493</v>
      </c>
      <c r="AH179" s="261" t="s">
        <v>494</v>
      </c>
      <c r="AI179" s="261" t="s">
        <v>495</v>
      </c>
    </row>
    <row r="180" spans="1:35" ht="72" x14ac:dyDescent="0.3">
      <c r="A180" s="77"/>
      <c r="B180" s="77" t="str">
        <f t="shared" ref="B180:B182" si="25">C180</f>
        <v>Y</v>
      </c>
      <c r="C180" s="77" t="s">
        <v>45</v>
      </c>
      <c r="D180" s="77" t="s">
        <v>2479</v>
      </c>
      <c r="E180" s="84" t="s">
        <v>2483</v>
      </c>
      <c r="F180" s="80" t="s">
        <v>1213</v>
      </c>
      <c r="G180" s="96" t="s">
        <v>1214</v>
      </c>
      <c r="H180" s="77">
        <v>200</v>
      </c>
      <c r="J180" s="259" t="s">
        <v>50</v>
      </c>
      <c r="K180" s="259" t="s">
        <v>482</v>
      </c>
      <c r="L180" s="259" t="s">
        <v>51</v>
      </c>
      <c r="M180" s="259" t="s">
        <v>13</v>
      </c>
      <c r="N180" s="259" t="s">
        <v>10</v>
      </c>
      <c r="O180" s="259" t="s">
        <v>1372</v>
      </c>
      <c r="P180" s="259" t="s">
        <v>16</v>
      </c>
      <c r="Q180" s="259" t="s">
        <v>952</v>
      </c>
      <c r="R180" s="259" t="s">
        <v>51</v>
      </c>
      <c r="S180" s="263"/>
      <c r="T180" s="257" t="s">
        <v>484</v>
      </c>
      <c r="U180" s="259" t="s">
        <v>55</v>
      </c>
      <c r="V180" s="261" t="s">
        <v>2277</v>
      </c>
      <c r="W180" s="259" t="s">
        <v>2278</v>
      </c>
      <c r="X180" s="264" t="s">
        <v>517</v>
      </c>
      <c r="Y180" s="265" t="s">
        <v>2280</v>
      </c>
      <c r="Z180" s="257" t="s">
        <v>955</v>
      </c>
      <c r="AA180" s="261" t="s">
        <v>2409</v>
      </c>
      <c r="AB180" s="261" t="s">
        <v>488</v>
      </c>
      <c r="AC180" s="261" t="s">
        <v>489</v>
      </c>
      <c r="AD180" s="261" t="s">
        <v>490</v>
      </c>
      <c r="AE180" s="261" t="s">
        <v>491</v>
      </c>
      <c r="AF180" s="261" t="s">
        <v>492</v>
      </c>
      <c r="AG180" s="261" t="s">
        <v>493</v>
      </c>
      <c r="AH180" s="261" t="s">
        <v>494</v>
      </c>
      <c r="AI180" s="261" t="s">
        <v>495</v>
      </c>
    </row>
    <row r="181" spans="1:35" ht="72" x14ac:dyDescent="0.3">
      <c r="A181" s="77"/>
      <c r="B181" s="77" t="str">
        <f t="shared" si="25"/>
        <v>Y</v>
      </c>
      <c r="C181" s="77" t="s">
        <v>45</v>
      </c>
      <c r="D181" s="77" t="s">
        <v>2480</v>
      </c>
      <c r="E181" s="84" t="s">
        <v>2484</v>
      </c>
      <c r="F181" s="80" t="s">
        <v>1213</v>
      </c>
      <c r="G181" s="96" t="s">
        <v>1214</v>
      </c>
      <c r="H181" s="77">
        <v>200</v>
      </c>
      <c r="J181" s="259" t="s">
        <v>50</v>
      </c>
      <c r="K181" s="259" t="s">
        <v>482</v>
      </c>
      <c r="L181" s="259" t="s">
        <v>51</v>
      </c>
      <c r="M181" s="259" t="s">
        <v>13</v>
      </c>
      <c r="N181" s="259" t="s">
        <v>10</v>
      </c>
      <c r="O181" s="259" t="s">
        <v>1372</v>
      </c>
      <c r="P181" s="259" t="s">
        <v>16</v>
      </c>
      <c r="Q181" s="259" t="s">
        <v>952</v>
      </c>
      <c r="R181" s="259" t="s">
        <v>51</v>
      </c>
      <c r="S181" s="263"/>
      <c r="T181" s="257" t="s">
        <v>520</v>
      </c>
      <c r="U181" s="259" t="s">
        <v>55</v>
      </c>
      <c r="V181" s="261" t="s">
        <v>2277</v>
      </c>
      <c r="W181" s="259" t="s">
        <v>2278</v>
      </c>
      <c r="X181" s="266" t="s">
        <v>2281</v>
      </c>
      <c r="Y181" s="267" t="s">
        <v>2282</v>
      </c>
      <c r="Z181" s="257" t="s">
        <v>2283</v>
      </c>
      <c r="AA181" s="261" t="s">
        <v>2409</v>
      </c>
      <c r="AB181" s="261" t="s">
        <v>488</v>
      </c>
      <c r="AC181" s="261" t="s">
        <v>489</v>
      </c>
      <c r="AD181" s="261" t="s">
        <v>490</v>
      </c>
      <c r="AE181" s="261" t="s">
        <v>491</v>
      </c>
      <c r="AF181" s="261" t="s">
        <v>492</v>
      </c>
      <c r="AG181" s="261" t="s">
        <v>493</v>
      </c>
      <c r="AH181" s="261" t="s">
        <v>494</v>
      </c>
      <c r="AI181" s="261" t="s">
        <v>495</v>
      </c>
    </row>
    <row r="182" spans="1:35" ht="72" x14ac:dyDescent="0.3">
      <c r="A182" s="77"/>
      <c r="B182" s="77" t="str">
        <f t="shared" si="25"/>
        <v>Y</v>
      </c>
      <c r="C182" s="77" t="s">
        <v>45</v>
      </c>
      <c r="D182" s="77" t="s">
        <v>2481</v>
      </c>
      <c r="E182" s="84" t="s">
        <v>2485</v>
      </c>
      <c r="F182" s="80" t="s">
        <v>1213</v>
      </c>
      <c r="G182" s="96" t="s">
        <v>1214</v>
      </c>
      <c r="H182" s="77">
        <v>200</v>
      </c>
      <c r="J182" s="259" t="s">
        <v>50</v>
      </c>
      <c r="K182" s="259" t="s">
        <v>482</v>
      </c>
      <c r="L182" s="259" t="s">
        <v>51</v>
      </c>
      <c r="M182" s="259" t="s">
        <v>13</v>
      </c>
      <c r="N182" s="259" t="s">
        <v>10</v>
      </c>
      <c r="O182" s="259" t="s">
        <v>1372</v>
      </c>
      <c r="P182" s="259" t="s">
        <v>16</v>
      </c>
      <c r="Q182" s="259" t="s">
        <v>952</v>
      </c>
      <c r="R182" s="259" t="s">
        <v>51</v>
      </c>
      <c r="S182" s="263"/>
      <c r="T182" s="257" t="s">
        <v>171</v>
      </c>
      <c r="U182" s="259" t="s">
        <v>55</v>
      </c>
      <c r="V182" s="261" t="s">
        <v>2277</v>
      </c>
      <c r="W182" s="259" t="s">
        <v>2278</v>
      </c>
      <c r="X182" s="264" t="s">
        <v>964</v>
      </c>
      <c r="Y182" s="265" t="s">
        <v>1159</v>
      </c>
      <c r="Z182" s="257" t="s">
        <v>2284</v>
      </c>
      <c r="AA182" s="261" t="s">
        <v>2409</v>
      </c>
      <c r="AB182" s="261" t="s">
        <v>488</v>
      </c>
      <c r="AC182" s="261" t="s">
        <v>489</v>
      </c>
      <c r="AD182" s="261" t="s">
        <v>490</v>
      </c>
      <c r="AE182" s="261" t="s">
        <v>491</v>
      </c>
      <c r="AF182" s="261" t="s">
        <v>492</v>
      </c>
      <c r="AG182" s="261" t="s">
        <v>493</v>
      </c>
      <c r="AH182" s="261" t="s">
        <v>494</v>
      </c>
      <c r="AI182" s="261" t="s">
        <v>495</v>
      </c>
    </row>
    <row r="183" spans="1:35" ht="53.4" customHeight="1" x14ac:dyDescent="0.3">
      <c r="A183" s="77">
        <v>131</v>
      </c>
      <c r="B183" s="312" t="str">
        <f t="shared" si="24"/>
        <v>N</v>
      </c>
      <c r="C183" s="312" t="s">
        <v>113</v>
      </c>
      <c r="D183" s="312" t="s">
        <v>1853</v>
      </c>
      <c r="E183" s="313" t="s">
        <v>1854</v>
      </c>
      <c r="F183" s="314" t="s">
        <v>1855</v>
      </c>
      <c r="G183" s="315" t="s">
        <v>1856</v>
      </c>
      <c r="H183" s="316"/>
      <c r="I183" s="251"/>
      <c r="J183" s="312"/>
      <c r="K183" s="316"/>
      <c r="L183" s="314"/>
      <c r="M183" s="314"/>
      <c r="N183" s="314"/>
      <c r="O183" s="316"/>
      <c r="P183" s="316"/>
      <c r="Q183" s="316"/>
      <c r="R183" s="316"/>
      <c r="S183" s="316"/>
      <c r="T183" s="312"/>
      <c r="U183" s="314"/>
      <c r="V183" s="312"/>
      <c r="W183" s="312"/>
      <c r="X183" s="312"/>
      <c r="Y183" s="317"/>
      <c r="Z183" s="312"/>
      <c r="AA183" s="312"/>
      <c r="AB183" s="312"/>
      <c r="AC183" s="312"/>
      <c r="AD183" s="312"/>
      <c r="AE183" s="312"/>
      <c r="AF183" s="312"/>
      <c r="AG183" s="312"/>
      <c r="AH183" s="312"/>
      <c r="AI183" s="312"/>
    </row>
    <row r="184" spans="1:35" ht="57.6" x14ac:dyDescent="0.3">
      <c r="A184" s="77">
        <v>132</v>
      </c>
      <c r="B184" s="312" t="str">
        <f t="shared" si="24"/>
        <v>N</v>
      </c>
      <c r="C184" s="312" t="s">
        <v>113</v>
      </c>
      <c r="D184" s="312" t="s">
        <v>1857</v>
      </c>
      <c r="E184" s="313" t="s">
        <v>1858</v>
      </c>
      <c r="F184" s="314" t="s">
        <v>1859</v>
      </c>
      <c r="G184" s="315" t="s">
        <v>1860</v>
      </c>
      <c r="H184" s="316"/>
      <c r="I184" s="251"/>
      <c r="J184" s="312"/>
      <c r="K184" s="316"/>
      <c r="L184" s="314"/>
      <c r="M184" s="314"/>
      <c r="N184" s="314"/>
      <c r="O184" s="316"/>
      <c r="P184" s="316"/>
      <c r="Q184" s="316"/>
      <c r="R184" s="316"/>
      <c r="S184" s="316"/>
      <c r="T184" s="312"/>
      <c r="U184" s="314"/>
      <c r="V184" s="312"/>
      <c r="W184" s="312"/>
      <c r="X184" s="312"/>
      <c r="Y184" s="317"/>
      <c r="Z184" s="312"/>
      <c r="AA184" s="312"/>
      <c r="AB184" s="312"/>
      <c r="AC184" s="312"/>
      <c r="AD184" s="312"/>
      <c r="AE184" s="312"/>
      <c r="AF184" s="312"/>
      <c r="AG184" s="312"/>
      <c r="AH184" s="312"/>
      <c r="AI184" s="312"/>
    </row>
    <row r="185" spans="1:35" ht="57.6" x14ac:dyDescent="0.3">
      <c r="A185" s="77">
        <v>133</v>
      </c>
      <c r="B185" s="312" t="str">
        <f t="shared" si="24"/>
        <v>N</v>
      </c>
      <c r="C185" s="312" t="s">
        <v>113</v>
      </c>
      <c r="D185" s="312" t="s">
        <v>1861</v>
      </c>
      <c r="E185" s="313" t="s">
        <v>1862</v>
      </c>
      <c r="F185" s="314" t="s">
        <v>1217</v>
      </c>
      <c r="G185" s="315" t="s">
        <v>1863</v>
      </c>
      <c r="H185" s="316"/>
      <c r="I185" s="251"/>
      <c r="J185" s="312"/>
      <c r="K185" s="316"/>
      <c r="L185" s="314"/>
      <c r="M185" s="314"/>
      <c r="N185" s="314"/>
      <c r="O185" s="316"/>
      <c r="P185" s="316"/>
      <c r="Q185" s="316"/>
      <c r="R185" s="316"/>
      <c r="S185" s="316"/>
      <c r="T185" s="312"/>
      <c r="U185" s="314"/>
      <c r="V185" s="312"/>
      <c r="W185" s="312"/>
      <c r="X185" s="312"/>
      <c r="Y185" s="317"/>
      <c r="Z185" s="312"/>
      <c r="AA185" s="312"/>
      <c r="AB185" s="312"/>
      <c r="AC185" s="312"/>
      <c r="AD185" s="312"/>
      <c r="AE185" s="312"/>
      <c r="AF185" s="312"/>
      <c r="AG185" s="312"/>
      <c r="AH185" s="312"/>
      <c r="AI185" s="312"/>
    </row>
    <row r="186" spans="1:35" ht="72" x14ac:dyDescent="0.3">
      <c r="A186" s="77">
        <v>134</v>
      </c>
      <c r="B186" s="312" t="str">
        <f t="shared" si="24"/>
        <v>N</v>
      </c>
      <c r="C186" s="312" t="s">
        <v>113</v>
      </c>
      <c r="D186" s="312" t="s">
        <v>2486</v>
      </c>
      <c r="E186" s="313" t="s">
        <v>2490</v>
      </c>
      <c r="F186" s="314" t="s">
        <v>1221</v>
      </c>
      <c r="G186" s="315" t="s">
        <v>1864</v>
      </c>
      <c r="H186" s="312">
        <v>200</v>
      </c>
      <c r="I186" s="251"/>
      <c r="J186" s="314" t="s">
        <v>50</v>
      </c>
      <c r="K186" s="314" t="s">
        <v>482</v>
      </c>
      <c r="L186" s="314" t="s">
        <v>51</v>
      </c>
      <c r="M186" s="314" t="s">
        <v>13</v>
      </c>
      <c r="N186" s="314" t="s">
        <v>10</v>
      </c>
      <c r="O186" s="271" t="s">
        <v>2491</v>
      </c>
      <c r="P186" s="314" t="s">
        <v>16</v>
      </c>
      <c r="Q186" s="314" t="s">
        <v>952</v>
      </c>
      <c r="R186" s="314" t="s">
        <v>51</v>
      </c>
      <c r="S186" s="315"/>
      <c r="T186" s="314" t="s">
        <v>484</v>
      </c>
      <c r="U186" s="314" t="s">
        <v>55</v>
      </c>
      <c r="V186" s="318" t="s">
        <v>2277</v>
      </c>
      <c r="W186" s="314" t="s">
        <v>2278</v>
      </c>
      <c r="X186" s="318" t="s">
        <v>486</v>
      </c>
      <c r="Y186" s="319" t="s">
        <v>2279</v>
      </c>
      <c r="Z186" s="318" t="s">
        <v>955</v>
      </c>
      <c r="AA186" s="318" t="s">
        <v>2409</v>
      </c>
      <c r="AB186" s="318" t="s">
        <v>488</v>
      </c>
      <c r="AC186" s="318" t="s">
        <v>489</v>
      </c>
      <c r="AD186" s="318" t="s">
        <v>490</v>
      </c>
      <c r="AE186" s="318" t="s">
        <v>491</v>
      </c>
      <c r="AF186" s="318" t="s">
        <v>492</v>
      </c>
      <c r="AG186" s="318" t="s">
        <v>493</v>
      </c>
      <c r="AH186" s="318" t="s">
        <v>494</v>
      </c>
      <c r="AI186" s="318" t="s">
        <v>495</v>
      </c>
    </row>
    <row r="187" spans="1:35" ht="72" x14ac:dyDescent="0.3">
      <c r="A187" s="77"/>
      <c r="B187" s="312" t="str">
        <f t="shared" ref="B187:B189" si="26">C187</f>
        <v>N</v>
      </c>
      <c r="C187" s="312" t="s">
        <v>113</v>
      </c>
      <c r="D187" s="312" t="s">
        <v>2487</v>
      </c>
      <c r="E187" s="313" t="s">
        <v>2492</v>
      </c>
      <c r="F187" s="314" t="s">
        <v>1221</v>
      </c>
      <c r="G187" s="315" t="s">
        <v>1864</v>
      </c>
      <c r="H187" s="312">
        <v>200</v>
      </c>
      <c r="I187" s="251"/>
      <c r="J187" s="314" t="s">
        <v>50</v>
      </c>
      <c r="K187" s="314" t="s">
        <v>482</v>
      </c>
      <c r="L187" s="314" t="s">
        <v>51</v>
      </c>
      <c r="M187" s="314" t="s">
        <v>13</v>
      </c>
      <c r="N187" s="314" t="s">
        <v>10</v>
      </c>
      <c r="O187" s="271" t="s">
        <v>2491</v>
      </c>
      <c r="P187" s="314" t="s">
        <v>16</v>
      </c>
      <c r="Q187" s="314" t="s">
        <v>952</v>
      </c>
      <c r="R187" s="314" t="s">
        <v>51</v>
      </c>
      <c r="S187" s="316"/>
      <c r="T187" s="312" t="s">
        <v>484</v>
      </c>
      <c r="U187" s="314" t="s">
        <v>55</v>
      </c>
      <c r="V187" s="318" t="s">
        <v>2277</v>
      </c>
      <c r="W187" s="314" t="s">
        <v>2278</v>
      </c>
      <c r="X187" s="320" t="s">
        <v>517</v>
      </c>
      <c r="Y187" s="321" t="s">
        <v>2280</v>
      </c>
      <c r="Z187" s="312" t="s">
        <v>955</v>
      </c>
      <c r="AA187" s="318" t="s">
        <v>2409</v>
      </c>
      <c r="AB187" s="318" t="s">
        <v>488</v>
      </c>
      <c r="AC187" s="318" t="s">
        <v>489</v>
      </c>
      <c r="AD187" s="318" t="s">
        <v>490</v>
      </c>
      <c r="AE187" s="318" t="s">
        <v>491</v>
      </c>
      <c r="AF187" s="318" t="s">
        <v>492</v>
      </c>
      <c r="AG187" s="318" t="s">
        <v>493</v>
      </c>
      <c r="AH187" s="318" t="s">
        <v>494</v>
      </c>
      <c r="AI187" s="318" t="s">
        <v>495</v>
      </c>
    </row>
    <row r="188" spans="1:35" ht="72" x14ac:dyDescent="0.3">
      <c r="A188" s="77"/>
      <c r="B188" s="312" t="str">
        <f t="shared" si="26"/>
        <v>N</v>
      </c>
      <c r="C188" s="312" t="s">
        <v>113</v>
      </c>
      <c r="D188" s="312" t="s">
        <v>2488</v>
      </c>
      <c r="E188" s="313" t="s">
        <v>2493</v>
      </c>
      <c r="F188" s="314" t="s">
        <v>1221</v>
      </c>
      <c r="G188" s="315" t="s">
        <v>1864</v>
      </c>
      <c r="H188" s="312">
        <v>200</v>
      </c>
      <c r="I188" s="251"/>
      <c r="J188" s="314" t="s">
        <v>50</v>
      </c>
      <c r="K188" s="314" t="s">
        <v>482</v>
      </c>
      <c r="L188" s="314" t="s">
        <v>51</v>
      </c>
      <c r="M188" s="314" t="s">
        <v>13</v>
      </c>
      <c r="N188" s="314" t="s">
        <v>10</v>
      </c>
      <c r="O188" s="271" t="s">
        <v>2491</v>
      </c>
      <c r="P188" s="314" t="s">
        <v>16</v>
      </c>
      <c r="Q188" s="314" t="s">
        <v>952</v>
      </c>
      <c r="R188" s="314" t="s">
        <v>51</v>
      </c>
      <c r="S188" s="316"/>
      <c r="T188" s="312" t="s">
        <v>520</v>
      </c>
      <c r="U188" s="314" t="s">
        <v>55</v>
      </c>
      <c r="V188" s="318" t="s">
        <v>2277</v>
      </c>
      <c r="W188" s="314" t="s">
        <v>2278</v>
      </c>
      <c r="X188" s="322" t="s">
        <v>2281</v>
      </c>
      <c r="Y188" s="323" t="s">
        <v>2282</v>
      </c>
      <c r="Z188" s="312" t="s">
        <v>2283</v>
      </c>
      <c r="AA188" s="318" t="s">
        <v>2409</v>
      </c>
      <c r="AB188" s="318" t="s">
        <v>488</v>
      </c>
      <c r="AC188" s="318" t="s">
        <v>489</v>
      </c>
      <c r="AD188" s="318" t="s">
        <v>490</v>
      </c>
      <c r="AE188" s="318" t="s">
        <v>491</v>
      </c>
      <c r="AF188" s="318" t="s">
        <v>492</v>
      </c>
      <c r="AG188" s="318" t="s">
        <v>493</v>
      </c>
      <c r="AH188" s="318" t="s">
        <v>494</v>
      </c>
      <c r="AI188" s="318" t="s">
        <v>495</v>
      </c>
    </row>
    <row r="189" spans="1:35" ht="72" x14ac:dyDescent="0.3">
      <c r="A189" s="77"/>
      <c r="B189" s="312" t="str">
        <f t="shared" si="26"/>
        <v>N</v>
      </c>
      <c r="C189" s="312" t="s">
        <v>113</v>
      </c>
      <c r="D189" s="312" t="s">
        <v>2489</v>
      </c>
      <c r="E189" s="313" t="s">
        <v>2494</v>
      </c>
      <c r="F189" s="314" t="s">
        <v>1221</v>
      </c>
      <c r="G189" s="315" t="s">
        <v>1864</v>
      </c>
      <c r="H189" s="312">
        <v>200</v>
      </c>
      <c r="I189" s="251"/>
      <c r="J189" s="314" t="s">
        <v>50</v>
      </c>
      <c r="K189" s="314" t="s">
        <v>482</v>
      </c>
      <c r="L189" s="314" t="s">
        <v>51</v>
      </c>
      <c r="M189" s="314" t="s">
        <v>13</v>
      </c>
      <c r="N189" s="314" t="s">
        <v>10</v>
      </c>
      <c r="O189" s="271" t="s">
        <v>2491</v>
      </c>
      <c r="P189" s="314" t="s">
        <v>16</v>
      </c>
      <c r="Q189" s="314" t="s">
        <v>952</v>
      </c>
      <c r="R189" s="314" t="s">
        <v>51</v>
      </c>
      <c r="S189" s="316"/>
      <c r="T189" s="312" t="s">
        <v>171</v>
      </c>
      <c r="U189" s="314" t="s">
        <v>55</v>
      </c>
      <c r="V189" s="318" t="s">
        <v>2277</v>
      </c>
      <c r="W189" s="314" t="s">
        <v>2278</v>
      </c>
      <c r="X189" s="320" t="s">
        <v>964</v>
      </c>
      <c r="Y189" s="321" t="s">
        <v>1159</v>
      </c>
      <c r="Z189" s="312" t="s">
        <v>2284</v>
      </c>
      <c r="AA189" s="318" t="s">
        <v>2409</v>
      </c>
      <c r="AB189" s="318" t="s">
        <v>488</v>
      </c>
      <c r="AC189" s="318" t="s">
        <v>489</v>
      </c>
      <c r="AD189" s="318" t="s">
        <v>490</v>
      </c>
      <c r="AE189" s="318" t="s">
        <v>491</v>
      </c>
      <c r="AF189" s="318" t="s">
        <v>492</v>
      </c>
      <c r="AG189" s="318" t="s">
        <v>493</v>
      </c>
      <c r="AH189" s="318" t="s">
        <v>494</v>
      </c>
      <c r="AI189" s="318" t="s">
        <v>495</v>
      </c>
    </row>
    <row r="190" spans="1:35" ht="72" x14ac:dyDescent="0.3">
      <c r="A190" s="77">
        <v>135</v>
      </c>
      <c r="B190" s="77" t="str">
        <f t="shared" si="24"/>
        <v>Y</v>
      </c>
      <c r="C190" s="77" t="s">
        <v>45</v>
      </c>
      <c r="D190" s="77" t="s">
        <v>2496</v>
      </c>
      <c r="E190" s="84" t="s">
        <v>2495</v>
      </c>
      <c r="F190" s="80" t="s">
        <v>1225</v>
      </c>
      <c r="G190" s="96" t="s">
        <v>1226</v>
      </c>
      <c r="H190" s="77">
        <v>403</v>
      </c>
      <c r="I190" s="131" t="s">
        <v>1974</v>
      </c>
      <c r="J190" s="259" t="s">
        <v>50</v>
      </c>
      <c r="K190" s="259" t="s">
        <v>482</v>
      </c>
      <c r="L190" s="259" t="s">
        <v>51</v>
      </c>
      <c r="M190" s="272" t="s">
        <v>2367</v>
      </c>
      <c r="N190" s="272" t="s">
        <v>2366</v>
      </c>
      <c r="O190" s="259" t="s">
        <v>1372</v>
      </c>
      <c r="P190" s="272" t="s">
        <v>1452</v>
      </c>
      <c r="Q190" s="259" t="s">
        <v>952</v>
      </c>
      <c r="R190" s="259" t="s">
        <v>51</v>
      </c>
      <c r="S190" s="260"/>
      <c r="T190" s="259" t="s">
        <v>484</v>
      </c>
      <c r="U190" s="259" t="s">
        <v>55</v>
      </c>
      <c r="V190" s="261" t="s">
        <v>2277</v>
      </c>
      <c r="W190" s="259" t="s">
        <v>2278</v>
      </c>
      <c r="X190" s="261" t="s">
        <v>486</v>
      </c>
      <c r="Y190" s="262" t="s">
        <v>2279</v>
      </c>
      <c r="Z190" s="261" t="s">
        <v>955</v>
      </c>
      <c r="AA190" s="261" t="s">
        <v>2409</v>
      </c>
      <c r="AB190" s="261" t="s">
        <v>488</v>
      </c>
      <c r="AC190" s="261" t="s">
        <v>489</v>
      </c>
      <c r="AD190" s="261" t="s">
        <v>490</v>
      </c>
      <c r="AE190" s="261" t="s">
        <v>491</v>
      </c>
      <c r="AF190" s="261" t="s">
        <v>492</v>
      </c>
      <c r="AG190" s="261" t="s">
        <v>493</v>
      </c>
      <c r="AH190" s="261" t="s">
        <v>494</v>
      </c>
      <c r="AI190" s="261" t="s">
        <v>495</v>
      </c>
    </row>
    <row r="191" spans="1:35" ht="72" x14ac:dyDescent="0.3">
      <c r="A191" s="77"/>
      <c r="B191" s="77" t="str">
        <f t="shared" ref="B191:B193" si="27">C191</f>
        <v>Y</v>
      </c>
      <c r="C191" s="77" t="s">
        <v>45</v>
      </c>
      <c r="D191" s="77" t="s">
        <v>2497</v>
      </c>
      <c r="E191" s="84" t="s">
        <v>2500</v>
      </c>
      <c r="F191" s="80" t="s">
        <v>1225</v>
      </c>
      <c r="G191" s="96" t="s">
        <v>1226</v>
      </c>
      <c r="H191" s="77">
        <v>403</v>
      </c>
      <c r="I191" s="131" t="s">
        <v>1974</v>
      </c>
      <c r="J191" s="259" t="s">
        <v>50</v>
      </c>
      <c r="K191" s="259" t="s">
        <v>482</v>
      </c>
      <c r="L191" s="259" t="s">
        <v>51</v>
      </c>
      <c r="M191" s="272" t="s">
        <v>2367</v>
      </c>
      <c r="N191" s="272" t="s">
        <v>2366</v>
      </c>
      <c r="O191" s="259" t="s">
        <v>1372</v>
      </c>
      <c r="P191" s="272" t="s">
        <v>1452</v>
      </c>
      <c r="Q191" s="259" t="s">
        <v>952</v>
      </c>
      <c r="R191" s="259" t="s">
        <v>51</v>
      </c>
      <c r="S191" s="263"/>
      <c r="T191" s="257" t="s">
        <v>484</v>
      </c>
      <c r="U191" s="259" t="s">
        <v>55</v>
      </c>
      <c r="V191" s="261" t="s">
        <v>2277</v>
      </c>
      <c r="W191" s="259" t="s">
        <v>2278</v>
      </c>
      <c r="X191" s="264" t="s">
        <v>517</v>
      </c>
      <c r="Y191" s="265" t="s">
        <v>2280</v>
      </c>
      <c r="Z191" s="257" t="s">
        <v>955</v>
      </c>
      <c r="AA191" s="261" t="s">
        <v>2410</v>
      </c>
      <c r="AB191" s="261" t="s">
        <v>488</v>
      </c>
      <c r="AC191" s="261" t="s">
        <v>489</v>
      </c>
      <c r="AD191" s="261" t="s">
        <v>490</v>
      </c>
      <c r="AE191" s="261" t="s">
        <v>491</v>
      </c>
      <c r="AF191" s="261" t="s">
        <v>492</v>
      </c>
      <c r="AG191" s="261" t="s">
        <v>493</v>
      </c>
      <c r="AH191" s="261" t="s">
        <v>494</v>
      </c>
      <c r="AI191" s="261" t="s">
        <v>495</v>
      </c>
    </row>
    <row r="192" spans="1:35" ht="72" x14ac:dyDescent="0.3">
      <c r="A192" s="77"/>
      <c r="B192" s="77" t="str">
        <f t="shared" si="27"/>
        <v>Y</v>
      </c>
      <c r="C192" s="77" t="s">
        <v>45</v>
      </c>
      <c r="D192" s="77" t="s">
        <v>2498</v>
      </c>
      <c r="E192" s="84" t="s">
        <v>2501</v>
      </c>
      <c r="F192" s="80" t="s">
        <v>1225</v>
      </c>
      <c r="G192" s="96" t="s">
        <v>1226</v>
      </c>
      <c r="H192" s="77">
        <v>403</v>
      </c>
      <c r="I192" s="131" t="s">
        <v>1974</v>
      </c>
      <c r="J192" s="259" t="s">
        <v>50</v>
      </c>
      <c r="K192" s="259" t="s">
        <v>482</v>
      </c>
      <c r="L192" s="259" t="s">
        <v>51</v>
      </c>
      <c r="M192" s="272" t="s">
        <v>2367</v>
      </c>
      <c r="N192" s="272" t="s">
        <v>2366</v>
      </c>
      <c r="O192" s="259" t="s">
        <v>1372</v>
      </c>
      <c r="P192" s="272" t="s">
        <v>1452</v>
      </c>
      <c r="Q192" s="259" t="s">
        <v>952</v>
      </c>
      <c r="R192" s="259" t="s">
        <v>51</v>
      </c>
      <c r="S192" s="263"/>
      <c r="T192" s="257" t="s">
        <v>520</v>
      </c>
      <c r="U192" s="259" t="s">
        <v>55</v>
      </c>
      <c r="V192" s="261" t="s">
        <v>2277</v>
      </c>
      <c r="W192" s="259" t="s">
        <v>2278</v>
      </c>
      <c r="X192" s="266" t="s">
        <v>2281</v>
      </c>
      <c r="Y192" s="267" t="s">
        <v>2282</v>
      </c>
      <c r="Z192" s="257" t="s">
        <v>2283</v>
      </c>
      <c r="AA192" s="261" t="s">
        <v>2411</v>
      </c>
      <c r="AB192" s="261" t="s">
        <v>488</v>
      </c>
      <c r="AC192" s="261" t="s">
        <v>489</v>
      </c>
      <c r="AD192" s="261" t="s">
        <v>490</v>
      </c>
      <c r="AE192" s="261" t="s">
        <v>491</v>
      </c>
      <c r="AF192" s="261" t="s">
        <v>492</v>
      </c>
      <c r="AG192" s="261" t="s">
        <v>493</v>
      </c>
      <c r="AH192" s="261" t="s">
        <v>494</v>
      </c>
      <c r="AI192" s="261" t="s">
        <v>495</v>
      </c>
    </row>
    <row r="193" spans="1:35" ht="72" x14ac:dyDescent="0.3">
      <c r="A193" s="77"/>
      <c r="B193" s="77" t="str">
        <f t="shared" si="27"/>
        <v>Y</v>
      </c>
      <c r="C193" s="77" t="s">
        <v>45</v>
      </c>
      <c r="D193" s="77" t="s">
        <v>2499</v>
      </c>
      <c r="E193" s="84" t="s">
        <v>2502</v>
      </c>
      <c r="F193" s="80" t="s">
        <v>1225</v>
      </c>
      <c r="G193" s="96" t="s">
        <v>1226</v>
      </c>
      <c r="H193" s="77">
        <v>403</v>
      </c>
      <c r="I193" s="131" t="s">
        <v>1974</v>
      </c>
      <c r="J193" s="259" t="s">
        <v>50</v>
      </c>
      <c r="K193" s="259" t="s">
        <v>482</v>
      </c>
      <c r="L193" s="259" t="s">
        <v>51</v>
      </c>
      <c r="M193" s="272" t="s">
        <v>2367</v>
      </c>
      <c r="N193" s="272" t="s">
        <v>2366</v>
      </c>
      <c r="O193" s="259" t="s">
        <v>1372</v>
      </c>
      <c r="P193" s="272" t="s">
        <v>1452</v>
      </c>
      <c r="Q193" s="259" t="s">
        <v>952</v>
      </c>
      <c r="R193" s="259" t="s">
        <v>51</v>
      </c>
      <c r="S193" s="263"/>
      <c r="T193" s="257" t="s">
        <v>171</v>
      </c>
      <c r="U193" s="259" t="s">
        <v>55</v>
      </c>
      <c r="V193" s="261" t="s">
        <v>2277</v>
      </c>
      <c r="W193" s="259" t="s">
        <v>2278</v>
      </c>
      <c r="X193" s="264" t="s">
        <v>964</v>
      </c>
      <c r="Y193" s="265" t="s">
        <v>1159</v>
      </c>
      <c r="Z193" s="257" t="s">
        <v>2284</v>
      </c>
      <c r="AA193" s="261" t="s">
        <v>2078</v>
      </c>
      <c r="AB193" s="261" t="s">
        <v>488</v>
      </c>
      <c r="AC193" s="261" t="s">
        <v>489</v>
      </c>
      <c r="AD193" s="261" t="s">
        <v>490</v>
      </c>
      <c r="AE193" s="261" t="s">
        <v>491</v>
      </c>
      <c r="AF193" s="261" t="s">
        <v>492</v>
      </c>
      <c r="AG193" s="261" t="s">
        <v>493</v>
      </c>
      <c r="AH193" s="261" t="s">
        <v>494</v>
      </c>
      <c r="AI193" s="261" t="s">
        <v>495</v>
      </c>
    </row>
    <row r="194" spans="1:35" ht="72" x14ac:dyDescent="0.3">
      <c r="A194" s="77">
        <v>136</v>
      </c>
      <c r="B194" s="77" t="str">
        <f t="shared" si="24"/>
        <v>Y</v>
      </c>
      <c r="C194" s="77" t="s">
        <v>45</v>
      </c>
      <c r="D194" s="77" t="s">
        <v>2504</v>
      </c>
      <c r="E194" s="84" t="s">
        <v>2503</v>
      </c>
      <c r="F194" s="80" t="s">
        <v>759</v>
      </c>
      <c r="G194" s="96" t="s">
        <v>1228</v>
      </c>
      <c r="H194" s="77">
        <v>200</v>
      </c>
      <c r="J194" s="259" t="s">
        <v>50</v>
      </c>
      <c r="K194" s="259" t="s">
        <v>482</v>
      </c>
      <c r="L194" s="259" t="s">
        <v>51</v>
      </c>
      <c r="M194" s="259" t="s">
        <v>13</v>
      </c>
      <c r="N194" s="259" t="s">
        <v>10</v>
      </c>
      <c r="O194" s="259" t="s">
        <v>1372</v>
      </c>
      <c r="P194" s="259" t="s">
        <v>16</v>
      </c>
      <c r="Q194" s="259" t="s">
        <v>952</v>
      </c>
      <c r="R194" s="259" t="s">
        <v>51</v>
      </c>
      <c r="S194" s="260"/>
      <c r="T194" s="259" t="s">
        <v>484</v>
      </c>
      <c r="U194" s="259" t="s">
        <v>55</v>
      </c>
      <c r="V194" s="261" t="s">
        <v>2277</v>
      </c>
      <c r="W194" s="259" t="s">
        <v>2278</v>
      </c>
      <c r="X194" s="261" t="s">
        <v>486</v>
      </c>
      <c r="Y194" s="262" t="s">
        <v>2279</v>
      </c>
      <c r="Z194" s="261" t="s">
        <v>955</v>
      </c>
      <c r="AA194" s="261" t="s">
        <v>2409</v>
      </c>
      <c r="AB194" s="261" t="s">
        <v>488</v>
      </c>
      <c r="AC194" s="261" t="s">
        <v>489</v>
      </c>
      <c r="AD194" s="261" t="s">
        <v>490</v>
      </c>
      <c r="AE194" s="261" t="s">
        <v>491</v>
      </c>
      <c r="AF194" s="261" t="s">
        <v>492</v>
      </c>
      <c r="AG194" s="261" t="s">
        <v>493</v>
      </c>
      <c r="AH194" s="261" t="s">
        <v>494</v>
      </c>
      <c r="AI194" s="261" t="s">
        <v>495</v>
      </c>
    </row>
    <row r="195" spans="1:35" ht="72" x14ac:dyDescent="0.3">
      <c r="A195" s="77"/>
      <c r="B195" s="77" t="str">
        <f t="shared" ref="B195:B197" si="28">C195</f>
        <v>Y</v>
      </c>
      <c r="C195" s="77" t="s">
        <v>45</v>
      </c>
      <c r="D195" s="77" t="s">
        <v>2505</v>
      </c>
      <c r="E195" s="84" t="s">
        <v>2508</v>
      </c>
      <c r="F195" s="80" t="s">
        <v>759</v>
      </c>
      <c r="G195" s="96" t="s">
        <v>1228</v>
      </c>
      <c r="H195" s="77">
        <v>200</v>
      </c>
      <c r="J195" s="259" t="s">
        <v>50</v>
      </c>
      <c r="K195" s="259" t="s">
        <v>482</v>
      </c>
      <c r="L195" s="259" t="s">
        <v>51</v>
      </c>
      <c r="M195" s="259" t="s">
        <v>13</v>
      </c>
      <c r="N195" s="259" t="s">
        <v>10</v>
      </c>
      <c r="O195" s="259" t="s">
        <v>1372</v>
      </c>
      <c r="P195" s="259" t="s">
        <v>16</v>
      </c>
      <c r="Q195" s="259" t="s">
        <v>952</v>
      </c>
      <c r="R195" s="259" t="s">
        <v>51</v>
      </c>
      <c r="S195" s="263"/>
      <c r="T195" s="257" t="s">
        <v>484</v>
      </c>
      <c r="U195" s="259" t="s">
        <v>55</v>
      </c>
      <c r="V195" s="261" t="s">
        <v>2277</v>
      </c>
      <c r="W195" s="259" t="s">
        <v>2278</v>
      </c>
      <c r="X195" s="264" t="s">
        <v>517</v>
      </c>
      <c r="Y195" s="265" t="s">
        <v>2280</v>
      </c>
      <c r="Z195" s="257" t="s">
        <v>955</v>
      </c>
      <c r="AA195" s="261" t="s">
        <v>2409</v>
      </c>
      <c r="AB195" s="261" t="s">
        <v>488</v>
      </c>
      <c r="AC195" s="261" t="s">
        <v>489</v>
      </c>
      <c r="AD195" s="261" t="s">
        <v>490</v>
      </c>
      <c r="AE195" s="261" t="s">
        <v>491</v>
      </c>
      <c r="AF195" s="261" t="s">
        <v>492</v>
      </c>
      <c r="AG195" s="261" t="s">
        <v>493</v>
      </c>
      <c r="AH195" s="261" t="s">
        <v>494</v>
      </c>
      <c r="AI195" s="261" t="s">
        <v>495</v>
      </c>
    </row>
    <row r="196" spans="1:35" ht="72" x14ac:dyDescent="0.3">
      <c r="A196" s="77"/>
      <c r="B196" s="77" t="str">
        <f t="shared" si="28"/>
        <v>Y</v>
      </c>
      <c r="C196" s="77" t="s">
        <v>45</v>
      </c>
      <c r="D196" s="77" t="s">
        <v>2506</v>
      </c>
      <c r="E196" s="84" t="s">
        <v>2509</v>
      </c>
      <c r="F196" s="80" t="s">
        <v>759</v>
      </c>
      <c r="G196" s="96" t="s">
        <v>1228</v>
      </c>
      <c r="H196" s="77">
        <v>200</v>
      </c>
      <c r="J196" s="259" t="s">
        <v>50</v>
      </c>
      <c r="K196" s="259" t="s">
        <v>482</v>
      </c>
      <c r="L196" s="259" t="s">
        <v>51</v>
      </c>
      <c r="M196" s="259" t="s">
        <v>13</v>
      </c>
      <c r="N196" s="259" t="s">
        <v>10</v>
      </c>
      <c r="O196" s="259" t="s">
        <v>1372</v>
      </c>
      <c r="P196" s="259" t="s">
        <v>16</v>
      </c>
      <c r="Q196" s="259" t="s">
        <v>952</v>
      </c>
      <c r="R196" s="259" t="s">
        <v>51</v>
      </c>
      <c r="S196" s="263"/>
      <c r="T196" s="257" t="s">
        <v>520</v>
      </c>
      <c r="U196" s="259" t="s">
        <v>55</v>
      </c>
      <c r="V196" s="261" t="s">
        <v>2277</v>
      </c>
      <c r="W196" s="259" t="s">
        <v>2278</v>
      </c>
      <c r="X196" s="266" t="s">
        <v>2281</v>
      </c>
      <c r="Y196" s="267" t="s">
        <v>2282</v>
      </c>
      <c r="Z196" s="257" t="s">
        <v>2283</v>
      </c>
      <c r="AA196" s="261" t="s">
        <v>2409</v>
      </c>
      <c r="AB196" s="261" t="s">
        <v>488</v>
      </c>
      <c r="AC196" s="261" t="s">
        <v>489</v>
      </c>
      <c r="AD196" s="261" t="s">
        <v>490</v>
      </c>
      <c r="AE196" s="261" t="s">
        <v>491</v>
      </c>
      <c r="AF196" s="261" t="s">
        <v>492</v>
      </c>
      <c r="AG196" s="261" t="s">
        <v>493</v>
      </c>
      <c r="AH196" s="261" t="s">
        <v>494</v>
      </c>
      <c r="AI196" s="261" t="s">
        <v>495</v>
      </c>
    </row>
    <row r="197" spans="1:35" ht="72" x14ac:dyDescent="0.3">
      <c r="A197" s="77"/>
      <c r="B197" s="77" t="str">
        <f t="shared" si="28"/>
        <v>Y</v>
      </c>
      <c r="C197" s="77" t="s">
        <v>45</v>
      </c>
      <c r="D197" s="77" t="s">
        <v>2507</v>
      </c>
      <c r="E197" s="84" t="s">
        <v>2510</v>
      </c>
      <c r="F197" s="80" t="s">
        <v>759</v>
      </c>
      <c r="G197" s="96" t="s">
        <v>1228</v>
      </c>
      <c r="H197" s="77">
        <v>200</v>
      </c>
      <c r="J197" s="259" t="s">
        <v>50</v>
      </c>
      <c r="K197" s="259" t="s">
        <v>482</v>
      </c>
      <c r="L197" s="259" t="s">
        <v>51</v>
      </c>
      <c r="M197" s="259" t="s">
        <v>13</v>
      </c>
      <c r="N197" s="259" t="s">
        <v>10</v>
      </c>
      <c r="O197" s="259" t="s">
        <v>1372</v>
      </c>
      <c r="P197" s="259" t="s">
        <v>16</v>
      </c>
      <c r="Q197" s="259" t="s">
        <v>952</v>
      </c>
      <c r="R197" s="259" t="s">
        <v>51</v>
      </c>
      <c r="S197" s="263"/>
      <c r="T197" s="257" t="s">
        <v>171</v>
      </c>
      <c r="U197" s="259" t="s">
        <v>55</v>
      </c>
      <c r="V197" s="261" t="s">
        <v>2277</v>
      </c>
      <c r="W197" s="259" t="s">
        <v>2278</v>
      </c>
      <c r="X197" s="264" t="s">
        <v>964</v>
      </c>
      <c r="Y197" s="265" t="s">
        <v>1159</v>
      </c>
      <c r="Z197" s="257" t="s">
        <v>2284</v>
      </c>
      <c r="AA197" s="261" t="s">
        <v>2409</v>
      </c>
      <c r="AB197" s="261" t="s">
        <v>488</v>
      </c>
      <c r="AC197" s="261" t="s">
        <v>489</v>
      </c>
      <c r="AD197" s="261" t="s">
        <v>490</v>
      </c>
      <c r="AE197" s="261" t="s">
        <v>491</v>
      </c>
      <c r="AF197" s="261" t="s">
        <v>492</v>
      </c>
      <c r="AG197" s="261" t="s">
        <v>493</v>
      </c>
      <c r="AH197" s="261" t="s">
        <v>494</v>
      </c>
      <c r="AI197" s="261" t="s">
        <v>495</v>
      </c>
    </row>
    <row r="198" spans="1:35" ht="72" x14ac:dyDescent="0.3">
      <c r="A198" s="77">
        <v>137</v>
      </c>
      <c r="B198" s="268" t="str">
        <f t="shared" si="24"/>
        <v>N</v>
      </c>
      <c r="C198" s="268" t="s">
        <v>113</v>
      </c>
      <c r="D198" s="268" t="s">
        <v>1865</v>
      </c>
      <c r="E198" s="278" t="s">
        <v>1866</v>
      </c>
      <c r="F198" s="170" t="s">
        <v>1230</v>
      </c>
      <c r="G198" s="181" t="s">
        <v>1867</v>
      </c>
      <c r="H198" s="269"/>
      <c r="I198" s="244"/>
      <c r="J198" s="268"/>
      <c r="K198" s="269"/>
      <c r="L198" s="170"/>
      <c r="M198" s="170"/>
      <c r="N198" s="170"/>
      <c r="O198" s="269"/>
      <c r="P198" s="269"/>
      <c r="Q198" s="269"/>
      <c r="R198" s="269"/>
      <c r="S198" s="269"/>
      <c r="T198" s="268"/>
      <c r="U198" s="170"/>
      <c r="V198" s="268"/>
      <c r="W198" s="268"/>
      <c r="X198" s="268"/>
      <c r="Y198" s="270"/>
      <c r="Z198" s="268"/>
      <c r="AA198" s="268"/>
      <c r="AB198" s="268"/>
      <c r="AC198" s="268"/>
      <c r="AD198" s="268"/>
      <c r="AE198" s="268"/>
      <c r="AF198" s="268"/>
      <c r="AG198" s="268"/>
      <c r="AH198" s="268"/>
      <c r="AI198" s="268"/>
    </row>
    <row r="199" spans="1:35" ht="43.2" x14ac:dyDescent="0.3">
      <c r="A199" s="77">
        <v>138</v>
      </c>
      <c r="B199" s="77" t="str">
        <f t="shared" si="24"/>
        <v>Y</v>
      </c>
      <c r="C199" s="77" t="s">
        <v>45</v>
      </c>
      <c r="D199" s="77" t="s">
        <v>2511</v>
      </c>
      <c r="E199" s="84" t="s">
        <v>2512</v>
      </c>
      <c r="F199" s="80" t="s">
        <v>720</v>
      </c>
      <c r="G199" s="96" t="s">
        <v>721</v>
      </c>
      <c r="H199" s="77">
        <v>200</v>
      </c>
      <c r="J199" s="259" t="s">
        <v>50</v>
      </c>
      <c r="K199" s="259" t="s">
        <v>482</v>
      </c>
      <c r="L199" s="259" t="s">
        <v>51</v>
      </c>
      <c r="M199" s="259" t="s">
        <v>13</v>
      </c>
      <c r="N199" s="259" t="s">
        <v>10</v>
      </c>
      <c r="O199" s="259" t="s">
        <v>1372</v>
      </c>
      <c r="P199" s="259" t="s">
        <v>16</v>
      </c>
      <c r="Q199" s="259" t="s">
        <v>952</v>
      </c>
      <c r="R199" s="259" t="s">
        <v>51</v>
      </c>
      <c r="S199" s="260"/>
      <c r="T199" s="259" t="s">
        <v>484</v>
      </c>
      <c r="U199" s="259" t="s">
        <v>55</v>
      </c>
      <c r="V199" s="261" t="s">
        <v>2277</v>
      </c>
      <c r="W199" s="259" t="s">
        <v>2278</v>
      </c>
      <c r="X199" s="261" t="s">
        <v>486</v>
      </c>
      <c r="Y199" s="262" t="s">
        <v>2279</v>
      </c>
      <c r="Z199" s="261" t="s">
        <v>955</v>
      </c>
      <c r="AA199" s="261" t="s">
        <v>2409</v>
      </c>
      <c r="AB199" s="261" t="s">
        <v>488</v>
      </c>
      <c r="AC199" s="261" t="s">
        <v>489</v>
      </c>
      <c r="AD199" s="261" t="s">
        <v>490</v>
      </c>
      <c r="AE199" s="261" t="s">
        <v>491</v>
      </c>
      <c r="AF199" s="261" t="s">
        <v>492</v>
      </c>
      <c r="AG199" s="261" t="s">
        <v>493</v>
      </c>
      <c r="AH199" s="261" t="s">
        <v>494</v>
      </c>
      <c r="AI199" s="261" t="s">
        <v>495</v>
      </c>
    </row>
    <row r="200" spans="1:35" ht="43.2" x14ac:dyDescent="0.3">
      <c r="A200" s="77"/>
      <c r="B200" s="77" t="str">
        <f t="shared" ref="B200" si="29">C200</f>
        <v>Y</v>
      </c>
      <c r="C200" s="77" t="s">
        <v>45</v>
      </c>
      <c r="D200" s="77" t="s">
        <v>2513</v>
      </c>
      <c r="E200" s="84" t="s">
        <v>2576</v>
      </c>
      <c r="F200" s="80" t="s">
        <v>720</v>
      </c>
      <c r="G200" s="96" t="s">
        <v>721</v>
      </c>
      <c r="H200" s="77">
        <v>200</v>
      </c>
      <c r="J200" s="259" t="s">
        <v>50</v>
      </c>
      <c r="K200" s="259" t="s">
        <v>482</v>
      </c>
      <c r="L200" s="259" t="s">
        <v>51</v>
      </c>
      <c r="M200" s="259" t="s">
        <v>13</v>
      </c>
      <c r="N200" s="259" t="s">
        <v>10</v>
      </c>
      <c r="O200" s="259" t="s">
        <v>1372</v>
      </c>
      <c r="P200" s="259" t="s">
        <v>16</v>
      </c>
      <c r="Q200" s="259" t="s">
        <v>952</v>
      </c>
      <c r="R200" s="259" t="s">
        <v>51</v>
      </c>
      <c r="S200" s="263"/>
      <c r="T200" s="257" t="s">
        <v>484</v>
      </c>
      <c r="U200" s="259" t="s">
        <v>55</v>
      </c>
      <c r="V200" s="261" t="s">
        <v>2277</v>
      </c>
      <c r="W200" s="259" t="s">
        <v>2278</v>
      </c>
      <c r="X200" s="264" t="s">
        <v>517</v>
      </c>
      <c r="Y200" s="265" t="s">
        <v>2280</v>
      </c>
      <c r="Z200" s="257" t="s">
        <v>955</v>
      </c>
      <c r="AA200" s="261" t="s">
        <v>2409</v>
      </c>
      <c r="AB200" s="261" t="s">
        <v>488</v>
      </c>
      <c r="AC200" s="261" t="s">
        <v>489</v>
      </c>
      <c r="AD200" s="261" t="s">
        <v>490</v>
      </c>
      <c r="AE200" s="261" t="s">
        <v>491</v>
      </c>
      <c r="AF200" s="261" t="s">
        <v>492</v>
      </c>
      <c r="AG200" s="261" t="s">
        <v>493</v>
      </c>
      <c r="AH200" s="261" t="s">
        <v>494</v>
      </c>
      <c r="AI200" s="261" t="s">
        <v>495</v>
      </c>
    </row>
    <row r="201" spans="1:35" ht="43.2" x14ac:dyDescent="0.3">
      <c r="A201" s="77">
        <v>139</v>
      </c>
      <c r="B201" s="77" t="str">
        <f t="shared" si="24"/>
        <v>Y</v>
      </c>
      <c r="C201" s="77" t="s">
        <v>45</v>
      </c>
      <c r="D201" s="77" t="s">
        <v>1868</v>
      </c>
      <c r="E201" s="84" t="s">
        <v>1869</v>
      </c>
      <c r="F201" s="80" t="s">
        <v>726</v>
      </c>
      <c r="G201" s="96" t="s">
        <v>721</v>
      </c>
      <c r="H201" s="77">
        <v>200</v>
      </c>
      <c r="J201" s="259" t="s">
        <v>50</v>
      </c>
      <c r="K201" s="259" t="s">
        <v>482</v>
      </c>
      <c r="L201" s="259" t="s">
        <v>51</v>
      </c>
      <c r="M201" s="259" t="s">
        <v>13</v>
      </c>
      <c r="N201" s="259" t="s">
        <v>10</v>
      </c>
      <c r="O201" s="259" t="s">
        <v>1372</v>
      </c>
      <c r="P201" s="259" t="s">
        <v>16</v>
      </c>
      <c r="Q201" s="259" t="s">
        <v>952</v>
      </c>
      <c r="R201" s="259" t="s">
        <v>51</v>
      </c>
      <c r="S201" s="263"/>
      <c r="T201" s="257" t="s">
        <v>520</v>
      </c>
      <c r="U201" s="259" t="s">
        <v>55</v>
      </c>
      <c r="V201" s="261" t="s">
        <v>2277</v>
      </c>
      <c r="W201" s="259" t="s">
        <v>2278</v>
      </c>
      <c r="X201" s="266" t="s">
        <v>2281</v>
      </c>
      <c r="Y201" s="267" t="s">
        <v>2282</v>
      </c>
      <c r="Z201" s="257" t="s">
        <v>2283</v>
      </c>
      <c r="AA201" s="261" t="s">
        <v>2409</v>
      </c>
      <c r="AB201" s="261" t="s">
        <v>488</v>
      </c>
      <c r="AC201" s="261" t="s">
        <v>489</v>
      </c>
      <c r="AD201" s="261" t="s">
        <v>490</v>
      </c>
      <c r="AE201" s="261" t="s">
        <v>491</v>
      </c>
      <c r="AF201" s="261" t="s">
        <v>492</v>
      </c>
      <c r="AG201" s="261" t="s">
        <v>493</v>
      </c>
      <c r="AH201" s="261" t="s">
        <v>494</v>
      </c>
      <c r="AI201" s="261" t="s">
        <v>495</v>
      </c>
    </row>
    <row r="202" spans="1:35" ht="43.2" x14ac:dyDescent="0.3">
      <c r="A202" s="77">
        <v>140</v>
      </c>
      <c r="B202" s="77" t="str">
        <f t="shared" si="24"/>
        <v>Y</v>
      </c>
      <c r="C202" s="77" t="s">
        <v>45</v>
      </c>
      <c r="D202" s="77" t="s">
        <v>1870</v>
      </c>
      <c r="E202" s="84" t="s">
        <v>1871</v>
      </c>
      <c r="F202" s="80" t="s">
        <v>729</v>
      </c>
      <c r="G202" s="96" t="s">
        <v>721</v>
      </c>
      <c r="H202" s="77">
        <v>200</v>
      </c>
      <c r="J202" s="259" t="s">
        <v>50</v>
      </c>
      <c r="K202" s="259" t="s">
        <v>482</v>
      </c>
      <c r="L202" s="259" t="s">
        <v>51</v>
      </c>
      <c r="M202" s="259" t="s">
        <v>13</v>
      </c>
      <c r="N202" s="259" t="s">
        <v>10</v>
      </c>
      <c r="O202" s="259" t="s">
        <v>1372</v>
      </c>
      <c r="P202" s="259" t="s">
        <v>16</v>
      </c>
      <c r="Q202" s="259" t="s">
        <v>952</v>
      </c>
      <c r="R202" s="259" t="s">
        <v>51</v>
      </c>
      <c r="S202" s="263"/>
      <c r="T202" s="257" t="s">
        <v>171</v>
      </c>
      <c r="U202" s="259" t="s">
        <v>55</v>
      </c>
      <c r="V202" s="261" t="s">
        <v>2277</v>
      </c>
      <c r="W202" s="259" t="s">
        <v>2278</v>
      </c>
      <c r="X202" s="264" t="s">
        <v>964</v>
      </c>
      <c r="Y202" s="265" t="s">
        <v>1159</v>
      </c>
      <c r="Z202" s="257" t="s">
        <v>2284</v>
      </c>
      <c r="AA202" s="261" t="s">
        <v>2409</v>
      </c>
      <c r="AB202" s="261" t="s">
        <v>488</v>
      </c>
      <c r="AC202" s="261" t="s">
        <v>489</v>
      </c>
      <c r="AD202" s="261" t="s">
        <v>490</v>
      </c>
      <c r="AE202" s="261" t="s">
        <v>491</v>
      </c>
      <c r="AF202" s="261" t="s">
        <v>492</v>
      </c>
      <c r="AG202" s="261" t="s">
        <v>493</v>
      </c>
      <c r="AH202" s="261" t="s">
        <v>494</v>
      </c>
      <c r="AI202" s="261" t="s">
        <v>495</v>
      </c>
    </row>
    <row r="203" spans="1:35" ht="43.2" x14ac:dyDescent="0.3">
      <c r="A203" s="77">
        <v>141</v>
      </c>
      <c r="B203" s="77" t="str">
        <f t="shared" si="24"/>
        <v>Y</v>
      </c>
      <c r="C203" s="77" t="s">
        <v>45</v>
      </c>
      <c r="D203" s="77" t="s">
        <v>2514</v>
      </c>
      <c r="E203" s="84" t="s">
        <v>2516</v>
      </c>
      <c r="F203" s="80" t="s">
        <v>720</v>
      </c>
      <c r="G203" s="96" t="s">
        <v>734</v>
      </c>
      <c r="H203" s="77">
        <v>200</v>
      </c>
      <c r="J203" s="259" t="s">
        <v>50</v>
      </c>
      <c r="K203" s="259" t="s">
        <v>482</v>
      </c>
      <c r="L203" s="259" t="s">
        <v>51</v>
      </c>
      <c r="M203" s="259" t="s">
        <v>13</v>
      </c>
      <c r="N203" s="259" t="s">
        <v>10</v>
      </c>
      <c r="O203" s="259" t="s">
        <v>1372</v>
      </c>
      <c r="P203" s="259" t="s">
        <v>16</v>
      </c>
      <c r="Q203" s="259" t="s">
        <v>952</v>
      </c>
      <c r="R203" s="259" t="s">
        <v>51</v>
      </c>
      <c r="S203" s="260"/>
      <c r="T203" s="259" t="s">
        <v>484</v>
      </c>
      <c r="U203" s="259" t="s">
        <v>55</v>
      </c>
      <c r="V203" s="261" t="s">
        <v>2277</v>
      </c>
      <c r="W203" s="259" t="s">
        <v>2278</v>
      </c>
      <c r="X203" s="261" t="s">
        <v>486</v>
      </c>
      <c r="Y203" s="262" t="s">
        <v>2279</v>
      </c>
      <c r="Z203" s="261" t="s">
        <v>955</v>
      </c>
      <c r="AA203" s="261" t="s">
        <v>2409</v>
      </c>
      <c r="AB203" s="261" t="s">
        <v>488</v>
      </c>
      <c r="AC203" s="261" t="s">
        <v>489</v>
      </c>
      <c r="AD203" s="261" t="s">
        <v>490</v>
      </c>
      <c r="AE203" s="261" t="s">
        <v>491</v>
      </c>
      <c r="AF203" s="261" t="s">
        <v>492</v>
      </c>
      <c r="AG203" s="261" t="s">
        <v>493</v>
      </c>
      <c r="AH203" s="261" t="s">
        <v>494</v>
      </c>
      <c r="AI203" s="261" t="s">
        <v>495</v>
      </c>
    </row>
    <row r="204" spans="1:35" ht="43.2" x14ac:dyDescent="0.3">
      <c r="A204" s="77"/>
      <c r="B204" s="77" t="str">
        <f t="shared" ref="B204" si="30">C204</f>
        <v>Y</v>
      </c>
      <c r="C204" s="77" t="s">
        <v>45</v>
      </c>
      <c r="D204" s="77" t="s">
        <v>2515</v>
      </c>
      <c r="E204" s="84" t="s">
        <v>2517</v>
      </c>
      <c r="F204" s="80" t="s">
        <v>720</v>
      </c>
      <c r="G204" s="96" t="s">
        <v>734</v>
      </c>
      <c r="H204" s="77">
        <v>200</v>
      </c>
      <c r="J204" s="259" t="s">
        <v>50</v>
      </c>
      <c r="K204" s="259" t="s">
        <v>482</v>
      </c>
      <c r="L204" s="259" t="s">
        <v>51</v>
      </c>
      <c r="M204" s="259" t="s">
        <v>13</v>
      </c>
      <c r="N204" s="259" t="s">
        <v>10</v>
      </c>
      <c r="O204" s="259" t="s">
        <v>1372</v>
      </c>
      <c r="P204" s="259" t="s">
        <v>16</v>
      </c>
      <c r="Q204" s="259" t="s">
        <v>952</v>
      </c>
      <c r="R204" s="259" t="s">
        <v>51</v>
      </c>
      <c r="S204" s="263"/>
      <c r="T204" s="257" t="s">
        <v>484</v>
      </c>
      <c r="U204" s="259" t="s">
        <v>55</v>
      </c>
      <c r="V204" s="261" t="s">
        <v>2277</v>
      </c>
      <c r="W204" s="259" t="s">
        <v>2278</v>
      </c>
      <c r="X204" s="264" t="s">
        <v>517</v>
      </c>
      <c r="Y204" s="265" t="s">
        <v>2280</v>
      </c>
      <c r="Z204" s="257" t="s">
        <v>955</v>
      </c>
      <c r="AA204" s="261" t="s">
        <v>2409</v>
      </c>
      <c r="AB204" s="261" t="s">
        <v>488</v>
      </c>
      <c r="AC204" s="261" t="s">
        <v>489</v>
      </c>
      <c r="AD204" s="261" t="s">
        <v>490</v>
      </c>
      <c r="AE204" s="261" t="s">
        <v>491</v>
      </c>
      <c r="AF204" s="261" t="s">
        <v>492</v>
      </c>
      <c r="AG204" s="261" t="s">
        <v>493</v>
      </c>
      <c r="AH204" s="261" t="s">
        <v>494</v>
      </c>
      <c r="AI204" s="261" t="s">
        <v>495</v>
      </c>
    </row>
    <row r="205" spans="1:35" ht="43.2" x14ac:dyDescent="0.3">
      <c r="A205" s="77">
        <v>142</v>
      </c>
      <c r="B205" s="77" t="str">
        <f t="shared" si="24"/>
        <v>Y</v>
      </c>
      <c r="C205" s="77" t="s">
        <v>45</v>
      </c>
      <c r="D205" s="77" t="s">
        <v>1872</v>
      </c>
      <c r="E205" s="84" t="s">
        <v>1873</v>
      </c>
      <c r="F205" s="80" t="s">
        <v>726</v>
      </c>
      <c r="G205" s="96" t="s">
        <v>734</v>
      </c>
      <c r="H205" s="77">
        <v>200</v>
      </c>
      <c r="J205" s="259" t="s">
        <v>50</v>
      </c>
      <c r="K205" s="259" t="s">
        <v>482</v>
      </c>
      <c r="L205" s="259" t="s">
        <v>51</v>
      </c>
      <c r="M205" s="259" t="s">
        <v>13</v>
      </c>
      <c r="N205" s="259" t="s">
        <v>10</v>
      </c>
      <c r="O205" s="259" t="s">
        <v>1372</v>
      </c>
      <c r="P205" s="259" t="s">
        <v>16</v>
      </c>
      <c r="Q205" s="259" t="s">
        <v>952</v>
      </c>
      <c r="R205" s="259" t="s">
        <v>51</v>
      </c>
      <c r="S205" s="263"/>
      <c r="T205" s="257" t="s">
        <v>520</v>
      </c>
      <c r="U205" s="259" t="s">
        <v>55</v>
      </c>
      <c r="V205" s="261" t="s">
        <v>2277</v>
      </c>
      <c r="W205" s="259" t="s">
        <v>2278</v>
      </c>
      <c r="X205" s="266" t="s">
        <v>2281</v>
      </c>
      <c r="Y205" s="267" t="s">
        <v>2282</v>
      </c>
      <c r="Z205" s="257" t="s">
        <v>2283</v>
      </c>
      <c r="AA205" s="261" t="s">
        <v>2409</v>
      </c>
      <c r="AB205" s="261" t="s">
        <v>488</v>
      </c>
      <c r="AC205" s="261" t="s">
        <v>489</v>
      </c>
      <c r="AD205" s="261" t="s">
        <v>490</v>
      </c>
      <c r="AE205" s="261" t="s">
        <v>491</v>
      </c>
      <c r="AF205" s="261" t="s">
        <v>492</v>
      </c>
      <c r="AG205" s="261" t="s">
        <v>493</v>
      </c>
      <c r="AH205" s="261" t="s">
        <v>494</v>
      </c>
      <c r="AI205" s="261" t="s">
        <v>495</v>
      </c>
    </row>
    <row r="206" spans="1:35" ht="43.2" x14ac:dyDescent="0.3">
      <c r="A206" s="77">
        <v>143</v>
      </c>
      <c r="B206" s="77" t="str">
        <f t="shared" si="24"/>
        <v>Y</v>
      </c>
      <c r="C206" s="77" t="s">
        <v>45</v>
      </c>
      <c r="D206" s="77" t="s">
        <v>1874</v>
      </c>
      <c r="E206" s="84" t="s">
        <v>1875</v>
      </c>
      <c r="F206" s="80" t="s">
        <v>729</v>
      </c>
      <c r="G206" s="96" t="s">
        <v>734</v>
      </c>
      <c r="H206" s="77">
        <v>200</v>
      </c>
      <c r="J206" s="259" t="s">
        <v>50</v>
      </c>
      <c r="K206" s="259" t="s">
        <v>482</v>
      </c>
      <c r="L206" s="259" t="s">
        <v>51</v>
      </c>
      <c r="M206" s="259" t="s">
        <v>13</v>
      </c>
      <c r="N206" s="259" t="s">
        <v>10</v>
      </c>
      <c r="O206" s="259" t="s">
        <v>1372</v>
      </c>
      <c r="P206" s="259" t="s">
        <v>16</v>
      </c>
      <c r="Q206" s="259" t="s">
        <v>952</v>
      </c>
      <c r="R206" s="259" t="s">
        <v>51</v>
      </c>
      <c r="S206" s="263"/>
      <c r="T206" s="257" t="s">
        <v>171</v>
      </c>
      <c r="U206" s="259" t="s">
        <v>55</v>
      </c>
      <c r="V206" s="261" t="s">
        <v>2277</v>
      </c>
      <c r="W206" s="259" t="s">
        <v>2278</v>
      </c>
      <c r="X206" s="264" t="s">
        <v>964</v>
      </c>
      <c r="Y206" s="265" t="s">
        <v>1159</v>
      </c>
      <c r="Z206" s="257" t="s">
        <v>2284</v>
      </c>
      <c r="AA206" s="261" t="s">
        <v>2409</v>
      </c>
      <c r="AB206" s="261" t="s">
        <v>488</v>
      </c>
      <c r="AC206" s="261" t="s">
        <v>489</v>
      </c>
      <c r="AD206" s="261" t="s">
        <v>490</v>
      </c>
      <c r="AE206" s="261" t="s">
        <v>491</v>
      </c>
      <c r="AF206" s="261" t="s">
        <v>492</v>
      </c>
      <c r="AG206" s="261" t="s">
        <v>493</v>
      </c>
      <c r="AH206" s="261" t="s">
        <v>494</v>
      </c>
      <c r="AI206" s="261" t="s">
        <v>495</v>
      </c>
    </row>
    <row r="207" spans="1:35" ht="43.2" x14ac:dyDescent="0.3">
      <c r="A207" s="77">
        <v>144</v>
      </c>
      <c r="B207" s="77" t="str">
        <f t="shared" ref="B207:B210" si="31">C207</f>
        <v>Y</v>
      </c>
      <c r="C207" s="77" t="s">
        <v>45</v>
      </c>
      <c r="D207" s="77" t="s">
        <v>2518</v>
      </c>
      <c r="E207" s="84" t="s">
        <v>2519</v>
      </c>
      <c r="F207" s="80" t="s">
        <v>720</v>
      </c>
      <c r="G207" s="96" t="s">
        <v>741</v>
      </c>
      <c r="H207" s="77">
        <v>200</v>
      </c>
      <c r="J207" s="259" t="s">
        <v>50</v>
      </c>
      <c r="K207" s="259" t="s">
        <v>482</v>
      </c>
      <c r="L207" s="259" t="s">
        <v>51</v>
      </c>
      <c r="M207" s="259" t="s">
        <v>13</v>
      </c>
      <c r="N207" s="259" t="s">
        <v>10</v>
      </c>
      <c r="O207" s="259" t="s">
        <v>1372</v>
      </c>
      <c r="P207" s="259" t="s">
        <v>16</v>
      </c>
      <c r="Q207" s="259" t="s">
        <v>952</v>
      </c>
      <c r="R207" s="259" t="s">
        <v>51</v>
      </c>
      <c r="S207" s="260"/>
      <c r="T207" s="259" t="s">
        <v>484</v>
      </c>
      <c r="U207" s="259" t="s">
        <v>55</v>
      </c>
      <c r="V207" s="261" t="s">
        <v>2277</v>
      </c>
      <c r="W207" s="259" t="s">
        <v>2278</v>
      </c>
      <c r="X207" s="261" t="s">
        <v>486</v>
      </c>
      <c r="Y207" s="262" t="s">
        <v>2279</v>
      </c>
      <c r="Z207" s="261" t="s">
        <v>955</v>
      </c>
      <c r="AA207" s="261" t="s">
        <v>2409</v>
      </c>
      <c r="AB207" s="261" t="s">
        <v>488</v>
      </c>
      <c r="AC207" s="261" t="s">
        <v>489</v>
      </c>
      <c r="AD207" s="261" t="s">
        <v>490</v>
      </c>
      <c r="AE207" s="261" t="s">
        <v>491</v>
      </c>
      <c r="AF207" s="261" t="s">
        <v>492</v>
      </c>
      <c r="AG207" s="261" t="s">
        <v>493</v>
      </c>
      <c r="AH207" s="261" t="s">
        <v>494</v>
      </c>
      <c r="AI207" s="261" t="s">
        <v>495</v>
      </c>
    </row>
    <row r="208" spans="1:35" ht="43.2" x14ac:dyDescent="0.3">
      <c r="A208" s="77"/>
      <c r="B208" s="77" t="str">
        <f t="shared" si="31"/>
        <v>Y</v>
      </c>
      <c r="C208" s="77" t="s">
        <v>45</v>
      </c>
      <c r="D208" s="77" t="s">
        <v>2520</v>
      </c>
      <c r="E208" s="84" t="s">
        <v>2575</v>
      </c>
      <c r="F208" s="80" t="s">
        <v>720</v>
      </c>
      <c r="G208" s="96" t="s">
        <v>741</v>
      </c>
      <c r="H208" s="77">
        <v>200</v>
      </c>
      <c r="J208" s="259" t="s">
        <v>50</v>
      </c>
      <c r="K208" s="259" t="s">
        <v>482</v>
      </c>
      <c r="L208" s="259" t="s">
        <v>51</v>
      </c>
      <c r="M208" s="259" t="s">
        <v>13</v>
      </c>
      <c r="N208" s="259" t="s">
        <v>10</v>
      </c>
      <c r="O208" s="259" t="s">
        <v>1372</v>
      </c>
      <c r="P208" s="259" t="s">
        <v>16</v>
      </c>
      <c r="Q208" s="259" t="s">
        <v>952</v>
      </c>
      <c r="R208" s="259" t="s">
        <v>51</v>
      </c>
      <c r="S208" s="263"/>
      <c r="T208" s="257" t="s">
        <v>484</v>
      </c>
      <c r="U208" s="259" t="s">
        <v>55</v>
      </c>
      <c r="V208" s="261" t="s">
        <v>2277</v>
      </c>
      <c r="W208" s="259" t="s">
        <v>2278</v>
      </c>
      <c r="X208" s="264" t="s">
        <v>517</v>
      </c>
      <c r="Y208" s="265" t="s">
        <v>2280</v>
      </c>
      <c r="Z208" s="257" t="s">
        <v>955</v>
      </c>
      <c r="AA208" s="261" t="s">
        <v>2409</v>
      </c>
      <c r="AB208" s="261" t="s">
        <v>488</v>
      </c>
      <c r="AC208" s="261" t="s">
        <v>489</v>
      </c>
      <c r="AD208" s="261" t="s">
        <v>490</v>
      </c>
      <c r="AE208" s="261" t="s">
        <v>491</v>
      </c>
      <c r="AF208" s="261" t="s">
        <v>492</v>
      </c>
      <c r="AG208" s="261" t="s">
        <v>493</v>
      </c>
      <c r="AH208" s="261" t="s">
        <v>494</v>
      </c>
      <c r="AI208" s="261" t="s">
        <v>495</v>
      </c>
    </row>
    <row r="209" spans="1:35" ht="43.2" x14ac:dyDescent="0.3">
      <c r="A209" s="77">
        <v>145</v>
      </c>
      <c r="B209" s="77" t="str">
        <f t="shared" si="31"/>
        <v>Y</v>
      </c>
      <c r="C209" s="77" t="s">
        <v>45</v>
      </c>
      <c r="D209" s="77" t="s">
        <v>1876</v>
      </c>
      <c r="E209" s="84" t="s">
        <v>1877</v>
      </c>
      <c r="F209" s="80" t="s">
        <v>726</v>
      </c>
      <c r="G209" s="96" t="s">
        <v>741</v>
      </c>
      <c r="H209" s="77">
        <v>200</v>
      </c>
      <c r="J209" s="259" t="s">
        <v>50</v>
      </c>
      <c r="K209" s="259" t="s">
        <v>482</v>
      </c>
      <c r="L209" s="259" t="s">
        <v>51</v>
      </c>
      <c r="M209" s="259" t="s">
        <v>13</v>
      </c>
      <c r="N209" s="259" t="s">
        <v>10</v>
      </c>
      <c r="O209" s="259" t="s">
        <v>1372</v>
      </c>
      <c r="P209" s="259" t="s">
        <v>16</v>
      </c>
      <c r="Q209" s="259" t="s">
        <v>952</v>
      </c>
      <c r="R209" s="259" t="s">
        <v>51</v>
      </c>
      <c r="S209" s="263"/>
      <c r="T209" s="257" t="s">
        <v>520</v>
      </c>
      <c r="U209" s="259" t="s">
        <v>55</v>
      </c>
      <c r="V209" s="261" t="s">
        <v>2277</v>
      </c>
      <c r="W209" s="259" t="s">
        <v>2278</v>
      </c>
      <c r="X209" s="266" t="s">
        <v>2281</v>
      </c>
      <c r="Y209" s="267" t="s">
        <v>2282</v>
      </c>
      <c r="Z209" s="257" t="s">
        <v>2283</v>
      </c>
      <c r="AA209" s="261" t="s">
        <v>2409</v>
      </c>
      <c r="AB209" s="261" t="s">
        <v>488</v>
      </c>
      <c r="AC209" s="261" t="s">
        <v>489</v>
      </c>
      <c r="AD209" s="261" t="s">
        <v>490</v>
      </c>
      <c r="AE209" s="261" t="s">
        <v>491</v>
      </c>
      <c r="AF209" s="261" t="s">
        <v>492</v>
      </c>
      <c r="AG209" s="261" t="s">
        <v>493</v>
      </c>
      <c r="AH209" s="261" t="s">
        <v>494</v>
      </c>
      <c r="AI209" s="261" t="s">
        <v>495</v>
      </c>
    </row>
    <row r="210" spans="1:35" ht="43.2" x14ac:dyDescent="0.3">
      <c r="A210" s="77">
        <v>146</v>
      </c>
      <c r="B210" s="77" t="str">
        <f t="shared" si="31"/>
        <v>Y</v>
      </c>
      <c r="C210" s="77" t="s">
        <v>45</v>
      </c>
      <c r="D210" s="77" t="s">
        <v>1878</v>
      </c>
      <c r="E210" s="84" t="s">
        <v>1879</v>
      </c>
      <c r="F210" s="80" t="s">
        <v>729</v>
      </c>
      <c r="G210" s="96" t="s">
        <v>741</v>
      </c>
      <c r="H210" s="77">
        <v>200</v>
      </c>
      <c r="J210" s="259" t="s">
        <v>50</v>
      </c>
      <c r="K210" s="259" t="s">
        <v>482</v>
      </c>
      <c r="L210" s="259" t="s">
        <v>51</v>
      </c>
      <c r="M210" s="259" t="s">
        <v>13</v>
      </c>
      <c r="N210" s="259" t="s">
        <v>10</v>
      </c>
      <c r="O210" s="259" t="s">
        <v>1372</v>
      </c>
      <c r="P210" s="259" t="s">
        <v>16</v>
      </c>
      <c r="Q210" s="259" t="s">
        <v>952</v>
      </c>
      <c r="R210" s="259" t="s">
        <v>51</v>
      </c>
      <c r="S210" s="263"/>
      <c r="T210" s="257" t="s">
        <v>171</v>
      </c>
      <c r="U210" s="259" t="s">
        <v>55</v>
      </c>
      <c r="V210" s="261" t="s">
        <v>2277</v>
      </c>
      <c r="W210" s="259" t="s">
        <v>2278</v>
      </c>
      <c r="X210" s="264" t="s">
        <v>964</v>
      </c>
      <c r="Y210" s="265" t="s">
        <v>1159</v>
      </c>
      <c r="Z210" s="257" t="s">
        <v>2284</v>
      </c>
      <c r="AA210" s="261" t="s">
        <v>2409</v>
      </c>
      <c r="AB210" s="261" t="s">
        <v>488</v>
      </c>
      <c r="AC210" s="261" t="s">
        <v>489</v>
      </c>
      <c r="AD210" s="261" t="s">
        <v>490</v>
      </c>
      <c r="AE210" s="261" t="s">
        <v>491</v>
      </c>
      <c r="AF210" s="261" t="s">
        <v>492</v>
      </c>
      <c r="AG210" s="261" t="s">
        <v>493</v>
      </c>
      <c r="AH210" s="261" t="s">
        <v>494</v>
      </c>
      <c r="AI210" s="261" t="s">
        <v>495</v>
      </c>
    </row>
    <row r="211" spans="1:35" ht="43.2" x14ac:dyDescent="0.3">
      <c r="A211" s="77">
        <v>147</v>
      </c>
      <c r="B211" s="77" t="str">
        <f t="shared" si="24"/>
        <v>Y</v>
      </c>
      <c r="C211" s="77" t="s">
        <v>45</v>
      </c>
      <c r="D211" s="77" t="s">
        <v>2521</v>
      </c>
      <c r="E211" s="84" t="s">
        <v>2523</v>
      </c>
      <c r="F211" s="80" t="s">
        <v>720</v>
      </c>
      <c r="G211" s="96" t="s">
        <v>750</v>
      </c>
      <c r="H211" s="77">
        <v>200</v>
      </c>
      <c r="J211" s="259" t="s">
        <v>50</v>
      </c>
      <c r="K211" s="259" t="s">
        <v>482</v>
      </c>
      <c r="L211" s="259" t="s">
        <v>51</v>
      </c>
      <c r="M211" s="259" t="s">
        <v>13</v>
      </c>
      <c r="N211" s="259" t="s">
        <v>10</v>
      </c>
      <c r="O211" s="259" t="s">
        <v>1372</v>
      </c>
      <c r="P211" s="259" t="s">
        <v>16</v>
      </c>
      <c r="Q211" s="259" t="s">
        <v>952</v>
      </c>
      <c r="R211" s="259" t="s">
        <v>51</v>
      </c>
      <c r="S211" s="260"/>
      <c r="T211" s="259" t="s">
        <v>484</v>
      </c>
      <c r="U211" s="259" t="s">
        <v>55</v>
      </c>
      <c r="V211" s="261" t="s">
        <v>2277</v>
      </c>
      <c r="W211" s="259" t="s">
        <v>2278</v>
      </c>
      <c r="X211" s="261" t="s">
        <v>486</v>
      </c>
      <c r="Y211" s="262" t="s">
        <v>2279</v>
      </c>
      <c r="Z211" s="261" t="s">
        <v>955</v>
      </c>
      <c r="AA211" s="261" t="s">
        <v>2409</v>
      </c>
      <c r="AB211" s="261" t="s">
        <v>488</v>
      </c>
      <c r="AC211" s="261" t="s">
        <v>489</v>
      </c>
      <c r="AD211" s="261" t="s">
        <v>490</v>
      </c>
      <c r="AE211" s="261" t="s">
        <v>491</v>
      </c>
      <c r="AF211" s="261" t="s">
        <v>492</v>
      </c>
      <c r="AG211" s="261" t="s">
        <v>493</v>
      </c>
      <c r="AH211" s="261" t="s">
        <v>494</v>
      </c>
      <c r="AI211" s="261" t="s">
        <v>495</v>
      </c>
    </row>
    <row r="212" spans="1:35" ht="43.2" x14ac:dyDescent="0.3">
      <c r="A212" s="77"/>
      <c r="B212" s="77" t="str">
        <f t="shared" ref="B212" si="32">C212</f>
        <v>Y</v>
      </c>
      <c r="C212" s="77" t="s">
        <v>45</v>
      </c>
      <c r="D212" s="77" t="s">
        <v>2522</v>
      </c>
      <c r="E212" s="84" t="s">
        <v>2524</v>
      </c>
      <c r="F212" s="80" t="s">
        <v>720</v>
      </c>
      <c r="G212" s="96" t="s">
        <v>750</v>
      </c>
      <c r="H212" s="77">
        <v>200</v>
      </c>
      <c r="J212" s="259" t="s">
        <v>50</v>
      </c>
      <c r="K212" s="259" t="s">
        <v>482</v>
      </c>
      <c r="L212" s="259" t="s">
        <v>51</v>
      </c>
      <c r="M212" s="259" t="s">
        <v>13</v>
      </c>
      <c r="N212" s="259" t="s">
        <v>10</v>
      </c>
      <c r="O212" s="259" t="s">
        <v>1372</v>
      </c>
      <c r="P212" s="259" t="s">
        <v>16</v>
      </c>
      <c r="Q212" s="259" t="s">
        <v>952</v>
      </c>
      <c r="R212" s="259" t="s">
        <v>51</v>
      </c>
      <c r="S212" s="263"/>
      <c r="T212" s="257" t="s">
        <v>484</v>
      </c>
      <c r="U212" s="259" t="s">
        <v>55</v>
      </c>
      <c r="V212" s="261" t="s">
        <v>2277</v>
      </c>
      <c r="W212" s="259" t="s">
        <v>2278</v>
      </c>
      <c r="X212" s="264" t="s">
        <v>517</v>
      </c>
      <c r="Y212" s="265" t="s">
        <v>2280</v>
      </c>
      <c r="Z212" s="257" t="s">
        <v>955</v>
      </c>
      <c r="AA212" s="261" t="s">
        <v>2409</v>
      </c>
      <c r="AB212" s="261" t="s">
        <v>488</v>
      </c>
      <c r="AC212" s="261" t="s">
        <v>489</v>
      </c>
      <c r="AD212" s="261" t="s">
        <v>490</v>
      </c>
      <c r="AE212" s="261" t="s">
        <v>491</v>
      </c>
      <c r="AF212" s="261" t="s">
        <v>492</v>
      </c>
      <c r="AG212" s="261" t="s">
        <v>493</v>
      </c>
      <c r="AH212" s="261" t="s">
        <v>494</v>
      </c>
      <c r="AI212" s="261" t="s">
        <v>495</v>
      </c>
    </row>
    <row r="213" spans="1:35" ht="43.2" x14ac:dyDescent="0.3">
      <c r="A213" s="77">
        <v>148</v>
      </c>
      <c r="B213" s="77" t="str">
        <f t="shared" ref="B213:B218" si="33">C213</f>
        <v>Y</v>
      </c>
      <c r="C213" s="77" t="s">
        <v>45</v>
      </c>
      <c r="D213" s="77" t="s">
        <v>1880</v>
      </c>
      <c r="E213" s="84" t="s">
        <v>1881</v>
      </c>
      <c r="F213" s="80" t="s">
        <v>726</v>
      </c>
      <c r="G213" s="96" t="s">
        <v>750</v>
      </c>
      <c r="H213" s="77">
        <v>200</v>
      </c>
      <c r="J213" s="259" t="s">
        <v>50</v>
      </c>
      <c r="K213" s="259" t="s">
        <v>482</v>
      </c>
      <c r="L213" s="259" t="s">
        <v>51</v>
      </c>
      <c r="M213" s="259" t="s">
        <v>13</v>
      </c>
      <c r="N213" s="259" t="s">
        <v>10</v>
      </c>
      <c r="O213" s="259" t="s">
        <v>1372</v>
      </c>
      <c r="P213" s="259" t="s">
        <v>16</v>
      </c>
      <c r="Q213" s="259" t="s">
        <v>952</v>
      </c>
      <c r="R213" s="259" t="s">
        <v>51</v>
      </c>
      <c r="S213" s="263"/>
      <c r="T213" s="257" t="s">
        <v>520</v>
      </c>
      <c r="U213" s="259" t="s">
        <v>55</v>
      </c>
      <c r="V213" s="261" t="s">
        <v>2277</v>
      </c>
      <c r="W213" s="259" t="s">
        <v>2278</v>
      </c>
      <c r="X213" s="266" t="s">
        <v>2281</v>
      </c>
      <c r="Y213" s="267" t="s">
        <v>2282</v>
      </c>
      <c r="Z213" s="257" t="s">
        <v>2283</v>
      </c>
      <c r="AA213" s="261" t="s">
        <v>2409</v>
      </c>
      <c r="AB213" s="261" t="s">
        <v>488</v>
      </c>
      <c r="AC213" s="261" t="s">
        <v>489</v>
      </c>
      <c r="AD213" s="261" t="s">
        <v>490</v>
      </c>
      <c r="AE213" s="261" t="s">
        <v>491</v>
      </c>
      <c r="AF213" s="261" t="s">
        <v>492</v>
      </c>
      <c r="AG213" s="261" t="s">
        <v>493</v>
      </c>
      <c r="AH213" s="261" t="s">
        <v>494</v>
      </c>
      <c r="AI213" s="261" t="s">
        <v>495</v>
      </c>
    </row>
    <row r="214" spans="1:35" ht="43.2" x14ac:dyDescent="0.3">
      <c r="A214" s="77">
        <v>149</v>
      </c>
      <c r="B214" s="77" t="str">
        <f t="shared" si="33"/>
        <v>Y</v>
      </c>
      <c r="C214" s="77" t="s">
        <v>45</v>
      </c>
      <c r="D214" s="77" t="s">
        <v>1882</v>
      </c>
      <c r="E214" s="84" t="s">
        <v>1883</v>
      </c>
      <c r="F214" s="80" t="s">
        <v>729</v>
      </c>
      <c r="G214" s="96" t="s">
        <v>750</v>
      </c>
      <c r="H214" s="77">
        <v>200</v>
      </c>
      <c r="J214" s="259" t="s">
        <v>50</v>
      </c>
      <c r="K214" s="259" t="s">
        <v>482</v>
      </c>
      <c r="L214" s="259" t="s">
        <v>51</v>
      </c>
      <c r="M214" s="259" t="s">
        <v>13</v>
      </c>
      <c r="N214" s="259" t="s">
        <v>10</v>
      </c>
      <c r="O214" s="259" t="s">
        <v>1372</v>
      </c>
      <c r="P214" s="259" t="s">
        <v>16</v>
      </c>
      <c r="Q214" s="259" t="s">
        <v>952</v>
      </c>
      <c r="R214" s="259" t="s">
        <v>51</v>
      </c>
      <c r="S214" s="263"/>
      <c r="T214" s="257" t="s">
        <v>171</v>
      </c>
      <c r="U214" s="259" t="s">
        <v>55</v>
      </c>
      <c r="V214" s="261" t="s">
        <v>2277</v>
      </c>
      <c r="W214" s="259" t="s">
        <v>2278</v>
      </c>
      <c r="X214" s="264" t="s">
        <v>964</v>
      </c>
      <c r="Y214" s="265" t="s">
        <v>1159</v>
      </c>
      <c r="Z214" s="257" t="s">
        <v>2284</v>
      </c>
      <c r="AA214" s="261" t="s">
        <v>2409</v>
      </c>
      <c r="AB214" s="261" t="s">
        <v>488</v>
      </c>
      <c r="AC214" s="261" t="s">
        <v>489</v>
      </c>
      <c r="AD214" s="261" t="s">
        <v>490</v>
      </c>
      <c r="AE214" s="261" t="s">
        <v>491</v>
      </c>
      <c r="AF214" s="261" t="s">
        <v>492</v>
      </c>
      <c r="AG214" s="261" t="s">
        <v>493</v>
      </c>
      <c r="AH214" s="261" t="s">
        <v>494</v>
      </c>
      <c r="AI214" s="261" t="s">
        <v>495</v>
      </c>
    </row>
    <row r="215" spans="1:35" ht="43.2" x14ac:dyDescent="0.3">
      <c r="A215" s="77">
        <v>150</v>
      </c>
      <c r="B215" s="77" t="str">
        <f t="shared" si="33"/>
        <v>Y</v>
      </c>
      <c r="C215" s="77" t="s">
        <v>45</v>
      </c>
      <c r="D215" s="77" t="s">
        <v>2525</v>
      </c>
      <c r="E215" s="84" t="s">
        <v>2529</v>
      </c>
      <c r="F215" s="80" t="s">
        <v>759</v>
      </c>
      <c r="G215" s="96" t="s">
        <v>1249</v>
      </c>
      <c r="H215" s="77">
        <v>200</v>
      </c>
      <c r="J215" s="259" t="s">
        <v>50</v>
      </c>
      <c r="K215" s="259" t="s">
        <v>482</v>
      </c>
      <c r="L215" s="259" t="s">
        <v>51</v>
      </c>
      <c r="M215" s="259" t="s">
        <v>13</v>
      </c>
      <c r="N215" s="259" t="s">
        <v>10</v>
      </c>
      <c r="O215" s="259" t="s">
        <v>1372</v>
      </c>
      <c r="P215" s="259" t="s">
        <v>16</v>
      </c>
      <c r="Q215" s="259" t="s">
        <v>952</v>
      </c>
      <c r="R215" s="259" t="s">
        <v>51</v>
      </c>
      <c r="S215" s="260"/>
      <c r="T215" s="259" t="s">
        <v>484</v>
      </c>
      <c r="U215" s="259" t="s">
        <v>55</v>
      </c>
      <c r="V215" s="261" t="s">
        <v>2277</v>
      </c>
      <c r="W215" s="259" t="s">
        <v>2278</v>
      </c>
      <c r="X215" s="261" t="s">
        <v>486</v>
      </c>
      <c r="Y215" s="262" t="s">
        <v>2279</v>
      </c>
      <c r="Z215" s="261" t="s">
        <v>955</v>
      </c>
      <c r="AA215" s="261" t="s">
        <v>2409</v>
      </c>
      <c r="AB215" s="261" t="s">
        <v>488</v>
      </c>
      <c r="AC215" s="261" t="s">
        <v>489</v>
      </c>
      <c r="AD215" s="261" t="s">
        <v>490</v>
      </c>
      <c r="AE215" s="261" t="s">
        <v>491</v>
      </c>
      <c r="AF215" s="261" t="s">
        <v>492</v>
      </c>
      <c r="AG215" s="261" t="s">
        <v>493</v>
      </c>
      <c r="AH215" s="261" t="s">
        <v>494</v>
      </c>
      <c r="AI215" s="261" t="s">
        <v>495</v>
      </c>
    </row>
    <row r="216" spans="1:35" ht="43.2" x14ac:dyDescent="0.3">
      <c r="A216" s="77"/>
      <c r="B216" s="77" t="str">
        <f t="shared" si="33"/>
        <v>Y</v>
      </c>
      <c r="C216" s="77" t="s">
        <v>45</v>
      </c>
      <c r="D216" s="77" t="s">
        <v>2526</v>
      </c>
      <c r="E216" s="84" t="s">
        <v>2530</v>
      </c>
      <c r="F216" s="80" t="s">
        <v>759</v>
      </c>
      <c r="G216" s="96" t="s">
        <v>1249</v>
      </c>
      <c r="H216" s="77">
        <v>200</v>
      </c>
      <c r="J216" s="259" t="s">
        <v>50</v>
      </c>
      <c r="K216" s="259" t="s">
        <v>482</v>
      </c>
      <c r="L216" s="259" t="s">
        <v>51</v>
      </c>
      <c r="M216" s="259" t="s">
        <v>13</v>
      </c>
      <c r="N216" s="259" t="s">
        <v>10</v>
      </c>
      <c r="O216" s="259" t="s">
        <v>1372</v>
      </c>
      <c r="P216" s="259" t="s">
        <v>16</v>
      </c>
      <c r="Q216" s="259" t="s">
        <v>952</v>
      </c>
      <c r="R216" s="259" t="s">
        <v>51</v>
      </c>
      <c r="S216" s="263"/>
      <c r="T216" s="257" t="s">
        <v>484</v>
      </c>
      <c r="U216" s="259" t="s">
        <v>55</v>
      </c>
      <c r="V216" s="261" t="s">
        <v>2277</v>
      </c>
      <c r="W216" s="259" t="s">
        <v>2278</v>
      </c>
      <c r="X216" s="264" t="s">
        <v>517</v>
      </c>
      <c r="Y216" s="265" t="s">
        <v>2280</v>
      </c>
      <c r="Z216" s="257" t="s">
        <v>955</v>
      </c>
      <c r="AA216" s="261" t="s">
        <v>2409</v>
      </c>
      <c r="AB216" s="261" t="s">
        <v>488</v>
      </c>
      <c r="AC216" s="261" t="s">
        <v>489</v>
      </c>
      <c r="AD216" s="261" t="s">
        <v>490</v>
      </c>
      <c r="AE216" s="261" t="s">
        <v>491</v>
      </c>
      <c r="AF216" s="261" t="s">
        <v>492</v>
      </c>
      <c r="AG216" s="261" t="s">
        <v>493</v>
      </c>
      <c r="AH216" s="261" t="s">
        <v>494</v>
      </c>
      <c r="AI216" s="261" t="s">
        <v>495</v>
      </c>
    </row>
    <row r="217" spans="1:35" ht="43.2" x14ac:dyDescent="0.3">
      <c r="A217" s="77"/>
      <c r="B217" s="77" t="str">
        <f t="shared" si="33"/>
        <v>Y</v>
      </c>
      <c r="C217" s="77" t="s">
        <v>45</v>
      </c>
      <c r="D217" s="77" t="s">
        <v>2527</v>
      </c>
      <c r="E217" s="84" t="s">
        <v>2531</v>
      </c>
      <c r="F217" s="80" t="s">
        <v>759</v>
      </c>
      <c r="G217" s="96" t="s">
        <v>1249</v>
      </c>
      <c r="H217" s="77">
        <v>200</v>
      </c>
      <c r="J217" s="259" t="s">
        <v>50</v>
      </c>
      <c r="K217" s="259" t="s">
        <v>482</v>
      </c>
      <c r="L217" s="259" t="s">
        <v>51</v>
      </c>
      <c r="M217" s="259" t="s">
        <v>13</v>
      </c>
      <c r="N217" s="259" t="s">
        <v>10</v>
      </c>
      <c r="O217" s="259" t="s">
        <v>1372</v>
      </c>
      <c r="P217" s="259" t="s">
        <v>16</v>
      </c>
      <c r="Q217" s="259" t="s">
        <v>952</v>
      </c>
      <c r="R217" s="259" t="s">
        <v>51</v>
      </c>
      <c r="S217" s="263"/>
      <c r="T217" s="257" t="s">
        <v>520</v>
      </c>
      <c r="U217" s="259" t="s">
        <v>55</v>
      </c>
      <c r="V217" s="261" t="s">
        <v>2277</v>
      </c>
      <c r="W217" s="259" t="s">
        <v>2278</v>
      </c>
      <c r="X217" s="266" t="s">
        <v>2281</v>
      </c>
      <c r="Y217" s="267" t="s">
        <v>2282</v>
      </c>
      <c r="Z217" s="257" t="s">
        <v>2283</v>
      </c>
      <c r="AA217" s="261" t="s">
        <v>2409</v>
      </c>
      <c r="AB217" s="261" t="s">
        <v>488</v>
      </c>
      <c r="AC217" s="261" t="s">
        <v>489</v>
      </c>
      <c r="AD217" s="261" t="s">
        <v>490</v>
      </c>
      <c r="AE217" s="261" t="s">
        <v>491</v>
      </c>
      <c r="AF217" s="261" t="s">
        <v>492</v>
      </c>
      <c r="AG217" s="261" t="s">
        <v>493</v>
      </c>
      <c r="AH217" s="261" t="s">
        <v>494</v>
      </c>
      <c r="AI217" s="261" t="s">
        <v>495</v>
      </c>
    </row>
    <row r="218" spans="1:35" ht="43.2" x14ac:dyDescent="0.3">
      <c r="A218" s="77"/>
      <c r="B218" s="77" t="str">
        <f t="shared" si="33"/>
        <v>Y</v>
      </c>
      <c r="C218" s="77" t="s">
        <v>45</v>
      </c>
      <c r="D218" s="77" t="s">
        <v>2528</v>
      </c>
      <c r="E218" s="84" t="s">
        <v>2532</v>
      </c>
      <c r="F218" s="80" t="s">
        <v>759</v>
      </c>
      <c r="G218" s="96" t="s">
        <v>1249</v>
      </c>
      <c r="H218" s="77">
        <v>200</v>
      </c>
      <c r="J218" s="259" t="s">
        <v>50</v>
      </c>
      <c r="K218" s="259" t="s">
        <v>482</v>
      </c>
      <c r="L218" s="259" t="s">
        <v>51</v>
      </c>
      <c r="M218" s="259" t="s">
        <v>13</v>
      </c>
      <c r="N218" s="259" t="s">
        <v>10</v>
      </c>
      <c r="O218" s="259" t="s">
        <v>1372</v>
      </c>
      <c r="P218" s="259" t="s">
        <v>16</v>
      </c>
      <c r="Q218" s="259" t="s">
        <v>952</v>
      </c>
      <c r="R218" s="259" t="s">
        <v>51</v>
      </c>
      <c r="S218" s="263"/>
      <c r="T218" s="257" t="s">
        <v>171</v>
      </c>
      <c r="U218" s="259" t="s">
        <v>55</v>
      </c>
      <c r="V218" s="261" t="s">
        <v>2277</v>
      </c>
      <c r="W218" s="259" t="s">
        <v>2278</v>
      </c>
      <c r="X218" s="264" t="s">
        <v>964</v>
      </c>
      <c r="Y218" s="265" t="s">
        <v>1159</v>
      </c>
      <c r="Z218" s="257" t="s">
        <v>2284</v>
      </c>
      <c r="AA218" s="261" t="s">
        <v>2409</v>
      </c>
      <c r="AB218" s="261" t="s">
        <v>488</v>
      </c>
      <c r="AC218" s="261" t="s">
        <v>489</v>
      </c>
      <c r="AD218" s="261" t="s">
        <v>490</v>
      </c>
      <c r="AE218" s="261" t="s">
        <v>491</v>
      </c>
      <c r="AF218" s="261" t="s">
        <v>492</v>
      </c>
      <c r="AG218" s="261" t="s">
        <v>493</v>
      </c>
      <c r="AH218" s="261" t="s">
        <v>494</v>
      </c>
      <c r="AI218" s="261" t="s">
        <v>495</v>
      </c>
    </row>
    <row r="219" spans="1:35" ht="43.2" x14ac:dyDescent="0.3">
      <c r="A219" s="77">
        <v>151</v>
      </c>
      <c r="B219" s="77" t="str">
        <f t="shared" ref="B219:B222" si="34">C219</f>
        <v>Y</v>
      </c>
      <c r="C219" s="77" t="s">
        <v>45</v>
      </c>
      <c r="D219" s="77" t="s">
        <v>2533</v>
      </c>
      <c r="E219" s="291" t="s">
        <v>2534</v>
      </c>
      <c r="F219" s="283" t="s">
        <v>759</v>
      </c>
      <c r="G219" s="284" t="s">
        <v>767</v>
      </c>
      <c r="H219" s="77">
        <v>200</v>
      </c>
      <c r="J219" s="259" t="s">
        <v>50</v>
      </c>
      <c r="K219" s="259" t="s">
        <v>482</v>
      </c>
      <c r="L219" s="259" t="s">
        <v>51</v>
      </c>
      <c r="M219" s="259" t="s">
        <v>13</v>
      </c>
      <c r="N219" s="259" t="s">
        <v>10</v>
      </c>
      <c r="O219" s="259" t="s">
        <v>1372</v>
      </c>
      <c r="P219" s="259" t="s">
        <v>16</v>
      </c>
      <c r="Q219" s="259" t="s">
        <v>952</v>
      </c>
      <c r="R219" s="259" t="s">
        <v>51</v>
      </c>
      <c r="S219" s="260"/>
      <c r="T219" s="259" t="s">
        <v>484</v>
      </c>
      <c r="U219" s="259" t="s">
        <v>55</v>
      </c>
      <c r="V219" s="261" t="s">
        <v>2277</v>
      </c>
      <c r="W219" s="259" t="s">
        <v>2278</v>
      </c>
      <c r="X219" s="261" t="s">
        <v>486</v>
      </c>
      <c r="Y219" s="262" t="s">
        <v>2279</v>
      </c>
      <c r="Z219" s="261" t="s">
        <v>955</v>
      </c>
      <c r="AA219" s="261" t="s">
        <v>2409</v>
      </c>
      <c r="AB219" s="261" t="s">
        <v>488</v>
      </c>
      <c r="AC219" s="261" t="s">
        <v>489</v>
      </c>
      <c r="AD219" s="261" t="s">
        <v>490</v>
      </c>
      <c r="AE219" s="261" t="s">
        <v>491</v>
      </c>
      <c r="AF219" s="261" t="s">
        <v>492</v>
      </c>
      <c r="AG219" s="261" t="s">
        <v>493</v>
      </c>
      <c r="AH219" s="261" t="s">
        <v>494</v>
      </c>
      <c r="AI219" s="261" t="s">
        <v>495</v>
      </c>
    </row>
    <row r="220" spans="1:35" ht="43.2" x14ac:dyDescent="0.3">
      <c r="A220" s="77"/>
      <c r="B220" s="77" t="str">
        <f t="shared" si="34"/>
        <v>Y</v>
      </c>
      <c r="C220" s="77" t="s">
        <v>45</v>
      </c>
      <c r="D220" s="77" t="s">
        <v>2535</v>
      </c>
      <c r="E220" s="291" t="s">
        <v>2572</v>
      </c>
      <c r="F220" s="283" t="s">
        <v>759</v>
      </c>
      <c r="G220" s="284" t="s">
        <v>767</v>
      </c>
      <c r="H220" s="77">
        <v>200</v>
      </c>
      <c r="J220" s="259" t="s">
        <v>50</v>
      </c>
      <c r="K220" s="259" t="s">
        <v>482</v>
      </c>
      <c r="L220" s="259" t="s">
        <v>51</v>
      </c>
      <c r="M220" s="259" t="s">
        <v>13</v>
      </c>
      <c r="N220" s="259" t="s">
        <v>10</v>
      </c>
      <c r="O220" s="259" t="s">
        <v>1372</v>
      </c>
      <c r="P220" s="259" t="s">
        <v>16</v>
      </c>
      <c r="Q220" s="259" t="s">
        <v>952</v>
      </c>
      <c r="R220" s="259" t="s">
        <v>51</v>
      </c>
      <c r="S220" s="263"/>
      <c r="T220" s="257" t="s">
        <v>484</v>
      </c>
      <c r="U220" s="259" t="s">
        <v>55</v>
      </c>
      <c r="V220" s="261" t="s">
        <v>2277</v>
      </c>
      <c r="W220" s="259" t="s">
        <v>2278</v>
      </c>
      <c r="X220" s="264" t="s">
        <v>517</v>
      </c>
      <c r="Y220" s="265" t="s">
        <v>2280</v>
      </c>
      <c r="Z220" s="257" t="s">
        <v>955</v>
      </c>
      <c r="AA220" s="261" t="s">
        <v>2409</v>
      </c>
      <c r="AB220" s="261" t="s">
        <v>488</v>
      </c>
      <c r="AC220" s="261" t="s">
        <v>489</v>
      </c>
      <c r="AD220" s="261" t="s">
        <v>490</v>
      </c>
      <c r="AE220" s="261" t="s">
        <v>491</v>
      </c>
      <c r="AF220" s="261" t="s">
        <v>492</v>
      </c>
      <c r="AG220" s="261" t="s">
        <v>493</v>
      </c>
      <c r="AH220" s="261" t="s">
        <v>494</v>
      </c>
      <c r="AI220" s="261" t="s">
        <v>495</v>
      </c>
    </row>
    <row r="221" spans="1:35" ht="43.2" x14ac:dyDescent="0.3">
      <c r="A221" s="77"/>
      <c r="B221" s="77" t="str">
        <f t="shared" si="34"/>
        <v>Y</v>
      </c>
      <c r="C221" s="77" t="s">
        <v>45</v>
      </c>
      <c r="D221" s="77" t="s">
        <v>2536</v>
      </c>
      <c r="E221" s="291" t="s">
        <v>2573</v>
      </c>
      <c r="F221" s="283" t="s">
        <v>759</v>
      </c>
      <c r="G221" s="284" t="s">
        <v>767</v>
      </c>
      <c r="H221" s="77">
        <v>200</v>
      </c>
      <c r="J221" s="259" t="s">
        <v>50</v>
      </c>
      <c r="K221" s="259" t="s">
        <v>482</v>
      </c>
      <c r="L221" s="259" t="s">
        <v>51</v>
      </c>
      <c r="M221" s="259" t="s">
        <v>13</v>
      </c>
      <c r="N221" s="259" t="s">
        <v>10</v>
      </c>
      <c r="O221" s="259" t="s">
        <v>1372</v>
      </c>
      <c r="P221" s="259" t="s">
        <v>16</v>
      </c>
      <c r="Q221" s="259" t="s">
        <v>952</v>
      </c>
      <c r="R221" s="259" t="s">
        <v>51</v>
      </c>
      <c r="S221" s="263"/>
      <c r="T221" s="257" t="s">
        <v>520</v>
      </c>
      <c r="U221" s="259" t="s">
        <v>55</v>
      </c>
      <c r="V221" s="261" t="s">
        <v>2277</v>
      </c>
      <c r="W221" s="259" t="s">
        <v>2278</v>
      </c>
      <c r="X221" s="266" t="s">
        <v>2281</v>
      </c>
      <c r="Y221" s="267" t="s">
        <v>2282</v>
      </c>
      <c r="Z221" s="257" t="s">
        <v>2283</v>
      </c>
      <c r="AA221" s="261" t="s">
        <v>2409</v>
      </c>
      <c r="AB221" s="261" t="s">
        <v>488</v>
      </c>
      <c r="AC221" s="261" t="s">
        <v>489</v>
      </c>
      <c r="AD221" s="261" t="s">
        <v>490</v>
      </c>
      <c r="AE221" s="261" t="s">
        <v>491</v>
      </c>
      <c r="AF221" s="261" t="s">
        <v>492</v>
      </c>
      <c r="AG221" s="261" t="s">
        <v>493</v>
      </c>
      <c r="AH221" s="261" t="s">
        <v>494</v>
      </c>
      <c r="AI221" s="261" t="s">
        <v>495</v>
      </c>
    </row>
    <row r="222" spans="1:35" ht="43.2" x14ac:dyDescent="0.3">
      <c r="A222" s="77"/>
      <c r="B222" s="77" t="str">
        <f t="shared" si="34"/>
        <v>Y</v>
      </c>
      <c r="C222" s="77" t="s">
        <v>45</v>
      </c>
      <c r="D222" s="77" t="s">
        <v>2537</v>
      </c>
      <c r="E222" s="291" t="s">
        <v>2574</v>
      </c>
      <c r="F222" s="283" t="s">
        <v>759</v>
      </c>
      <c r="G222" s="284" t="s">
        <v>767</v>
      </c>
      <c r="H222" s="77">
        <v>200</v>
      </c>
      <c r="J222" s="259" t="s">
        <v>50</v>
      </c>
      <c r="K222" s="259" t="s">
        <v>482</v>
      </c>
      <c r="L222" s="259" t="s">
        <v>51</v>
      </c>
      <c r="M222" s="259" t="s">
        <v>13</v>
      </c>
      <c r="N222" s="259" t="s">
        <v>10</v>
      </c>
      <c r="O222" s="259" t="s">
        <v>1372</v>
      </c>
      <c r="P222" s="259" t="s">
        <v>16</v>
      </c>
      <c r="Q222" s="259" t="s">
        <v>952</v>
      </c>
      <c r="R222" s="259" t="s">
        <v>51</v>
      </c>
      <c r="S222" s="263"/>
      <c r="T222" s="257" t="s">
        <v>171</v>
      </c>
      <c r="U222" s="259" t="s">
        <v>55</v>
      </c>
      <c r="V222" s="261" t="s">
        <v>2277</v>
      </c>
      <c r="W222" s="259" t="s">
        <v>2278</v>
      </c>
      <c r="X222" s="264" t="s">
        <v>964</v>
      </c>
      <c r="Y222" s="265" t="s">
        <v>1159</v>
      </c>
      <c r="Z222" s="257" t="s">
        <v>2284</v>
      </c>
      <c r="AA222" s="261" t="s">
        <v>2409</v>
      </c>
      <c r="AB222" s="261" t="s">
        <v>488</v>
      </c>
      <c r="AC222" s="261" t="s">
        <v>489</v>
      </c>
      <c r="AD222" s="261" t="s">
        <v>490</v>
      </c>
      <c r="AE222" s="261" t="s">
        <v>491</v>
      </c>
      <c r="AF222" s="261" t="s">
        <v>492</v>
      </c>
      <c r="AG222" s="261" t="s">
        <v>493</v>
      </c>
      <c r="AH222" s="261" t="s">
        <v>494</v>
      </c>
      <c r="AI222" s="261" t="s">
        <v>495</v>
      </c>
    </row>
    <row r="223" spans="1:35" ht="115.2" x14ac:dyDescent="0.3">
      <c r="A223" s="77">
        <v>152</v>
      </c>
      <c r="B223" s="77" t="str">
        <f t="shared" ref="B223:B226" si="35">C223</f>
        <v>Y</v>
      </c>
      <c r="C223" s="77" t="s">
        <v>45</v>
      </c>
      <c r="D223" s="77" t="s">
        <v>2538</v>
      </c>
      <c r="E223" s="84" t="s">
        <v>2539</v>
      </c>
      <c r="F223" s="80" t="s">
        <v>759</v>
      </c>
      <c r="G223" s="96" t="s">
        <v>1250</v>
      </c>
      <c r="H223" s="77">
        <v>200</v>
      </c>
      <c r="J223" s="259" t="s">
        <v>50</v>
      </c>
      <c r="K223" s="259" t="s">
        <v>482</v>
      </c>
      <c r="L223" s="259" t="s">
        <v>51</v>
      </c>
      <c r="M223" s="259" t="s">
        <v>13</v>
      </c>
      <c r="N223" s="259" t="s">
        <v>10</v>
      </c>
      <c r="O223" s="259" t="s">
        <v>1372</v>
      </c>
      <c r="P223" s="259" t="s">
        <v>16</v>
      </c>
      <c r="Q223" s="259" t="s">
        <v>952</v>
      </c>
      <c r="R223" s="259" t="s">
        <v>51</v>
      </c>
      <c r="S223" s="260"/>
      <c r="T223" s="259" t="s">
        <v>484</v>
      </c>
      <c r="U223" s="259" t="s">
        <v>55</v>
      </c>
      <c r="V223" s="261" t="s">
        <v>2277</v>
      </c>
      <c r="W223" s="259" t="s">
        <v>2278</v>
      </c>
      <c r="X223" s="261" t="s">
        <v>486</v>
      </c>
      <c r="Y223" s="262" t="s">
        <v>2279</v>
      </c>
      <c r="Z223" s="261" t="s">
        <v>955</v>
      </c>
      <c r="AA223" s="261" t="s">
        <v>2409</v>
      </c>
      <c r="AB223" s="261" t="s">
        <v>488</v>
      </c>
      <c r="AC223" s="261" t="s">
        <v>489</v>
      </c>
      <c r="AD223" s="261" t="s">
        <v>490</v>
      </c>
      <c r="AE223" s="261" t="s">
        <v>491</v>
      </c>
      <c r="AF223" s="261" t="s">
        <v>492</v>
      </c>
      <c r="AG223" s="261" t="s">
        <v>493</v>
      </c>
      <c r="AH223" s="261" t="s">
        <v>494</v>
      </c>
      <c r="AI223" s="261" t="s">
        <v>495</v>
      </c>
    </row>
    <row r="224" spans="1:35" ht="115.2" x14ac:dyDescent="0.3">
      <c r="A224" s="77"/>
      <c r="B224" s="77" t="str">
        <f t="shared" si="35"/>
        <v>Y</v>
      </c>
      <c r="C224" s="77" t="s">
        <v>45</v>
      </c>
      <c r="D224" s="77" t="s">
        <v>2540</v>
      </c>
      <c r="E224" s="84" t="s">
        <v>2543</v>
      </c>
      <c r="F224" s="80" t="s">
        <v>759</v>
      </c>
      <c r="G224" s="96" t="s">
        <v>1250</v>
      </c>
      <c r="H224" s="77">
        <v>200</v>
      </c>
      <c r="J224" s="259" t="s">
        <v>50</v>
      </c>
      <c r="K224" s="259" t="s">
        <v>482</v>
      </c>
      <c r="L224" s="259" t="s">
        <v>51</v>
      </c>
      <c r="M224" s="259" t="s">
        <v>13</v>
      </c>
      <c r="N224" s="259" t="s">
        <v>10</v>
      </c>
      <c r="O224" s="259" t="s">
        <v>1372</v>
      </c>
      <c r="P224" s="259" t="s">
        <v>16</v>
      </c>
      <c r="Q224" s="259" t="s">
        <v>952</v>
      </c>
      <c r="R224" s="259" t="s">
        <v>51</v>
      </c>
      <c r="S224" s="263"/>
      <c r="T224" s="257" t="s">
        <v>484</v>
      </c>
      <c r="U224" s="259" t="s">
        <v>55</v>
      </c>
      <c r="V224" s="261" t="s">
        <v>2277</v>
      </c>
      <c r="W224" s="259" t="s">
        <v>2278</v>
      </c>
      <c r="X224" s="264" t="s">
        <v>517</v>
      </c>
      <c r="Y224" s="265" t="s">
        <v>2280</v>
      </c>
      <c r="Z224" s="257" t="s">
        <v>955</v>
      </c>
      <c r="AA224" s="261" t="s">
        <v>2409</v>
      </c>
      <c r="AB224" s="261" t="s">
        <v>488</v>
      </c>
      <c r="AC224" s="261" t="s">
        <v>489</v>
      </c>
      <c r="AD224" s="261" t="s">
        <v>490</v>
      </c>
      <c r="AE224" s="261" t="s">
        <v>491</v>
      </c>
      <c r="AF224" s="261" t="s">
        <v>492</v>
      </c>
      <c r="AG224" s="261" t="s">
        <v>493</v>
      </c>
      <c r="AH224" s="261" t="s">
        <v>494</v>
      </c>
      <c r="AI224" s="261" t="s">
        <v>495</v>
      </c>
    </row>
    <row r="225" spans="1:35" ht="115.2" x14ac:dyDescent="0.3">
      <c r="A225" s="77"/>
      <c r="B225" s="77" t="str">
        <f t="shared" si="35"/>
        <v>Y</v>
      </c>
      <c r="C225" s="77" t="s">
        <v>45</v>
      </c>
      <c r="D225" s="77" t="s">
        <v>2541</v>
      </c>
      <c r="E225" s="84" t="s">
        <v>2544</v>
      </c>
      <c r="F225" s="80" t="s">
        <v>759</v>
      </c>
      <c r="G225" s="96" t="s">
        <v>1250</v>
      </c>
      <c r="H225" s="77">
        <v>200</v>
      </c>
      <c r="J225" s="259" t="s">
        <v>50</v>
      </c>
      <c r="K225" s="259" t="s">
        <v>482</v>
      </c>
      <c r="L225" s="259" t="s">
        <v>51</v>
      </c>
      <c r="M225" s="259" t="s">
        <v>13</v>
      </c>
      <c r="N225" s="259" t="s">
        <v>10</v>
      </c>
      <c r="O225" s="259" t="s">
        <v>1372</v>
      </c>
      <c r="P225" s="259" t="s">
        <v>16</v>
      </c>
      <c r="Q225" s="259" t="s">
        <v>952</v>
      </c>
      <c r="R225" s="259" t="s">
        <v>51</v>
      </c>
      <c r="S225" s="263"/>
      <c r="T225" s="257" t="s">
        <v>520</v>
      </c>
      <c r="U225" s="259" t="s">
        <v>55</v>
      </c>
      <c r="V225" s="261" t="s">
        <v>2277</v>
      </c>
      <c r="W225" s="259" t="s">
        <v>2278</v>
      </c>
      <c r="X225" s="266" t="s">
        <v>2281</v>
      </c>
      <c r="Y225" s="267" t="s">
        <v>2282</v>
      </c>
      <c r="Z225" s="257" t="s">
        <v>2283</v>
      </c>
      <c r="AA225" s="261" t="s">
        <v>2409</v>
      </c>
      <c r="AB225" s="261" t="s">
        <v>488</v>
      </c>
      <c r="AC225" s="261" t="s">
        <v>489</v>
      </c>
      <c r="AD225" s="261" t="s">
        <v>490</v>
      </c>
      <c r="AE225" s="261" t="s">
        <v>491</v>
      </c>
      <c r="AF225" s="261" t="s">
        <v>492</v>
      </c>
      <c r="AG225" s="261" t="s">
        <v>493</v>
      </c>
      <c r="AH225" s="261" t="s">
        <v>494</v>
      </c>
      <c r="AI225" s="261" t="s">
        <v>495</v>
      </c>
    </row>
    <row r="226" spans="1:35" ht="115.2" x14ac:dyDescent="0.3">
      <c r="A226" s="77"/>
      <c r="B226" s="77" t="str">
        <f t="shared" si="35"/>
        <v>Y</v>
      </c>
      <c r="C226" s="77" t="s">
        <v>45</v>
      </c>
      <c r="D226" s="77" t="s">
        <v>2542</v>
      </c>
      <c r="E226" s="84" t="s">
        <v>2545</v>
      </c>
      <c r="F226" s="80" t="s">
        <v>759</v>
      </c>
      <c r="G226" s="96" t="s">
        <v>1250</v>
      </c>
      <c r="H226" s="77">
        <v>200</v>
      </c>
      <c r="J226" s="259" t="s">
        <v>50</v>
      </c>
      <c r="K226" s="259" t="s">
        <v>482</v>
      </c>
      <c r="L226" s="259" t="s">
        <v>51</v>
      </c>
      <c r="M226" s="259" t="s">
        <v>13</v>
      </c>
      <c r="N226" s="259" t="s">
        <v>10</v>
      </c>
      <c r="O226" s="259" t="s">
        <v>1372</v>
      </c>
      <c r="P226" s="259" t="s">
        <v>16</v>
      </c>
      <c r="Q226" s="259" t="s">
        <v>952</v>
      </c>
      <c r="R226" s="259" t="s">
        <v>51</v>
      </c>
      <c r="S226" s="263"/>
      <c r="T226" s="257" t="s">
        <v>171</v>
      </c>
      <c r="U226" s="259" t="s">
        <v>55</v>
      </c>
      <c r="V226" s="261" t="s">
        <v>2277</v>
      </c>
      <c r="W226" s="259" t="s">
        <v>2278</v>
      </c>
      <c r="X226" s="264" t="s">
        <v>964</v>
      </c>
      <c r="Y226" s="265" t="s">
        <v>1159</v>
      </c>
      <c r="Z226" s="257" t="s">
        <v>2284</v>
      </c>
      <c r="AA226" s="261" t="s">
        <v>2409</v>
      </c>
      <c r="AB226" s="261" t="s">
        <v>488</v>
      </c>
      <c r="AC226" s="261" t="s">
        <v>489</v>
      </c>
      <c r="AD226" s="261" t="s">
        <v>490</v>
      </c>
      <c r="AE226" s="261" t="s">
        <v>491</v>
      </c>
      <c r="AF226" s="261" t="s">
        <v>492</v>
      </c>
      <c r="AG226" s="261" t="s">
        <v>493</v>
      </c>
      <c r="AH226" s="261" t="s">
        <v>494</v>
      </c>
      <c r="AI226" s="261" t="s">
        <v>495</v>
      </c>
    </row>
    <row r="227" spans="1:35" ht="43.2" x14ac:dyDescent="0.3">
      <c r="A227" s="77">
        <v>153</v>
      </c>
      <c r="B227" s="77" t="str">
        <f t="shared" si="24"/>
        <v>Y</v>
      </c>
      <c r="C227" s="77" t="s">
        <v>45</v>
      </c>
      <c r="D227" s="77" t="s">
        <v>1884</v>
      </c>
      <c r="E227" s="291" t="s">
        <v>1885</v>
      </c>
      <c r="F227" s="283" t="s">
        <v>1886</v>
      </c>
      <c r="G227" s="284" t="s">
        <v>1887</v>
      </c>
      <c r="H227" s="77">
        <v>200</v>
      </c>
      <c r="J227" s="259" t="s">
        <v>50</v>
      </c>
      <c r="K227" s="259" t="s">
        <v>482</v>
      </c>
      <c r="L227" s="259" t="s">
        <v>51</v>
      </c>
      <c r="M227" s="259" t="s">
        <v>13</v>
      </c>
      <c r="N227" s="259" t="s">
        <v>10</v>
      </c>
      <c r="O227" s="259" t="s">
        <v>1372</v>
      </c>
      <c r="P227" s="259" t="s">
        <v>16</v>
      </c>
      <c r="Q227" s="259" t="s">
        <v>952</v>
      </c>
      <c r="R227" s="259" t="s">
        <v>51</v>
      </c>
      <c r="S227" s="263"/>
      <c r="T227" s="257" t="s">
        <v>171</v>
      </c>
      <c r="U227" s="259" t="s">
        <v>55</v>
      </c>
      <c r="V227" s="261" t="s">
        <v>2277</v>
      </c>
      <c r="W227" s="259" t="s">
        <v>2278</v>
      </c>
      <c r="X227" s="264" t="s">
        <v>964</v>
      </c>
      <c r="Y227" s="265" t="s">
        <v>1159</v>
      </c>
      <c r="Z227" s="257" t="s">
        <v>2284</v>
      </c>
      <c r="AA227" s="261" t="s">
        <v>2409</v>
      </c>
      <c r="AB227" s="261" t="s">
        <v>488</v>
      </c>
      <c r="AC227" s="261" t="s">
        <v>489</v>
      </c>
      <c r="AD227" s="261" t="s">
        <v>490</v>
      </c>
      <c r="AE227" s="261" t="s">
        <v>491</v>
      </c>
      <c r="AF227" s="261" t="s">
        <v>492</v>
      </c>
      <c r="AG227" s="261" t="s">
        <v>493</v>
      </c>
      <c r="AH227" s="261" t="s">
        <v>494</v>
      </c>
      <c r="AI227" s="261" t="s">
        <v>495</v>
      </c>
    </row>
    <row r="228" spans="1:35" ht="57.6" x14ac:dyDescent="0.3">
      <c r="A228" s="77">
        <v>154</v>
      </c>
      <c r="B228" s="77" t="str">
        <f t="shared" ref="B228:B230" si="36">C228</f>
        <v>Y</v>
      </c>
      <c r="C228" s="77" t="s">
        <v>45</v>
      </c>
      <c r="D228" s="77" t="s">
        <v>2546</v>
      </c>
      <c r="E228" s="291" t="s">
        <v>2549</v>
      </c>
      <c r="F228" s="283" t="s">
        <v>1888</v>
      </c>
      <c r="G228" s="284" t="s">
        <v>1889</v>
      </c>
      <c r="H228" s="77">
        <v>200</v>
      </c>
      <c r="J228" s="259" t="s">
        <v>50</v>
      </c>
      <c r="K228" s="259" t="s">
        <v>482</v>
      </c>
      <c r="L228" s="259" t="s">
        <v>51</v>
      </c>
      <c r="M228" s="259" t="s">
        <v>13</v>
      </c>
      <c r="N228" s="259" t="s">
        <v>10</v>
      </c>
      <c r="O228" s="259" t="s">
        <v>1372</v>
      </c>
      <c r="P228" s="259" t="s">
        <v>16</v>
      </c>
      <c r="Q228" s="259" t="s">
        <v>952</v>
      </c>
      <c r="R228" s="259" t="s">
        <v>51</v>
      </c>
      <c r="S228" s="260"/>
      <c r="T228" s="259" t="s">
        <v>484</v>
      </c>
      <c r="U228" s="259" t="s">
        <v>55</v>
      </c>
      <c r="V228" s="261" t="s">
        <v>2277</v>
      </c>
      <c r="W228" s="259" t="s">
        <v>2278</v>
      </c>
      <c r="X228" s="261" t="s">
        <v>486</v>
      </c>
      <c r="Y228" s="262" t="s">
        <v>2279</v>
      </c>
      <c r="Z228" s="261" t="s">
        <v>955</v>
      </c>
      <c r="AA228" s="261" t="s">
        <v>2409</v>
      </c>
      <c r="AB228" s="261" t="s">
        <v>488</v>
      </c>
      <c r="AC228" s="261" t="s">
        <v>489</v>
      </c>
      <c r="AD228" s="261" t="s">
        <v>490</v>
      </c>
      <c r="AE228" s="261" t="s">
        <v>491</v>
      </c>
      <c r="AF228" s="261" t="s">
        <v>492</v>
      </c>
      <c r="AG228" s="261" t="s">
        <v>493</v>
      </c>
      <c r="AH228" s="261" t="s">
        <v>494</v>
      </c>
      <c r="AI228" s="261" t="s">
        <v>495</v>
      </c>
    </row>
    <row r="229" spans="1:35" ht="57.6" x14ac:dyDescent="0.3">
      <c r="A229" s="77"/>
      <c r="B229" s="77" t="str">
        <f t="shared" si="36"/>
        <v>Y</v>
      </c>
      <c r="C229" s="77" t="s">
        <v>45</v>
      </c>
      <c r="D229" s="77" t="s">
        <v>2547</v>
      </c>
      <c r="E229" s="291" t="s">
        <v>2550</v>
      </c>
      <c r="F229" s="283" t="s">
        <v>1888</v>
      </c>
      <c r="G229" s="284" t="s">
        <v>1889</v>
      </c>
      <c r="H229" s="77">
        <v>200</v>
      </c>
      <c r="J229" s="259" t="s">
        <v>50</v>
      </c>
      <c r="K229" s="259" t="s">
        <v>482</v>
      </c>
      <c r="L229" s="259" t="s">
        <v>51</v>
      </c>
      <c r="M229" s="259" t="s">
        <v>13</v>
      </c>
      <c r="N229" s="259" t="s">
        <v>10</v>
      </c>
      <c r="O229" s="259" t="s">
        <v>1372</v>
      </c>
      <c r="P229" s="259" t="s">
        <v>16</v>
      </c>
      <c r="Q229" s="259" t="s">
        <v>952</v>
      </c>
      <c r="R229" s="259" t="s">
        <v>51</v>
      </c>
      <c r="S229" s="263"/>
      <c r="T229" s="257" t="s">
        <v>484</v>
      </c>
      <c r="U229" s="259" t="s">
        <v>55</v>
      </c>
      <c r="V229" s="261" t="s">
        <v>2277</v>
      </c>
      <c r="W229" s="259" t="s">
        <v>2278</v>
      </c>
      <c r="X229" s="264" t="s">
        <v>517</v>
      </c>
      <c r="Y229" s="265" t="s">
        <v>2280</v>
      </c>
      <c r="Z229" s="257" t="s">
        <v>955</v>
      </c>
      <c r="AA229" s="261" t="s">
        <v>2409</v>
      </c>
      <c r="AB229" s="261" t="s">
        <v>488</v>
      </c>
      <c r="AC229" s="261" t="s">
        <v>489</v>
      </c>
      <c r="AD229" s="261" t="s">
        <v>490</v>
      </c>
      <c r="AE229" s="261" t="s">
        <v>491</v>
      </c>
      <c r="AF229" s="261" t="s">
        <v>492</v>
      </c>
      <c r="AG229" s="261" t="s">
        <v>493</v>
      </c>
      <c r="AH229" s="261" t="s">
        <v>494</v>
      </c>
      <c r="AI229" s="261" t="s">
        <v>495</v>
      </c>
    </row>
    <row r="230" spans="1:35" ht="57.6" x14ac:dyDescent="0.3">
      <c r="A230" s="77"/>
      <c r="B230" s="77" t="str">
        <f t="shared" si="36"/>
        <v>Y</v>
      </c>
      <c r="C230" s="77" t="s">
        <v>45</v>
      </c>
      <c r="D230" s="77" t="s">
        <v>2548</v>
      </c>
      <c r="E230" s="291" t="s">
        <v>2551</v>
      </c>
      <c r="F230" s="283" t="s">
        <v>1888</v>
      </c>
      <c r="G230" s="284" t="s">
        <v>1889</v>
      </c>
      <c r="H230" s="77">
        <v>200</v>
      </c>
      <c r="J230" s="259" t="s">
        <v>50</v>
      </c>
      <c r="K230" s="259" t="s">
        <v>482</v>
      </c>
      <c r="L230" s="259" t="s">
        <v>51</v>
      </c>
      <c r="M230" s="259" t="s">
        <v>13</v>
      </c>
      <c r="N230" s="259" t="s">
        <v>10</v>
      </c>
      <c r="O230" s="259" t="s">
        <v>1372</v>
      </c>
      <c r="P230" s="259" t="s">
        <v>16</v>
      </c>
      <c r="Q230" s="259" t="s">
        <v>952</v>
      </c>
      <c r="R230" s="259" t="s">
        <v>51</v>
      </c>
      <c r="S230" s="263"/>
      <c r="T230" s="257" t="s">
        <v>520</v>
      </c>
      <c r="U230" s="259" t="s">
        <v>55</v>
      </c>
      <c r="V230" s="261" t="s">
        <v>2277</v>
      </c>
      <c r="W230" s="259" t="s">
        <v>2278</v>
      </c>
      <c r="X230" s="266" t="s">
        <v>2281</v>
      </c>
      <c r="Y230" s="267" t="s">
        <v>2282</v>
      </c>
      <c r="Z230" s="257" t="s">
        <v>2283</v>
      </c>
      <c r="AA230" s="261" t="s">
        <v>2409</v>
      </c>
      <c r="AB230" s="261" t="s">
        <v>488</v>
      </c>
      <c r="AC230" s="261" t="s">
        <v>489</v>
      </c>
      <c r="AD230" s="261" t="s">
        <v>490</v>
      </c>
      <c r="AE230" s="261" t="s">
        <v>491</v>
      </c>
      <c r="AF230" s="261" t="s">
        <v>492</v>
      </c>
      <c r="AG230" s="261" t="s">
        <v>493</v>
      </c>
      <c r="AH230" s="261" t="s">
        <v>494</v>
      </c>
      <c r="AI230" s="261" t="s">
        <v>495</v>
      </c>
    </row>
    <row r="231" spans="1:35" ht="43.2" x14ac:dyDescent="0.3">
      <c r="A231" s="77">
        <v>155</v>
      </c>
      <c r="B231" s="77" t="str">
        <f t="shared" ref="B231:B232" si="37">C231</f>
        <v>Y</v>
      </c>
      <c r="C231" s="77" t="s">
        <v>45</v>
      </c>
      <c r="D231" s="77" t="s">
        <v>1890</v>
      </c>
      <c r="E231" s="84" t="s">
        <v>1891</v>
      </c>
      <c r="F231" s="80" t="s">
        <v>1251</v>
      </c>
      <c r="G231" s="96" t="s">
        <v>1252</v>
      </c>
      <c r="H231" s="77">
        <v>200</v>
      </c>
      <c r="J231" s="259" t="s">
        <v>50</v>
      </c>
      <c r="K231" s="259" t="s">
        <v>482</v>
      </c>
      <c r="L231" s="259" t="s">
        <v>51</v>
      </c>
      <c r="M231" s="259" t="s">
        <v>13</v>
      </c>
      <c r="N231" s="259" t="s">
        <v>10</v>
      </c>
      <c r="O231" s="259" t="s">
        <v>1372</v>
      </c>
      <c r="P231" s="259" t="s">
        <v>16</v>
      </c>
      <c r="Q231" s="259" t="s">
        <v>952</v>
      </c>
      <c r="R231" s="259" t="s">
        <v>51</v>
      </c>
      <c r="S231" s="263"/>
      <c r="T231" s="257" t="s">
        <v>171</v>
      </c>
      <c r="U231" s="259" t="s">
        <v>55</v>
      </c>
      <c r="V231" s="261" t="s">
        <v>2277</v>
      </c>
      <c r="W231" s="259" t="s">
        <v>2278</v>
      </c>
      <c r="X231" s="264" t="s">
        <v>964</v>
      </c>
      <c r="Y231" s="265" t="s">
        <v>1159</v>
      </c>
      <c r="Z231" s="257" t="s">
        <v>2284</v>
      </c>
      <c r="AA231" s="261" t="s">
        <v>2409</v>
      </c>
      <c r="AB231" s="261" t="s">
        <v>488</v>
      </c>
      <c r="AC231" s="261" t="s">
        <v>489</v>
      </c>
      <c r="AD231" s="261" t="s">
        <v>490</v>
      </c>
      <c r="AE231" s="261" t="s">
        <v>491</v>
      </c>
      <c r="AF231" s="261" t="s">
        <v>492</v>
      </c>
      <c r="AG231" s="261" t="s">
        <v>493</v>
      </c>
      <c r="AH231" s="261" t="s">
        <v>494</v>
      </c>
      <c r="AI231" s="261" t="s">
        <v>495</v>
      </c>
    </row>
    <row r="232" spans="1:35" ht="72" x14ac:dyDescent="0.3">
      <c r="A232" s="77">
        <v>156</v>
      </c>
      <c r="B232" s="312" t="str">
        <f t="shared" si="37"/>
        <v>Y</v>
      </c>
      <c r="C232" s="312" t="s">
        <v>45</v>
      </c>
      <c r="D232" s="312" t="s">
        <v>1892</v>
      </c>
      <c r="E232" s="313" t="s">
        <v>1893</v>
      </c>
      <c r="F232" s="314" t="s">
        <v>1255</v>
      </c>
      <c r="G232" s="315" t="s">
        <v>1256</v>
      </c>
      <c r="H232" s="312">
        <v>200</v>
      </c>
      <c r="I232" s="251"/>
      <c r="J232" s="314" t="s">
        <v>50</v>
      </c>
      <c r="K232" s="314" t="s">
        <v>482</v>
      </c>
      <c r="L232" s="314" t="s">
        <v>51</v>
      </c>
      <c r="M232" s="314" t="s">
        <v>13</v>
      </c>
      <c r="N232" s="314" t="s">
        <v>10</v>
      </c>
      <c r="O232" s="314" t="s">
        <v>1372</v>
      </c>
      <c r="P232" s="314" t="s">
        <v>16</v>
      </c>
      <c r="Q232" s="314" t="s">
        <v>952</v>
      </c>
      <c r="R232" s="314" t="s">
        <v>51</v>
      </c>
      <c r="S232" s="315"/>
      <c r="T232" s="314" t="s">
        <v>484</v>
      </c>
      <c r="U232" s="314" t="s">
        <v>55</v>
      </c>
      <c r="V232" s="318" t="s">
        <v>2277</v>
      </c>
      <c r="W232" s="314" t="s">
        <v>2278</v>
      </c>
      <c r="X232" s="318" t="s">
        <v>486</v>
      </c>
      <c r="Y232" s="319" t="s">
        <v>2279</v>
      </c>
      <c r="Z232" s="318" t="s">
        <v>955</v>
      </c>
      <c r="AA232" s="318" t="s">
        <v>2409</v>
      </c>
      <c r="AB232" s="318" t="s">
        <v>488</v>
      </c>
      <c r="AC232" s="318" t="s">
        <v>489</v>
      </c>
      <c r="AD232" s="318" t="s">
        <v>490</v>
      </c>
      <c r="AE232" s="318" t="s">
        <v>491</v>
      </c>
      <c r="AF232" s="318" t="s">
        <v>492</v>
      </c>
      <c r="AG232" s="318" t="s">
        <v>493</v>
      </c>
      <c r="AH232" s="318" t="s">
        <v>494</v>
      </c>
      <c r="AI232" s="318" t="s">
        <v>495</v>
      </c>
    </row>
    <row r="233" spans="1:35" ht="72" x14ac:dyDescent="0.3">
      <c r="A233" s="77">
        <v>157</v>
      </c>
      <c r="B233" s="312" t="str">
        <f t="shared" si="24"/>
        <v>Y</v>
      </c>
      <c r="C233" s="312" t="s">
        <v>45</v>
      </c>
      <c r="D233" s="312" t="s">
        <v>1894</v>
      </c>
      <c r="E233" s="313" t="s">
        <v>1895</v>
      </c>
      <c r="F233" s="314" t="s">
        <v>1259</v>
      </c>
      <c r="G233" s="315" t="s">
        <v>1260</v>
      </c>
      <c r="H233" s="312">
        <v>200</v>
      </c>
      <c r="I233" s="251"/>
      <c r="J233" s="314" t="s">
        <v>50</v>
      </c>
      <c r="K233" s="314" t="s">
        <v>482</v>
      </c>
      <c r="L233" s="314" t="s">
        <v>51</v>
      </c>
      <c r="M233" s="314" t="s">
        <v>13</v>
      </c>
      <c r="N233" s="314" t="s">
        <v>10</v>
      </c>
      <c r="O233" s="314" t="s">
        <v>1372</v>
      </c>
      <c r="P233" s="314" t="s">
        <v>16</v>
      </c>
      <c r="Q233" s="314" t="s">
        <v>952</v>
      </c>
      <c r="R233" s="314" t="s">
        <v>51</v>
      </c>
      <c r="S233" s="315"/>
      <c r="T233" s="314" t="s">
        <v>484</v>
      </c>
      <c r="U233" s="314" t="s">
        <v>55</v>
      </c>
      <c r="V233" s="318" t="s">
        <v>2277</v>
      </c>
      <c r="W233" s="314" t="s">
        <v>2278</v>
      </c>
      <c r="X233" s="318" t="s">
        <v>486</v>
      </c>
      <c r="Y233" s="319" t="s">
        <v>2279</v>
      </c>
      <c r="Z233" s="318" t="s">
        <v>955</v>
      </c>
      <c r="AA233" s="318" t="s">
        <v>2409</v>
      </c>
      <c r="AB233" s="318" t="s">
        <v>488</v>
      </c>
      <c r="AC233" s="318" t="s">
        <v>489</v>
      </c>
      <c r="AD233" s="318" t="s">
        <v>490</v>
      </c>
      <c r="AE233" s="318" t="s">
        <v>491</v>
      </c>
      <c r="AF233" s="318" t="s">
        <v>492</v>
      </c>
      <c r="AG233" s="318" t="s">
        <v>493</v>
      </c>
      <c r="AH233" s="318" t="s">
        <v>494</v>
      </c>
      <c r="AI233" s="318" t="s">
        <v>495</v>
      </c>
    </row>
    <row r="234" spans="1:35" ht="57.6" x14ac:dyDescent="0.3">
      <c r="A234" s="77">
        <v>158</v>
      </c>
      <c r="B234" s="77" t="str">
        <f t="shared" si="24"/>
        <v>Y</v>
      </c>
      <c r="C234" s="77" t="s">
        <v>45</v>
      </c>
      <c r="D234" s="77" t="s">
        <v>2552</v>
      </c>
      <c r="E234" s="84" t="s">
        <v>2553</v>
      </c>
      <c r="F234" s="80" t="s">
        <v>1261</v>
      </c>
      <c r="G234" s="96" t="s">
        <v>1262</v>
      </c>
      <c r="H234" s="77">
        <v>200</v>
      </c>
      <c r="J234" s="259" t="s">
        <v>50</v>
      </c>
      <c r="K234" s="259" t="s">
        <v>482</v>
      </c>
      <c r="L234" s="259" t="s">
        <v>51</v>
      </c>
      <c r="M234" s="259" t="s">
        <v>13</v>
      </c>
      <c r="N234" s="259" t="s">
        <v>10</v>
      </c>
      <c r="O234" s="259" t="s">
        <v>1372</v>
      </c>
      <c r="P234" s="259" t="s">
        <v>16</v>
      </c>
      <c r="Q234" s="259" t="s">
        <v>952</v>
      </c>
      <c r="R234" s="259" t="s">
        <v>51</v>
      </c>
      <c r="S234" s="260"/>
      <c r="T234" s="259" t="s">
        <v>484</v>
      </c>
      <c r="U234" s="259" t="s">
        <v>55</v>
      </c>
      <c r="V234" s="261" t="s">
        <v>2277</v>
      </c>
      <c r="W234" s="259" t="s">
        <v>2278</v>
      </c>
      <c r="X234" s="261" t="s">
        <v>486</v>
      </c>
      <c r="Y234" s="262" t="s">
        <v>2279</v>
      </c>
      <c r="Z234" s="261" t="s">
        <v>955</v>
      </c>
      <c r="AA234" s="261" t="s">
        <v>2409</v>
      </c>
      <c r="AB234" s="261" t="s">
        <v>488</v>
      </c>
      <c r="AC234" s="261" t="s">
        <v>489</v>
      </c>
      <c r="AD234" s="261" t="s">
        <v>490</v>
      </c>
      <c r="AE234" s="261" t="s">
        <v>491</v>
      </c>
      <c r="AF234" s="261" t="s">
        <v>492</v>
      </c>
      <c r="AG234" s="261" t="s">
        <v>493</v>
      </c>
      <c r="AH234" s="261" t="s">
        <v>494</v>
      </c>
      <c r="AI234" s="261" t="s">
        <v>495</v>
      </c>
    </row>
    <row r="235" spans="1:35" ht="57.6" x14ac:dyDescent="0.3">
      <c r="A235" s="77"/>
      <c r="B235" s="77" t="str">
        <f t="shared" ref="B235:B237" si="38">C235</f>
        <v>Y</v>
      </c>
      <c r="C235" s="77" t="s">
        <v>45</v>
      </c>
      <c r="D235" s="77" t="s">
        <v>2554</v>
      </c>
      <c r="E235" s="84" t="s">
        <v>2557</v>
      </c>
      <c r="F235" s="80" t="s">
        <v>1261</v>
      </c>
      <c r="G235" s="96" t="s">
        <v>1262</v>
      </c>
      <c r="H235" s="77">
        <v>200</v>
      </c>
      <c r="J235" s="259" t="s">
        <v>50</v>
      </c>
      <c r="K235" s="259" t="s">
        <v>482</v>
      </c>
      <c r="L235" s="259" t="s">
        <v>51</v>
      </c>
      <c r="M235" s="259" t="s">
        <v>13</v>
      </c>
      <c r="N235" s="259" t="s">
        <v>10</v>
      </c>
      <c r="O235" s="259" t="s">
        <v>1372</v>
      </c>
      <c r="P235" s="259" t="s">
        <v>16</v>
      </c>
      <c r="Q235" s="259" t="s">
        <v>952</v>
      </c>
      <c r="R235" s="259" t="s">
        <v>51</v>
      </c>
      <c r="S235" s="263"/>
      <c r="T235" s="257" t="s">
        <v>484</v>
      </c>
      <c r="U235" s="259" t="s">
        <v>55</v>
      </c>
      <c r="V235" s="261" t="s">
        <v>2277</v>
      </c>
      <c r="W235" s="259" t="s">
        <v>2278</v>
      </c>
      <c r="X235" s="264" t="s">
        <v>517</v>
      </c>
      <c r="Y235" s="265" t="s">
        <v>2280</v>
      </c>
      <c r="Z235" s="257" t="s">
        <v>955</v>
      </c>
      <c r="AA235" s="261" t="s">
        <v>2409</v>
      </c>
      <c r="AB235" s="261" t="s">
        <v>488</v>
      </c>
      <c r="AC235" s="261" t="s">
        <v>489</v>
      </c>
      <c r="AD235" s="261" t="s">
        <v>490</v>
      </c>
      <c r="AE235" s="261" t="s">
        <v>491</v>
      </c>
      <c r="AF235" s="261" t="s">
        <v>492</v>
      </c>
      <c r="AG235" s="261" t="s">
        <v>493</v>
      </c>
      <c r="AH235" s="261" t="s">
        <v>494</v>
      </c>
      <c r="AI235" s="261" t="s">
        <v>495</v>
      </c>
    </row>
    <row r="236" spans="1:35" ht="57.6" x14ac:dyDescent="0.3">
      <c r="A236" s="77"/>
      <c r="B236" s="77" t="str">
        <f t="shared" si="38"/>
        <v>Y</v>
      </c>
      <c r="C236" s="77" t="s">
        <v>45</v>
      </c>
      <c r="D236" s="77" t="s">
        <v>2555</v>
      </c>
      <c r="E236" s="84" t="s">
        <v>2558</v>
      </c>
      <c r="F236" s="80" t="s">
        <v>1261</v>
      </c>
      <c r="G236" s="96" t="s">
        <v>1262</v>
      </c>
      <c r="H236" s="77">
        <v>200</v>
      </c>
      <c r="J236" s="259" t="s">
        <v>50</v>
      </c>
      <c r="K236" s="259" t="s">
        <v>482</v>
      </c>
      <c r="L236" s="259" t="s">
        <v>51</v>
      </c>
      <c r="M236" s="259" t="s">
        <v>13</v>
      </c>
      <c r="N236" s="259" t="s">
        <v>10</v>
      </c>
      <c r="O236" s="259" t="s">
        <v>1372</v>
      </c>
      <c r="P236" s="259" t="s">
        <v>16</v>
      </c>
      <c r="Q236" s="259" t="s">
        <v>952</v>
      </c>
      <c r="R236" s="259" t="s">
        <v>51</v>
      </c>
      <c r="S236" s="263"/>
      <c r="T236" s="257" t="s">
        <v>520</v>
      </c>
      <c r="U236" s="259" t="s">
        <v>55</v>
      </c>
      <c r="V236" s="261" t="s">
        <v>2277</v>
      </c>
      <c r="W236" s="259" t="s">
        <v>2278</v>
      </c>
      <c r="X236" s="266" t="s">
        <v>2281</v>
      </c>
      <c r="Y236" s="267" t="s">
        <v>2282</v>
      </c>
      <c r="Z236" s="257" t="s">
        <v>2283</v>
      </c>
      <c r="AA236" s="261" t="s">
        <v>2409</v>
      </c>
      <c r="AB236" s="261" t="s">
        <v>488</v>
      </c>
      <c r="AC236" s="261" t="s">
        <v>489</v>
      </c>
      <c r="AD236" s="261" t="s">
        <v>490</v>
      </c>
      <c r="AE236" s="261" t="s">
        <v>491</v>
      </c>
      <c r="AF236" s="261" t="s">
        <v>492</v>
      </c>
      <c r="AG236" s="261" t="s">
        <v>493</v>
      </c>
      <c r="AH236" s="261" t="s">
        <v>494</v>
      </c>
      <c r="AI236" s="261" t="s">
        <v>495</v>
      </c>
    </row>
    <row r="237" spans="1:35" ht="57.6" x14ac:dyDescent="0.3">
      <c r="A237" s="77"/>
      <c r="B237" s="77" t="str">
        <f t="shared" si="38"/>
        <v>Y</v>
      </c>
      <c r="C237" s="77" t="s">
        <v>45</v>
      </c>
      <c r="D237" s="77" t="s">
        <v>2556</v>
      </c>
      <c r="E237" s="84" t="s">
        <v>2559</v>
      </c>
      <c r="F237" s="80" t="s">
        <v>1261</v>
      </c>
      <c r="G237" s="96" t="s">
        <v>1262</v>
      </c>
      <c r="H237" s="77">
        <v>200</v>
      </c>
      <c r="J237" s="259" t="s">
        <v>50</v>
      </c>
      <c r="K237" s="259" t="s">
        <v>482</v>
      </c>
      <c r="L237" s="259" t="s">
        <v>51</v>
      </c>
      <c r="M237" s="259" t="s">
        <v>13</v>
      </c>
      <c r="N237" s="259" t="s">
        <v>10</v>
      </c>
      <c r="O237" s="259" t="s">
        <v>1372</v>
      </c>
      <c r="P237" s="259" t="s">
        <v>16</v>
      </c>
      <c r="Q237" s="259" t="s">
        <v>952</v>
      </c>
      <c r="R237" s="259" t="s">
        <v>51</v>
      </c>
      <c r="S237" s="263"/>
      <c r="T237" s="257" t="s">
        <v>171</v>
      </c>
      <c r="U237" s="259" t="s">
        <v>55</v>
      </c>
      <c r="V237" s="261" t="s">
        <v>2277</v>
      </c>
      <c r="W237" s="259" t="s">
        <v>2278</v>
      </c>
      <c r="X237" s="264" t="s">
        <v>964</v>
      </c>
      <c r="Y237" s="265" t="s">
        <v>1159</v>
      </c>
      <c r="Z237" s="257" t="s">
        <v>2284</v>
      </c>
      <c r="AA237" s="261" t="s">
        <v>2409</v>
      </c>
      <c r="AB237" s="261" t="s">
        <v>488</v>
      </c>
      <c r="AC237" s="261" t="s">
        <v>489</v>
      </c>
      <c r="AD237" s="261" t="s">
        <v>490</v>
      </c>
      <c r="AE237" s="261" t="s">
        <v>491</v>
      </c>
      <c r="AF237" s="261" t="s">
        <v>492</v>
      </c>
      <c r="AG237" s="261" t="s">
        <v>493</v>
      </c>
      <c r="AH237" s="261" t="s">
        <v>494</v>
      </c>
      <c r="AI237" s="261" t="s">
        <v>495</v>
      </c>
    </row>
    <row r="238" spans="1:35" ht="43.2" x14ac:dyDescent="0.3">
      <c r="A238" s="77">
        <v>159</v>
      </c>
      <c r="B238" s="77" t="str">
        <f t="shared" si="24"/>
        <v>Y</v>
      </c>
      <c r="C238" s="77" t="s">
        <v>45</v>
      </c>
      <c r="D238" s="77" t="s">
        <v>2560</v>
      </c>
      <c r="E238" s="84" t="s">
        <v>2561</v>
      </c>
      <c r="F238" s="80" t="s">
        <v>778</v>
      </c>
      <c r="G238" s="96" t="s">
        <v>1265</v>
      </c>
      <c r="H238" s="77">
        <v>200</v>
      </c>
      <c r="J238" s="259" t="s">
        <v>50</v>
      </c>
      <c r="K238" s="259" t="s">
        <v>482</v>
      </c>
      <c r="L238" s="259" t="s">
        <v>51</v>
      </c>
      <c r="M238" s="259" t="s">
        <v>13</v>
      </c>
      <c r="N238" s="259" t="s">
        <v>10</v>
      </c>
      <c r="O238" s="259" t="s">
        <v>1372</v>
      </c>
      <c r="P238" s="259" t="s">
        <v>16</v>
      </c>
      <c r="Q238" s="259" t="s">
        <v>952</v>
      </c>
      <c r="R238" s="259" t="s">
        <v>51</v>
      </c>
      <c r="S238" s="260"/>
      <c r="T238" s="259" t="s">
        <v>484</v>
      </c>
      <c r="U238" s="259" t="s">
        <v>55</v>
      </c>
      <c r="V238" s="261" t="s">
        <v>2277</v>
      </c>
      <c r="W238" s="259" t="s">
        <v>2278</v>
      </c>
      <c r="X238" s="261" t="s">
        <v>486</v>
      </c>
      <c r="Y238" s="262" t="s">
        <v>2279</v>
      </c>
      <c r="Z238" s="261" t="s">
        <v>955</v>
      </c>
      <c r="AA238" s="261" t="s">
        <v>2409</v>
      </c>
      <c r="AB238" s="261" t="s">
        <v>488</v>
      </c>
      <c r="AC238" s="261" t="s">
        <v>489</v>
      </c>
      <c r="AD238" s="261" t="s">
        <v>490</v>
      </c>
      <c r="AE238" s="261" t="s">
        <v>491</v>
      </c>
      <c r="AF238" s="261" t="s">
        <v>492</v>
      </c>
      <c r="AG238" s="261" t="s">
        <v>493</v>
      </c>
      <c r="AH238" s="261" t="s">
        <v>494</v>
      </c>
      <c r="AI238" s="261" t="s">
        <v>495</v>
      </c>
    </row>
    <row r="239" spans="1:35" ht="43.2" x14ac:dyDescent="0.3">
      <c r="A239" s="77"/>
      <c r="B239" s="77" t="str">
        <f t="shared" ref="B239:B241" si="39">C239</f>
        <v>Y</v>
      </c>
      <c r="C239" s="77" t="s">
        <v>45</v>
      </c>
      <c r="D239" s="77" t="s">
        <v>2562</v>
      </c>
      <c r="E239" s="84" t="s">
        <v>2565</v>
      </c>
      <c r="F239" s="80" t="s">
        <v>778</v>
      </c>
      <c r="G239" s="96" t="s">
        <v>1265</v>
      </c>
      <c r="H239" s="77">
        <v>200</v>
      </c>
      <c r="J239" s="259" t="s">
        <v>50</v>
      </c>
      <c r="K239" s="259" t="s">
        <v>482</v>
      </c>
      <c r="L239" s="259" t="s">
        <v>51</v>
      </c>
      <c r="M239" s="259" t="s">
        <v>13</v>
      </c>
      <c r="N239" s="259" t="s">
        <v>10</v>
      </c>
      <c r="O239" s="259" t="s">
        <v>1372</v>
      </c>
      <c r="P239" s="259" t="s">
        <v>16</v>
      </c>
      <c r="Q239" s="259" t="s">
        <v>952</v>
      </c>
      <c r="R239" s="259" t="s">
        <v>51</v>
      </c>
      <c r="S239" s="263"/>
      <c r="T239" s="257" t="s">
        <v>484</v>
      </c>
      <c r="U239" s="259" t="s">
        <v>55</v>
      </c>
      <c r="V239" s="261" t="s">
        <v>2277</v>
      </c>
      <c r="W239" s="259" t="s">
        <v>2278</v>
      </c>
      <c r="X239" s="264" t="s">
        <v>517</v>
      </c>
      <c r="Y239" s="265" t="s">
        <v>2280</v>
      </c>
      <c r="Z239" s="257" t="s">
        <v>955</v>
      </c>
      <c r="AA239" s="261" t="s">
        <v>2409</v>
      </c>
      <c r="AB239" s="261" t="s">
        <v>488</v>
      </c>
      <c r="AC239" s="261" t="s">
        <v>489</v>
      </c>
      <c r="AD239" s="261" t="s">
        <v>490</v>
      </c>
      <c r="AE239" s="261" t="s">
        <v>491</v>
      </c>
      <c r="AF239" s="261" t="s">
        <v>492</v>
      </c>
      <c r="AG239" s="261" t="s">
        <v>493</v>
      </c>
      <c r="AH239" s="261" t="s">
        <v>494</v>
      </c>
      <c r="AI239" s="261" t="s">
        <v>495</v>
      </c>
    </row>
    <row r="240" spans="1:35" ht="43.2" x14ac:dyDescent="0.3">
      <c r="A240" s="77"/>
      <c r="B240" s="77" t="str">
        <f t="shared" si="39"/>
        <v>Y</v>
      </c>
      <c r="C240" s="77" t="s">
        <v>45</v>
      </c>
      <c r="D240" s="77" t="s">
        <v>2563</v>
      </c>
      <c r="E240" s="84" t="s">
        <v>2566</v>
      </c>
      <c r="F240" s="80" t="s">
        <v>778</v>
      </c>
      <c r="G240" s="96" t="s">
        <v>1265</v>
      </c>
      <c r="H240" s="77">
        <v>200</v>
      </c>
      <c r="J240" s="259" t="s">
        <v>50</v>
      </c>
      <c r="K240" s="259" t="s">
        <v>482</v>
      </c>
      <c r="L240" s="259" t="s">
        <v>51</v>
      </c>
      <c r="M240" s="259" t="s">
        <v>13</v>
      </c>
      <c r="N240" s="259" t="s">
        <v>10</v>
      </c>
      <c r="O240" s="259" t="s">
        <v>1372</v>
      </c>
      <c r="P240" s="259" t="s">
        <v>16</v>
      </c>
      <c r="Q240" s="259" t="s">
        <v>952</v>
      </c>
      <c r="R240" s="259" t="s">
        <v>51</v>
      </c>
      <c r="S240" s="263"/>
      <c r="T240" s="257" t="s">
        <v>520</v>
      </c>
      <c r="U240" s="259" t="s">
        <v>55</v>
      </c>
      <c r="V240" s="261" t="s">
        <v>2277</v>
      </c>
      <c r="W240" s="259" t="s">
        <v>2278</v>
      </c>
      <c r="X240" s="266" t="s">
        <v>2281</v>
      </c>
      <c r="Y240" s="267" t="s">
        <v>2282</v>
      </c>
      <c r="Z240" s="257" t="s">
        <v>2283</v>
      </c>
      <c r="AA240" s="261" t="s">
        <v>2409</v>
      </c>
      <c r="AB240" s="261" t="s">
        <v>488</v>
      </c>
      <c r="AC240" s="261" t="s">
        <v>489</v>
      </c>
      <c r="AD240" s="261" t="s">
        <v>490</v>
      </c>
      <c r="AE240" s="261" t="s">
        <v>491</v>
      </c>
      <c r="AF240" s="261" t="s">
        <v>492</v>
      </c>
      <c r="AG240" s="261" t="s">
        <v>493</v>
      </c>
      <c r="AH240" s="261" t="s">
        <v>494</v>
      </c>
      <c r="AI240" s="261" t="s">
        <v>495</v>
      </c>
    </row>
    <row r="241" spans="1:35" ht="43.2" x14ac:dyDescent="0.3">
      <c r="A241" s="77"/>
      <c r="B241" s="77" t="str">
        <f t="shared" si="39"/>
        <v>Y</v>
      </c>
      <c r="C241" s="77" t="s">
        <v>45</v>
      </c>
      <c r="D241" s="77" t="s">
        <v>2564</v>
      </c>
      <c r="E241" s="84" t="s">
        <v>2567</v>
      </c>
      <c r="F241" s="80" t="s">
        <v>778</v>
      </c>
      <c r="G241" s="96" t="s">
        <v>1265</v>
      </c>
      <c r="H241" s="77">
        <v>200</v>
      </c>
      <c r="J241" s="259" t="s">
        <v>50</v>
      </c>
      <c r="K241" s="259" t="s">
        <v>482</v>
      </c>
      <c r="L241" s="259" t="s">
        <v>51</v>
      </c>
      <c r="M241" s="259" t="s">
        <v>13</v>
      </c>
      <c r="N241" s="259" t="s">
        <v>10</v>
      </c>
      <c r="O241" s="259" t="s">
        <v>1372</v>
      </c>
      <c r="P241" s="259" t="s">
        <v>16</v>
      </c>
      <c r="Q241" s="259" t="s">
        <v>952</v>
      </c>
      <c r="R241" s="259" t="s">
        <v>51</v>
      </c>
      <c r="S241" s="263"/>
      <c r="T241" s="257" t="s">
        <v>171</v>
      </c>
      <c r="U241" s="259" t="s">
        <v>55</v>
      </c>
      <c r="V241" s="261" t="s">
        <v>2277</v>
      </c>
      <c r="W241" s="259" t="s">
        <v>2278</v>
      </c>
      <c r="X241" s="264" t="s">
        <v>964</v>
      </c>
      <c r="Y241" s="265" t="s">
        <v>1159</v>
      </c>
      <c r="Z241" s="257" t="s">
        <v>2284</v>
      </c>
      <c r="AA241" s="261" t="s">
        <v>2409</v>
      </c>
      <c r="AB241" s="261" t="s">
        <v>488</v>
      </c>
      <c r="AC241" s="261" t="s">
        <v>489</v>
      </c>
      <c r="AD241" s="261" t="s">
        <v>490</v>
      </c>
      <c r="AE241" s="261" t="s">
        <v>491</v>
      </c>
      <c r="AF241" s="261" t="s">
        <v>492</v>
      </c>
      <c r="AG241" s="261" t="s">
        <v>493</v>
      </c>
      <c r="AH241" s="261" t="s">
        <v>494</v>
      </c>
      <c r="AI241" s="261" t="s">
        <v>495</v>
      </c>
    </row>
    <row r="242" spans="1:35" ht="57.6" x14ac:dyDescent="0.3">
      <c r="A242" s="77">
        <v>160</v>
      </c>
      <c r="B242" s="77" t="str">
        <f t="shared" ref="B242:B245" si="40">C242</f>
        <v>Y</v>
      </c>
      <c r="C242" s="77" t="s">
        <v>45</v>
      </c>
      <c r="D242" s="77" t="s">
        <v>2568</v>
      </c>
      <c r="E242" s="84" t="s">
        <v>2569</v>
      </c>
      <c r="F242" s="80" t="s">
        <v>720</v>
      </c>
      <c r="G242" s="96" t="s">
        <v>1266</v>
      </c>
      <c r="H242" s="77">
        <v>200</v>
      </c>
      <c r="J242" s="259" t="s">
        <v>50</v>
      </c>
      <c r="K242" s="259" t="s">
        <v>482</v>
      </c>
      <c r="L242" s="259" t="s">
        <v>51</v>
      </c>
      <c r="M242" s="259" t="s">
        <v>13</v>
      </c>
      <c r="N242" s="259" t="s">
        <v>10</v>
      </c>
      <c r="O242" s="259" t="s">
        <v>1372</v>
      </c>
      <c r="P242" s="259" t="s">
        <v>16</v>
      </c>
      <c r="Q242" s="259" t="s">
        <v>952</v>
      </c>
      <c r="R242" s="259" t="s">
        <v>51</v>
      </c>
      <c r="S242" s="260"/>
      <c r="T242" s="259" t="s">
        <v>484</v>
      </c>
      <c r="U242" s="259" t="s">
        <v>55</v>
      </c>
      <c r="V242" s="261" t="s">
        <v>2277</v>
      </c>
      <c r="W242" s="259" t="s">
        <v>2278</v>
      </c>
      <c r="X242" s="261" t="s">
        <v>486</v>
      </c>
      <c r="Y242" s="262" t="s">
        <v>2279</v>
      </c>
      <c r="Z242" s="261" t="s">
        <v>955</v>
      </c>
      <c r="AA242" s="261" t="s">
        <v>2409</v>
      </c>
      <c r="AB242" s="261" t="s">
        <v>488</v>
      </c>
      <c r="AC242" s="261" t="s">
        <v>489</v>
      </c>
      <c r="AD242" s="261" t="s">
        <v>490</v>
      </c>
      <c r="AE242" s="261" t="s">
        <v>491</v>
      </c>
      <c r="AF242" s="261" t="s">
        <v>492</v>
      </c>
      <c r="AG242" s="261" t="s">
        <v>493</v>
      </c>
      <c r="AH242" s="261" t="s">
        <v>494</v>
      </c>
      <c r="AI242" s="261" t="s">
        <v>495</v>
      </c>
    </row>
    <row r="243" spans="1:35" ht="57.6" x14ac:dyDescent="0.3">
      <c r="A243" s="77"/>
      <c r="B243" s="77" t="str">
        <f t="shared" si="40"/>
        <v>Y</v>
      </c>
      <c r="C243" s="77" t="s">
        <v>45</v>
      </c>
      <c r="D243" s="77" t="s">
        <v>2570</v>
      </c>
      <c r="E243" s="84" t="s">
        <v>2571</v>
      </c>
      <c r="F243" s="80" t="s">
        <v>720</v>
      </c>
      <c r="G243" s="96" t="s">
        <v>1266</v>
      </c>
      <c r="H243" s="77">
        <v>200</v>
      </c>
      <c r="J243" s="259" t="s">
        <v>50</v>
      </c>
      <c r="K243" s="259" t="s">
        <v>482</v>
      </c>
      <c r="L243" s="259" t="s">
        <v>51</v>
      </c>
      <c r="M243" s="259" t="s">
        <v>13</v>
      </c>
      <c r="N243" s="259" t="s">
        <v>10</v>
      </c>
      <c r="O243" s="259" t="s">
        <v>1372</v>
      </c>
      <c r="P243" s="259" t="s">
        <v>16</v>
      </c>
      <c r="Q243" s="259" t="s">
        <v>952</v>
      </c>
      <c r="R243" s="259" t="s">
        <v>51</v>
      </c>
      <c r="S243" s="263"/>
      <c r="T243" s="257" t="s">
        <v>484</v>
      </c>
      <c r="U243" s="259" t="s">
        <v>55</v>
      </c>
      <c r="V243" s="261" t="s">
        <v>2277</v>
      </c>
      <c r="W243" s="259" t="s">
        <v>2278</v>
      </c>
      <c r="X243" s="264" t="s">
        <v>517</v>
      </c>
      <c r="Y243" s="265" t="s">
        <v>2280</v>
      </c>
      <c r="Z243" s="257" t="s">
        <v>955</v>
      </c>
      <c r="AA243" s="261" t="s">
        <v>2409</v>
      </c>
      <c r="AB243" s="261" t="s">
        <v>488</v>
      </c>
      <c r="AC243" s="261" t="s">
        <v>489</v>
      </c>
      <c r="AD243" s="261" t="s">
        <v>490</v>
      </c>
      <c r="AE243" s="261" t="s">
        <v>491</v>
      </c>
      <c r="AF243" s="261" t="s">
        <v>492</v>
      </c>
      <c r="AG243" s="261" t="s">
        <v>493</v>
      </c>
      <c r="AH243" s="261" t="s">
        <v>494</v>
      </c>
      <c r="AI243" s="261" t="s">
        <v>495</v>
      </c>
    </row>
    <row r="244" spans="1:35" ht="43.2" x14ac:dyDescent="0.3">
      <c r="A244" s="77">
        <v>161</v>
      </c>
      <c r="B244" s="77" t="str">
        <f t="shared" si="40"/>
        <v>Y</v>
      </c>
      <c r="C244" s="77" t="s">
        <v>45</v>
      </c>
      <c r="D244" s="77" t="s">
        <v>1896</v>
      </c>
      <c r="E244" s="84" t="s">
        <v>1897</v>
      </c>
      <c r="F244" s="80" t="s">
        <v>1269</v>
      </c>
      <c r="G244" s="96" t="s">
        <v>1270</v>
      </c>
      <c r="H244" s="77">
        <v>200</v>
      </c>
      <c r="J244" s="259" t="s">
        <v>50</v>
      </c>
      <c r="K244" s="259" t="s">
        <v>482</v>
      </c>
      <c r="L244" s="259" t="s">
        <v>51</v>
      </c>
      <c r="M244" s="259" t="s">
        <v>13</v>
      </c>
      <c r="N244" s="259" t="s">
        <v>10</v>
      </c>
      <c r="O244" s="259" t="s">
        <v>1372</v>
      </c>
      <c r="P244" s="259" t="s">
        <v>16</v>
      </c>
      <c r="Q244" s="259" t="s">
        <v>952</v>
      </c>
      <c r="R244" s="259" t="s">
        <v>51</v>
      </c>
      <c r="S244" s="263"/>
      <c r="T244" s="257" t="s">
        <v>520</v>
      </c>
      <c r="U244" s="259" t="s">
        <v>55</v>
      </c>
      <c r="V244" s="261" t="s">
        <v>2277</v>
      </c>
      <c r="W244" s="259" t="s">
        <v>2278</v>
      </c>
      <c r="X244" s="266" t="s">
        <v>2281</v>
      </c>
      <c r="Y244" s="267" t="s">
        <v>2282</v>
      </c>
      <c r="Z244" s="257" t="s">
        <v>2283</v>
      </c>
      <c r="AA244" s="261" t="s">
        <v>2409</v>
      </c>
      <c r="AB244" s="261" t="s">
        <v>488</v>
      </c>
      <c r="AC244" s="261" t="s">
        <v>489</v>
      </c>
      <c r="AD244" s="261" t="s">
        <v>490</v>
      </c>
      <c r="AE244" s="261" t="s">
        <v>491</v>
      </c>
      <c r="AF244" s="261" t="s">
        <v>492</v>
      </c>
      <c r="AG244" s="261" t="s">
        <v>493</v>
      </c>
      <c r="AH244" s="261" t="s">
        <v>494</v>
      </c>
      <c r="AI244" s="261" t="s">
        <v>495</v>
      </c>
    </row>
    <row r="245" spans="1:35" ht="57.6" x14ac:dyDescent="0.3">
      <c r="A245" s="77">
        <v>162</v>
      </c>
      <c r="B245" s="77" t="str">
        <f t="shared" si="40"/>
        <v>Y</v>
      </c>
      <c r="C245" s="77" t="s">
        <v>45</v>
      </c>
      <c r="D245" s="77" t="s">
        <v>1898</v>
      </c>
      <c r="E245" s="84" t="s">
        <v>1899</v>
      </c>
      <c r="F245" s="80" t="s">
        <v>729</v>
      </c>
      <c r="G245" s="96" t="s">
        <v>1273</v>
      </c>
      <c r="H245" s="77">
        <v>200</v>
      </c>
      <c r="J245" s="259" t="s">
        <v>50</v>
      </c>
      <c r="K245" s="259" t="s">
        <v>482</v>
      </c>
      <c r="L245" s="259" t="s">
        <v>51</v>
      </c>
      <c r="M245" s="259" t="s">
        <v>13</v>
      </c>
      <c r="N245" s="259" t="s">
        <v>10</v>
      </c>
      <c r="O245" s="259" t="s">
        <v>1372</v>
      </c>
      <c r="P245" s="259" t="s">
        <v>16</v>
      </c>
      <c r="Q245" s="259" t="s">
        <v>952</v>
      </c>
      <c r="R245" s="259" t="s">
        <v>51</v>
      </c>
      <c r="S245" s="263"/>
      <c r="T245" s="257" t="s">
        <v>171</v>
      </c>
      <c r="U245" s="259" t="s">
        <v>55</v>
      </c>
      <c r="V245" s="261" t="s">
        <v>2277</v>
      </c>
      <c r="W245" s="259" t="s">
        <v>2278</v>
      </c>
      <c r="X245" s="264" t="s">
        <v>964</v>
      </c>
      <c r="Y245" s="265" t="s">
        <v>1159</v>
      </c>
      <c r="Z245" s="257" t="s">
        <v>2284</v>
      </c>
      <c r="AA245" s="261" t="s">
        <v>2409</v>
      </c>
      <c r="AB245" s="261" t="s">
        <v>488</v>
      </c>
      <c r="AC245" s="261" t="s">
        <v>489</v>
      </c>
      <c r="AD245" s="261" t="s">
        <v>490</v>
      </c>
      <c r="AE245" s="261" t="s">
        <v>491</v>
      </c>
      <c r="AF245" s="261" t="s">
        <v>492</v>
      </c>
      <c r="AG245" s="261" t="s">
        <v>493</v>
      </c>
      <c r="AH245" s="261" t="s">
        <v>494</v>
      </c>
      <c r="AI245" s="261" t="s">
        <v>495</v>
      </c>
    </row>
    <row r="246" spans="1:35" ht="86.4" x14ac:dyDescent="0.3">
      <c r="A246" s="77">
        <v>163</v>
      </c>
      <c r="B246" s="77" t="str">
        <f t="shared" ref="B246:B249" si="41">C246</f>
        <v>Y</v>
      </c>
      <c r="C246" s="77" t="s">
        <v>45</v>
      </c>
      <c r="D246" s="77" t="s">
        <v>2577</v>
      </c>
      <c r="E246" s="84" t="s">
        <v>2578</v>
      </c>
      <c r="F246" s="80" t="s">
        <v>1274</v>
      </c>
      <c r="G246" s="96" t="s">
        <v>1275</v>
      </c>
      <c r="H246" s="77">
        <v>401</v>
      </c>
      <c r="I246" s="155" t="s">
        <v>1964</v>
      </c>
      <c r="J246" s="259" t="s">
        <v>50</v>
      </c>
      <c r="K246" s="259" t="s">
        <v>482</v>
      </c>
      <c r="L246" s="259" t="s">
        <v>51</v>
      </c>
      <c r="M246" s="259" t="s">
        <v>13</v>
      </c>
      <c r="N246" s="259" t="s">
        <v>10</v>
      </c>
      <c r="O246" s="259" t="s">
        <v>1372</v>
      </c>
      <c r="P246" s="259" t="s">
        <v>16</v>
      </c>
      <c r="Q246" s="259" t="s">
        <v>952</v>
      </c>
      <c r="R246" s="259" t="s">
        <v>51</v>
      </c>
      <c r="S246" s="271" t="s">
        <v>1977</v>
      </c>
      <c r="T246" s="259" t="s">
        <v>484</v>
      </c>
      <c r="U246" s="259" t="s">
        <v>55</v>
      </c>
      <c r="V246" s="261" t="s">
        <v>2277</v>
      </c>
      <c r="W246" s="259" t="s">
        <v>2278</v>
      </c>
      <c r="X246" s="261" t="s">
        <v>486</v>
      </c>
      <c r="Y246" s="262" t="s">
        <v>2279</v>
      </c>
      <c r="Z246" s="261" t="s">
        <v>955</v>
      </c>
      <c r="AA246" s="261" t="s">
        <v>2409</v>
      </c>
      <c r="AB246" s="261" t="s">
        <v>488</v>
      </c>
      <c r="AC246" s="261" t="s">
        <v>489</v>
      </c>
      <c r="AD246" s="261" t="s">
        <v>490</v>
      </c>
      <c r="AE246" s="261" t="s">
        <v>491</v>
      </c>
      <c r="AF246" s="261" t="s">
        <v>492</v>
      </c>
      <c r="AG246" s="261" t="s">
        <v>493</v>
      </c>
      <c r="AH246" s="261" t="s">
        <v>494</v>
      </c>
      <c r="AI246" s="261" t="s">
        <v>495</v>
      </c>
    </row>
    <row r="247" spans="1:35" ht="86.4" x14ac:dyDescent="0.3">
      <c r="A247" s="77"/>
      <c r="B247" s="77" t="str">
        <f t="shared" si="41"/>
        <v>Y</v>
      </c>
      <c r="C247" s="77" t="s">
        <v>45</v>
      </c>
      <c r="D247" s="77" t="s">
        <v>2579</v>
      </c>
      <c r="E247" s="84" t="s">
        <v>2582</v>
      </c>
      <c r="F247" s="80" t="s">
        <v>1274</v>
      </c>
      <c r="G247" s="96" t="s">
        <v>1275</v>
      </c>
      <c r="H247" s="77">
        <v>401</v>
      </c>
      <c r="I247" s="155" t="s">
        <v>1964</v>
      </c>
      <c r="J247" s="259" t="s">
        <v>50</v>
      </c>
      <c r="K247" s="259" t="s">
        <v>482</v>
      </c>
      <c r="L247" s="259" t="s">
        <v>51</v>
      </c>
      <c r="M247" s="259" t="s">
        <v>13</v>
      </c>
      <c r="N247" s="259" t="s">
        <v>10</v>
      </c>
      <c r="O247" s="259" t="s">
        <v>1372</v>
      </c>
      <c r="P247" s="259" t="s">
        <v>16</v>
      </c>
      <c r="Q247" s="259" t="s">
        <v>952</v>
      </c>
      <c r="R247" s="259" t="s">
        <v>51</v>
      </c>
      <c r="S247" s="271" t="s">
        <v>1977</v>
      </c>
      <c r="T247" s="257" t="s">
        <v>484</v>
      </c>
      <c r="U247" s="259" t="s">
        <v>55</v>
      </c>
      <c r="V247" s="261" t="s">
        <v>2277</v>
      </c>
      <c r="W247" s="259" t="s">
        <v>2278</v>
      </c>
      <c r="X247" s="264" t="s">
        <v>517</v>
      </c>
      <c r="Y247" s="265" t="s">
        <v>2280</v>
      </c>
      <c r="Z247" s="257" t="s">
        <v>955</v>
      </c>
      <c r="AA247" s="261" t="s">
        <v>2409</v>
      </c>
      <c r="AB247" s="261" t="s">
        <v>488</v>
      </c>
      <c r="AC247" s="261" t="s">
        <v>489</v>
      </c>
      <c r="AD247" s="261" t="s">
        <v>490</v>
      </c>
      <c r="AE247" s="261" t="s">
        <v>491</v>
      </c>
      <c r="AF247" s="261" t="s">
        <v>492</v>
      </c>
      <c r="AG247" s="261" t="s">
        <v>493</v>
      </c>
      <c r="AH247" s="261" t="s">
        <v>494</v>
      </c>
      <c r="AI247" s="261" t="s">
        <v>495</v>
      </c>
    </row>
    <row r="248" spans="1:35" ht="86.4" x14ac:dyDescent="0.3">
      <c r="A248" s="77"/>
      <c r="B248" s="77" t="str">
        <f t="shared" si="41"/>
        <v>Y</v>
      </c>
      <c r="C248" s="77" t="s">
        <v>45</v>
      </c>
      <c r="D248" s="77" t="s">
        <v>2580</v>
      </c>
      <c r="E248" s="84" t="s">
        <v>2583</v>
      </c>
      <c r="F248" s="80" t="s">
        <v>1274</v>
      </c>
      <c r="G248" s="96" t="s">
        <v>1275</v>
      </c>
      <c r="H248" s="77">
        <v>401</v>
      </c>
      <c r="I248" s="155" t="s">
        <v>1964</v>
      </c>
      <c r="J248" s="259" t="s">
        <v>50</v>
      </c>
      <c r="K248" s="259" t="s">
        <v>482</v>
      </c>
      <c r="L248" s="259" t="s">
        <v>51</v>
      </c>
      <c r="M248" s="259" t="s">
        <v>13</v>
      </c>
      <c r="N248" s="259" t="s">
        <v>10</v>
      </c>
      <c r="O248" s="259" t="s">
        <v>1372</v>
      </c>
      <c r="P248" s="259" t="s">
        <v>16</v>
      </c>
      <c r="Q248" s="259" t="s">
        <v>952</v>
      </c>
      <c r="R248" s="259" t="s">
        <v>51</v>
      </c>
      <c r="S248" s="271" t="s">
        <v>1977</v>
      </c>
      <c r="T248" s="257" t="s">
        <v>520</v>
      </c>
      <c r="U248" s="259" t="s">
        <v>55</v>
      </c>
      <c r="V248" s="261" t="s">
        <v>2277</v>
      </c>
      <c r="W248" s="259" t="s">
        <v>2278</v>
      </c>
      <c r="X248" s="266" t="s">
        <v>2281</v>
      </c>
      <c r="Y248" s="267" t="s">
        <v>2282</v>
      </c>
      <c r="Z248" s="257" t="s">
        <v>2283</v>
      </c>
      <c r="AA248" s="261" t="s">
        <v>2409</v>
      </c>
      <c r="AB248" s="261" t="s">
        <v>488</v>
      </c>
      <c r="AC248" s="261" t="s">
        <v>489</v>
      </c>
      <c r="AD248" s="261" t="s">
        <v>490</v>
      </c>
      <c r="AE248" s="261" t="s">
        <v>491</v>
      </c>
      <c r="AF248" s="261" t="s">
        <v>492</v>
      </c>
      <c r="AG248" s="261" t="s">
        <v>493</v>
      </c>
      <c r="AH248" s="261" t="s">
        <v>494</v>
      </c>
      <c r="AI248" s="261" t="s">
        <v>495</v>
      </c>
    </row>
    <row r="249" spans="1:35" ht="86.4" x14ac:dyDescent="0.3">
      <c r="A249" s="77"/>
      <c r="B249" s="77" t="str">
        <f t="shared" si="41"/>
        <v>Y</v>
      </c>
      <c r="C249" s="77" t="s">
        <v>45</v>
      </c>
      <c r="D249" s="77" t="s">
        <v>2581</v>
      </c>
      <c r="E249" s="84" t="s">
        <v>2584</v>
      </c>
      <c r="F249" s="80" t="s">
        <v>1274</v>
      </c>
      <c r="G249" s="96" t="s">
        <v>1275</v>
      </c>
      <c r="H249" s="77">
        <v>401</v>
      </c>
      <c r="I249" s="155" t="s">
        <v>1964</v>
      </c>
      <c r="J249" s="259" t="s">
        <v>50</v>
      </c>
      <c r="K249" s="259" t="s">
        <v>482</v>
      </c>
      <c r="L249" s="259" t="s">
        <v>51</v>
      </c>
      <c r="M249" s="259" t="s">
        <v>13</v>
      </c>
      <c r="N249" s="259" t="s">
        <v>10</v>
      </c>
      <c r="O249" s="259" t="s">
        <v>1372</v>
      </c>
      <c r="P249" s="259" t="s">
        <v>16</v>
      </c>
      <c r="Q249" s="259" t="s">
        <v>952</v>
      </c>
      <c r="R249" s="259" t="s">
        <v>51</v>
      </c>
      <c r="S249" s="271" t="s">
        <v>1977</v>
      </c>
      <c r="T249" s="257" t="s">
        <v>171</v>
      </c>
      <c r="U249" s="259" t="s">
        <v>55</v>
      </c>
      <c r="V249" s="261" t="s">
        <v>2277</v>
      </c>
      <c r="W249" s="259" t="s">
        <v>2278</v>
      </c>
      <c r="X249" s="264" t="s">
        <v>964</v>
      </c>
      <c r="Y249" s="265" t="s">
        <v>1159</v>
      </c>
      <c r="Z249" s="257" t="s">
        <v>2284</v>
      </c>
      <c r="AA249" s="261" t="s">
        <v>2409</v>
      </c>
      <c r="AB249" s="261" t="s">
        <v>488</v>
      </c>
      <c r="AC249" s="261" t="s">
        <v>489</v>
      </c>
      <c r="AD249" s="261" t="s">
        <v>490</v>
      </c>
      <c r="AE249" s="261" t="s">
        <v>491</v>
      </c>
      <c r="AF249" s="261" t="s">
        <v>492</v>
      </c>
      <c r="AG249" s="261" t="s">
        <v>493</v>
      </c>
      <c r="AH249" s="261" t="s">
        <v>494</v>
      </c>
      <c r="AI249" s="261" t="s">
        <v>495</v>
      </c>
    </row>
    <row r="250" spans="1:35" ht="72" x14ac:dyDescent="0.3">
      <c r="A250" s="77">
        <v>164</v>
      </c>
      <c r="B250" s="77" t="str">
        <f t="shared" ref="B250:B259" si="42">C250</f>
        <v>Y</v>
      </c>
      <c r="C250" s="77" t="s">
        <v>45</v>
      </c>
      <c r="D250" s="77" t="s">
        <v>2585</v>
      </c>
      <c r="E250" s="84" t="s">
        <v>2586</v>
      </c>
      <c r="F250" s="80" t="s">
        <v>1276</v>
      </c>
      <c r="G250" s="96" t="s">
        <v>1277</v>
      </c>
      <c r="H250" s="77">
        <v>403</v>
      </c>
      <c r="I250" s="131" t="s">
        <v>1974</v>
      </c>
      <c r="J250" s="259" t="s">
        <v>50</v>
      </c>
      <c r="K250" s="259" t="s">
        <v>482</v>
      </c>
      <c r="L250" s="259" t="s">
        <v>51</v>
      </c>
      <c r="M250" s="272" t="s">
        <v>2367</v>
      </c>
      <c r="N250" s="272" t="s">
        <v>2366</v>
      </c>
      <c r="O250" s="259" t="s">
        <v>1372</v>
      </c>
      <c r="P250" s="272" t="s">
        <v>1452</v>
      </c>
      <c r="Q250" s="259" t="s">
        <v>952</v>
      </c>
      <c r="R250" s="259" t="s">
        <v>51</v>
      </c>
      <c r="S250" s="260"/>
      <c r="T250" s="259" t="s">
        <v>484</v>
      </c>
      <c r="U250" s="259" t="s">
        <v>55</v>
      </c>
      <c r="V250" s="261" t="s">
        <v>2277</v>
      </c>
      <c r="W250" s="259" t="s">
        <v>2278</v>
      </c>
      <c r="X250" s="261" t="s">
        <v>486</v>
      </c>
      <c r="Y250" s="262" t="s">
        <v>2279</v>
      </c>
      <c r="Z250" s="261" t="s">
        <v>955</v>
      </c>
      <c r="AA250" s="261" t="s">
        <v>2409</v>
      </c>
      <c r="AB250" s="261" t="s">
        <v>488</v>
      </c>
      <c r="AC250" s="261" t="s">
        <v>489</v>
      </c>
      <c r="AD250" s="261" t="s">
        <v>490</v>
      </c>
      <c r="AE250" s="261" t="s">
        <v>491</v>
      </c>
      <c r="AF250" s="261" t="s">
        <v>492</v>
      </c>
      <c r="AG250" s="261" t="s">
        <v>493</v>
      </c>
      <c r="AH250" s="261" t="s">
        <v>494</v>
      </c>
      <c r="AI250" s="261" t="s">
        <v>495</v>
      </c>
    </row>
    <row r="251" spans="1:35" ht="72" x14ac:dyDescent="0.3">
      <c r="A251" s="77"/>
      <c r="B251" s="77" t="str">
        <f t="shared" ref="B251:B253" si="43">C251</f>
        <v>Y</v>
      </c>
      <c r="C251" s="77" t="s">
        <v>45</v>
      </c>
      <c r="D251" s="77" t="s">
        <v>2587</v>
      </c>
      <c r="E251" s="84" t="s">
        <v>2590</v>
      </c>
      <c r="F251" s="80" t="s">
        <v>1276</v>
      </c>
      <c r="G251" s="96" t="s">
        <v>1277</v>
      </c>
      <c r="H251" s="77">
        <v>403</v>
      </c>
      <c r="I251" s="131" t="s">
        <v>1974</v>
      </c>
      <c r="J251" s="259" t="s">
        <v>50</v>
      </c>
      <c r="K251" s="259" t="s">
        <v>482</v>
      </c>
      <c r="L251" s="259" t="s">
        <v>51</v>
      </c>
      <c r="M251" s="272" t="s">
        <v>2367</v>
      </c>
      <c r="N251" s="272" t="s">
        <v>2366</v>
      </c>
      <c r="O251" s="259" t="s">
        <v>1372</v>
      </c>
      <c r="P251" s="272" t="s">
        <v>1452</v>
      </c>
      <c r="Q251" s="259" t="s">
        <v>952</v>
      </c>
      <c r="R251" s="259" t="s">
        <v>51</v>
      </c>
      <c r="S251" s="263"/>
      <c r="T251" s="257" t="s">
        <v>484</v>
      </c>
      <c r="U251" s="259" t="s">
        <v>55</v>
      </c>
      <c r="V251" s="261" t="s">
        <v>2277</v>
      </c>
      <c r="W251" s="259" t="s">
        <v>2278</v>
      </c>
      <c r="X251" s="264" t="s">
        <v>517</v>
      </c>
      <c r="Y251" s="265" t="s">
        <v>2280</v>
      </c>
      <c r="Z251" s="257" t="s">
        <v>955</v>
      </c>
      <c r="AA251" s="261" t="s">
        <v>2410</v>
      </c>
      <c r="AB251" s="261" t="s">
        <v>488</v>
      </c>
      <c r="AC251" s="261" t="s">
        <v>489</v>
      </c>
      <c r="AD251" s="261" t="s">
        <v>490</v>
      </c>
      <c r="AE251" s="261" t="s">
        <v>491</v>
      </c>
      <c r="AF251" s="261" t="s">
        <v>492</v>
      </c>
      <c r="AG251" s="261" t="s">
        <v>493</v>
      </c>
      <c r="AH251" s="261" t="s">
        <v>494</v>
      </c>
      <c r="AI251" s="261" t="s">
        <v>495</v>
      </c>
    </row>
    <row r="252" spans="1:35" ht="72" x14ac:dyDescent="0.3">
      <c r="A252" s="77"/>
      <c r="B252" s="77" t="str">
        <f t="shared" si="43"/>
        <v>Y</v>
      </c>
      <c r="C252" s="77" t="s">
        <v>45</v>
      </c>
      <c r="D252" s="77" t="s">
        <v>2588</v>
      </c>
      <c r="E252" s="84" t="s">
        <v>2591</v>
      </c>
      <c r="F252" s="80" t="s">
        <v>1276</v>
      </c>
      <c r="G252" s="96" t="s">
        <v>1277</v>
      </c>
      <c r="H252" s="77">
        <v>403</v>
      </c>
      <c r="I252" s="131" t="s">
        <v>1974</v>
      </c>
      <c r="J252" s="259" t="s">
        <v>50</v>
      </c>
      <c r="K252" s="259" t="s">
        <v>482</v>
      </c>
      <c r="L252" s="259" t="s">
        <v>51</v>
      </c>
      <c r="M252" s="272" t="s">
        <v>2367</v>
      </c>
      <c r="N252" s="272" t="s">
        <v>2366</v>
      </c>
      <c r="O252" s="259" t="s">
        <v>1372</v>
      </c>
      <c r="P252" s="272" t="s">
        <v>1452</v>
      </c>
      <c r="Q252" s="259" t="s">
        <v>952</v>
      </c>
      <c r="R252" s="259" t="s">
        <v>51</v>
      </c>
      <c r="S252" s="263"/>
      <c r="T252" s="257" t="s">
        <v>520</v>
      </c>
      <c r="U252" s="259" t="s">
        <v>55</v>
      </c>
      <c r="V252" s="261" t="s">
        <v>2277</v>
      </c>
      <c r="W252" s="259" t="s">
        <v>2278</v>
      </c>
      <c r="X252" s="266" t="s">
        <v>2281</v>
      </c>
      <c r="Y252" s="267" t="s">
        <v>2282</v>
      </c>
      <c r="Z252" s="257" t="s">
        <v>2283</v>
      </c>
      <c r="AA252" s="261" t="s">
        <v>2411</v>
      </c>
      <c r="AB252" s="261" t="s">
        <v>488</v>
      </c>
      <c r="AC252" s="261" t="s">
        <v>489</v>
      </c>
      <c r="AD252" s="261" t="s">
        <v>490</v>
      </c>
      <c r="AE252" s="261" t="s">
        <v>491</v>
      </c>
      <c r="AF252" s="261" t="s">
        <v>492</v>
      </c>
      <c r="AG252" s="261" t="s">
        <v>493</v>
      </c>
      <c r="AH252" s="261" t="s">
        <v>494</v>
      </c>
      <c r="AI252" s="261" t="s">
        <v>495</v>
      </c>
    </row>
    <row r="253" spans="1:35" ht="72" x14ac:dyDescent="0.3">
      <c r="A253" s="77"/>
      <c r="B253" s="77" t="str">
        <f t="shared" si="43"/>
        <v>Y</v>
      </c>
      <c r="C253" s="77" t="s">
        <v>45</v>
      </c>
      <c r="D253" s="77" t="s">
        <v>2589</v>
      </c>
      <c r="E253" s="84" t="s">
        <v>2592</v>
      </c>
      <c r="F253" s="80" t="s">
        <v>1276</v>
      </c>
      <c r="G253" s="96" t="s">
        <v>1277</v>
      </c>
      <c r="H253" s="77">
        <v>403</v>
      </c>
      <c r="I253" s="131" t="s">
        <v>1974</v>
      </c>
      <c r="J253" s="259" t="s">
        <v>50</v>
      </c>
      <c r="K253" s="259" t="s">
        <v>482</v>
      </c>
      <c r="L253" s="259" t="s">
        <v>51</v>
      </c>
      <c r="M253" s="272" t="s">
        <v>2367</v>
      </c>
      <c r="N253" s="272" t="s">
        <v>2366</v>
      </c>
      <c r="O253" s="259" t="s">
        <v>1372</v>
      </c>
      <c r="P253" s="272" t="s">
        <v>1452</v>
      </c>
      <c r="Q253" s="259" t="s">
        <v>952</v>
      </c>
      <c r="R253" s="259" t="s">
        <v>51</v>
      </c>
      <c r="S253" s="263"/>
      <c r="T253" s="257" t="s">
        <v>171</v>
      </c>
      <c r="U253" s="259" t="s">
        <v>55</v>
      </c>
      <c r="V253" s="261" t="s">
        <v>2277</v>
      </c>
      <c r="W253" s="259" t="s">
        <v>2278</v>
      </c>
      <c r="X253" s="264" t="s">
        <v>964</v>
      </c>
      <c r="Y253" s="265" t="s">
        <v>1159</v>
      </c>
      <c r="Z253" s="257" t="s">
        <v>2284</v>
      </c>
      <c r="AA253" s="261" t="s">
        <v>2078</v>
      </c>
      <c r="AB253" s="261" t="s">
        <v>488</v>
      </c>
      <c r="AC253" s="261" t="s">
        <v>489</v>
      </c>
      <c r="AD253" s="261" t="s">
        <v>490</v>
      </c>
      <c r="AE253" s="261" t="s">
        <v>491</v>
      </c>
      <c r="AF253" s="261" t="s">
        <v>492</v>
      </c>
      <c r="AG253" s="261" t="s">
        <v>493</v>
      </c>
      <c r="AH253" s="261" t="s">
        <v>494</v>
      </c>
      <c r="AI253" s="261" t="s">
        <v>495</v>
      </c>
    </row>
    <row r="254" spans="1:35" ht="72" x14ac:dyDescent="0.3">
      <c r="A254" s="77">
        <v>165</v>
      </c>
      <c r="B254" s="77" t="str">
        <f t="shared" si="42"/>
        <v>Y</v>
      </c>
      <c r="C254" s="77" t="s">
        <v>45</v>
      </c>
      <c r="D254" s="77" t="s">
        <v>2593</v>
      </c>
      <c r="E254" s="84" t="s">
        <v>2594</v>
      </c>
      <c r="F254" s="80" t="s">
        <v>1280</v>
      </c>
      <c r="G254" s="96" t="s">
        <v>1281</v>
      </c>
      <c r="H254" s="77">
        <v>400</v>
      </c>
      <c r="I254" s="21" t="s">
        <v>1968</v>
      </c>
      <c r="J254" s="259" t="s">
        <v>50</v>
      </c>
      <c r="K254" s="259" t="s">
        <v>482</v>
      </c>
      <c r="L254" s="259" t="s">
        <v>51</v>
      </c>
      <c r="M254" s="259" t="s">
        <v>13</v>
      </c>
      <c r="N254" s="259" t="s">
        <v>10</v>
      </c>
      <c r="O254" s="259" t="s">
        <v>1372</v>
      </c>
      <c r="P254" s="259" t="s">
        <v>16</v>
      </c>
      <c r="Q254" s="259" t="s">
        <v>952</v>
      </c>
      <c r="R254" s="259" t="s">
        <v>51</v>
      </c>
      <c r="S254" s="260"/>
      <c r="T254" s="259" t="s">
        <v>484</v>
      </c>
      <c r="U254" s="259" t="s">
        <v>55</v>
      </c>
      <c r="V254" s="261" t="s">
        <v>2277</v>
      </c>
      <c r="W254" s="259" t="s">
        <v>2278</v>
      </c>
      <c r="X254" s="261" t="s">
        <v>486</v>
      </c>
      <c r="Y254" s="262" t="s">
        <v>1977</v>
      </c>
      <c r="Z254" s="261" t="s">
        <v>955</v>
      </c>
      <c r="AA254" s="259">
        <v>1</v>
      </c>
      <c r="AB254" s="261" t="s">
        <v>488</v>
      </c>
      <c r="AC254" s="261" t="s">
        <v>489</v>
      </c>
      <c r="AD254" s="261" t="s">
        <v>490</v>
      </c>
      <c r="AE254" s="261" t="s">
        <v>491</v>
      </c>
      <c r="AF254" s="261" t="s">
        <v>492</v>
      </c>
      <c r="AG254" s="261" t="s">
        <v>493</v>
      </c>
      <c r="AH254" s="261" t="s">
        <v>494</v>
      </c>
      <c r="AI254" s="261" t="s">
        <v>495</v>
      </c>
    </row>
    <row r="255" spans="1:35" ht="72" x14ac:dyDescent="0.3">
      <c r="A255" s="77"/>
      <c r="B255" s="77" t="str">
        <f t="shared" ref="B255:B257" si="44">C255</f>
        <v>Y</v>
      </c>
      <c r="C255" s="77" t="s">
        <v>45</v>
      </c>
      <c r="D255" s="77" t="s">
        <v>2595</v>
      </c>
      <c r="E255" s="84" t="s">
        <v>2598</v>
      </c>
      <c r="F255" s="80" t="s">
        <v>1280</v>
      </c>
      <c r="G255" s="96" t="s">
        <v>1281</v>
      </c>
      <c r="H255" s="77">
        <v>400</v>
      </c>
      <c r="I255" s="131" t="s">
        <v>2465</v>
      </c>
      <c r="J255" s="259" t="s">
        <v>50</v>
      </c>
      <c r="K255" s="259" t="s">
        <v>482</v>
      </c>
      <c r="L255" s="259" t="s">
        <v>51</v>
      </c>
      <c r="M255" s="259" t="s">
        <v>13</v>
      </c>
      <c r="N255" s="259" t="s">
        <v>10</v>
      </c>
      <c r="O255" s="259" t="s">
        <v>1372</v>
      </c>
      <c r="P255" s="259" t="s">
        <v>16</v>
      </c>
      <c r="Q255" s="259" t="s">
        <v>952</v>
      </c>
      <c r="R255" s="259" t="s">
        <v>51</v>
      </c>
      <c r="S255" s="263"/>
      <c r="T255" s="257" t="s">
        <v>484</v>
      </c>
      <c r="U255" s="259" t="s">
        <v>55</v>
      </c>
      <c r="V255" s="261" t="s">
        <v>2277</v>
      </c>
      <c r="W255" s="259" t="s">
        <v>2278</v>
      </c>
      <c r="X255" s="264" t="s">
        <v>1977</v>
      </c>
      <c r="Y255" s="265" t="s">
        <v>2280</v>
      </c>
      <c r="Z255" s="257" t="s">
        <v>955</v>
      </c>
      <c r="AA255" s="257">
        <v>2</v>
      </c>
      <c r="AB255" s="261" t="s">
        <v>488</v>
      </c>
      <c r="AC255" s="261" t="s">
        <v>489</v>
      </c>
      <c r="AD255" s="261" t="s">
        <v>490</v>
      </c>
      <c r="AE255" s="261" t="s">
        <v>491</v>
      </c>
      <c r="AF255" s="261" t="s">
        <v>492</v>
      </c>
      <c r="AG255" s="261" t="s">
        <v>493</v>
      </c>
      <c r="AH255" s="261" t="s">
        <v>494</v>
      </c>
      <c r="AI255" s="261" t="s">
        <v>495</v>
      </c>
    </row>
    <row r="256" spans="1:35" ht="72" x14ac:dyDescent="0.3">
      <c r="A256" s="77"/>
      <c r="B256" s="77" t="str">
        <f t="shared" si="44"/>
        <v>Y</v>
      </c>
      <c r="C256" s="77" t="s">
        <v>45</v>
      </c>
      <c r="D256" s="77" t="s">
        <v>2596</v>
      </c>
      <c r="E256" s="84" t="s">
        <v>2599</v>
      </c>
      <c r="F256" s="80" t="s">
        <v>1280</v>
      </c>
      <c r="G256" s="96" t="s">
        <v>1281</v>
      </c>
      <c r="H256" s="77">
        <v>400</v>
      </c>
      <c r="I256" s="131" t="s">
        <v>2166</v>
      </c>
      <c r="J256" s="259" t="s">
        <v>50</v>
      </c>
      <c r="K256" s="259" t="s">
        <v>482</v>
      </c>
      <c r="L256" s="259" t="s">
        <v>51</v>
      </c>
      <c r="M256" s="259" t="s">
        <v>13</v>
      </c>
      <c r="N256" s="259" t="s">
        <v>10</v>
      </c>
      <c r="O256" s="259" t="s">
        <v>1372</v>
      </c>
      <c r="P256" s="259" t="s">
        <v>16</v>
      </c>
      <c r="Q256" s="259" t="s">
        <v>952</v>
      </c>
      <c r="R256" s="259" t="s">
        <v>51</v>
      </c>
      <c r="S256" s="263"/>
      <c r="T256" s="257" t="s">
        <v>520</v>
      </c>
      <c r="U256" s="259" t="s">
        <v>55</v>
      </c>
      <c r="V256" s="261" t="s">
        <v>2277</v>
      </c>
      <c r="W256" s="259" t="s">
        <v>2278</v>
      </c>
      <c r="X256" s="266" t="s">
        <v>2466</v>
      </c>
      <c r="Y256" s="267" t="s">
        <v>2282</v>
      </c>
      <c r="Z256" s="257" t="s">
        <v>2283</v>
      </c>
      <c r="AA256" s="257">
        <v>3</v>
      </c>
      <c r="AB256" s="261" t="s">
        <v>488</v>
      </c>
      <c r="AC256" s="261" t="s">
        <v>489</v>
      </c>
      <c r="AD256" s="261" t="s">
        <v>490</v>
      </c>
      <c r="AE256" s="261" t="s">
        <v>491</v>
      </c>
      <c r="AF256" s="261" t="s">
        <v>492</v>
      </c>
      <c r="AG256" s="261" t="s">
        <v>493</v>
      </c>
      <c r="AH256" s="261" t="s">
        <v>494</v>
      </c>
      <c r="AI256" s="261" t="s">
        <v>495</v>
      </c>
    </row>
    <row r="257" spans="1:35" ht="86.4" x14ac:dyDescent="0.3">
      <c r="A257" s="77"/>
      <c r="B257" s="77" t="str">
        <f t="shared" si="44"/>
        <v>Y</v>
      </c>
      <c r="C257" s="77" t="s">
        <v>45</v>
      </c>
      <c r="D257" s="77" t="s">
        <v>2597</v>
      </c>
      <c r="E257" s="84" t="s">
        <v>2600</v>
      </c>
      <c r="F257" s="80" t="s">
        <v>1280</v>
      </c>
      <c r="G257" s="96" t="s">
        <v>1281</v>
      </c>
      <c r="H257" s="77">
        <v>400</v>
      </c>
      <c r="I257" s="155" t="s">
        <v>2658</v>
      </c>
      <c r="J257" s="259" t="s">
        <v>50</v>
      </c>
      <c r="K257" s="259" t="s">
        <v>482</v>
      </c>
      <c r="L257" s="259" t="s">
        <v>51</v>
      </c>
      <c r="M257" s="259" t="s">
        <v>13</v>
      </c>
      <c r="N257" s="259" t="s">
        <v>10</v>
      </c>
      <c r="O257" s="259" t="s">
        <v>1372</v>
      </c>
      <c r="P257" s="259" t="s">
        <v>16</v>
      </c>
      <c r="Q257" s="259" t="s">
        <v>952</v>
      </c>
      <c r="R257" s="259" t="s">
        <v>51</v>
      </c>
      <c r="S257" s="263"/>
      <c r="T257" s="264" t="s">
        <v>1977</v>
      </c>
      <c r="U257" s="259" t="s">
        <v>55</v>
      </c>
      <c r="V257" s="261" t="s">
        <v>2277</v>
      </c>
      <c r="W257" s="259" t="s">
        <v>2278</v>
      </c>
      <c r="X257" s="264" t="s">
        <v>964</v>
      </c>
      <c r="Y257" s="265" t="s">
        <v>1159</v>
      </c>
      <c r="Z257" s="257" t="s">
        <v>2284</v>
      </c>
      <c r="AA257" s="257">
        <v>4</v>
      </c>
      <c r="AB257" s="261" t="s">
        <v>488</v>
      </c>
      <c r="AC257" s="261" t="s">
        <v>489</v>
      </c>
      <c r="AD257" s="261" t="s">
        <v>490</v>
      </c>
      <c r="AE257" s="261" t="s">
        <v>491</v>
      </c>
      <c r="AF257" s="261" t="s">
        <v>492</v>
      </c>
      <c r="AG257" s="261" t="s">
        <v>493</v>
      </c>
      <c r="AH257" s="261" t="s">
        <v>494</v>
      </c>
      <c r="AI257" s="261" t="s">
        <v>495</v>
      </c>
    </row>
    <row r="258" spans="1:35" ht="72" x14ac:dyDescent="0.3">
      <c r="A258" s="77">
        <v>166</v>
      </c>
      <c r="B258" s="268" t="str">
        <f t="shared" si="42"/>
        <v>N</v>
      </c>
      <c r="C258" s="268" t="s">
        <v>113</v>
      </c>
      <c r="D258" s="268" t="s">
        <v>1900</v>
      </c>
      <c r="E258" s="278" t="s">
        <v>1901</v>
      </c>
      <c r="F258" s="170" t="s">
        <v>1284</v>
      </c>
      <c r="G258" s="181" t="s">
        <v>1285</v>
      </c>
      <c r="H258" s="269"/>
      <c r="I258" s="269"/>
      <c r="J258" s="269"/>
      <c r="K258" s="269"/>
      <c r="L258" s="269"/>
      <c r="M258" s="269"/>
      <c r="N258" s="269"/>
      <c r="O258" s="269"/>
      <c r="P258" s="269"/>
      <c r="Q258" s="269"/>
      <c r="R258" s="269"/>
      <c r="S258" s="269"/>
      <c r="T258" s="269"/>
      <c r="U258" s="269"/>
      <c r="V258" s="269"/>
      <c r="W258" s="269"/>
      <c r="X258" s="269"/>
      <c r="Y258" s="269"/>
      <c r="Z258" s="269"/>
      <c r="AA258" s="269"/>
      <c r="AB258" s="269"/>
      <c r="AC258" s="269"/>
      <c r="AD258" s="269"/>
      <c r="AE258" s="269"/>
      <c r="AF258" s="269"/>
      <c r="AG258" s="269"/>
      <c r="AH258" s="269"/>
      <c r="AI258" s="269"/>
    </row>
    <row r="259" spans="1:35" ht="100.8" x14ac:dyDescent="0.3">
      <c r="A259" s="77">
        <v>167</v>
      </c>
      <c r="B259" s="77" t="str">
        <f t="shared" si="42"/>
        <v>Y</v>
      </c>
      <c r="C259" s="77" t="s">
        <v>45</v>
      </c>
      <c r="D259" s="77" t="s">
        <v>2642</v>
      </c>
      <c r="E259" s="84" t="s">
        <v>2643</v>
      </c>
      <c r="F259" s="80" t="s">
        <v>1902</v>
      </c>
      <c r="G259" s="96" t="s">
        <v>1903</v>
      </c>
      <c r="H259" s="77">
        <v>400</v>
      </c>
      <c r="I259" s="21" t="s">
        <v>1968</v>
      </c>
      <c r="J259" s="259" t="s">
        <v>50</v>
      </c>
      <c r="K259" s="259" t="s">
        <v>482</v>
      </c>
      <c r="L259" s="259" t="s">
        <v>51</v>
      </c>
      <c r="M259" s="259" t="s">
        <v>13</v>
      </c>
      <c r="N259" s="259" t="s">
        <v>10</v>
      </c>
      <c r="O259" s="259" t="s">
        <v>1372</v>
      </c>
      <c r="P259" s="259" t="s">
        <v>16</v>
      </c>
      <c r="Q259" s="259" t="s">
        <v>952</v>
      </c>
      <c r="R259" s="259" t="s">
        <v>51</v>
      </c>
      <c r="S259" s="260"/>
      <c r="T259" s="259" t="s">
        <v>484</v>
      </c>
      <c r="U259" s="259" t="s">
        <v>55</v>
      </c>
      <c r="V259" s="261" t="s">
        <v>2277</v>
      </c>
      <c r="W259" s="259" t="s">
        <v>2278</v>
      </c>
      <c r="X259" s="261" t="s">
        <v>486</v>
      </c>
      <c r="Y259" s="262" t="s">
        <v>1977</v>
      </c>
      <c r="Z259" s="261" t="s">
        <v>955</v>
      </c>
      <c r="AA259" s="259">
        <v>1</v>
      </c>
      <c r="AB259" s="261" t="s">
        <v>488</v>
      </c>
      <c r="AC259" s="261" t="s">
        <v>489</v>
      </c>
      <c r="AD259" s="261" t="s">
        <v>490</v>
      </c>
      <c r="AE259" s="261" t="s">
        <v>491</v>
      </c>
      <c r="AF259" s="261" t="s">
        <v>492</v>
      </c>
      <c r="AG259" s="261" t="s">
        <v>493</v>
      </c>
      <c r="AH259" s="261" t="s">
        <v>494</v>
      </c>
      <c r="AI259" s="261" t="s">
        <v>495</v>
      </c>
    </row>
    <row r="260" spans="1:35" ht="100.8" x14ac:dyDescent="0.3">
      <c r="A260" s="77"/>
      <c r="B260" s="77" t="str">
        <f t="shared" ref="B260:B262" si="45">C260</f>
        <v>Y</v>
      </c>
      <c r="C260" s="77" t="s">
        <v>45</v>
      </c>
      <c r="D260" s="77" t="s">
        <v>2644</v>
      </c>
      <c r="E260" s="84" t="s">
        <v>2647</v>
      </c>
      <c r="F260" s="80" t="s">
        <v>1902</v>
      </c>
      <c r="G260" s="96" t="s">
        <v>1903</v>
      </c>
      <c r="H260" s="77">
        <v>400</v>
      </c>
      <c r="I260" s="131" t="s">
        <v>2465</v>
      </c>
      <c r="J260" s="259" t="s">
        <v>50</v>
      </c>
      <c r="K260" s="259" t="s">
        <v>482</v>
      </c>
      <c r="L260" s="259" t="s">
        <v>51</v>
      </c>
      <c r="M260" s="259" t="s">
        <v>13</v>
      </c>
      <c r="N260" s="259" t="s">
        <v>10</v>
      </c>
      <c r="O260" s="259" t="s">
        <v>1372</v>
      </c>
      <c r="P260" s="259" t="s">
        <v>16</v>
      </c>
      <c r="Q260" s="259" t="s">
        <v>952</v>
      </c>
      <c r="R260" s="259" t="s">
        <v>51</v>
      </c>
      <c r="S260" s="263"/>
      <c r="T260" s="257" t="s">
        <v>484</v>
      </c>
      <c r="U260" s="259" t="s">
        <v>55</v>
      </c>
      <c r="V260" s="261" t="s">
        <v>2277</v>
      </c>
      <c r="W260" s="259" t="s">
        <v>2278</v>
      </c>
      <c r="X260" s="264" t="s">
        <v>1977</v>
      </c>
      <c r="Y260" s="265" t="s">
        <v>2280</v>
      </c>
      <c r="Z260" s="257" t="s">
        <v>955</v>
      </c>
      <c r="AA260" s="257">
        <v>2</v>
      </c>
      <c r="AB260" s="261" t="s">
        <v>488</v>
      </c>
      <c r="AC260" s="261" t="s">
        <v>489</v>
      </c>
      <c r="AD260" s="261" t="s">
        <v>490</v>
      </c>
      <c r="AE260" s="261" t="s">
        <v>491</v>
      </c>
      <c r="AF260" s="261" t="s">
        <v>492</v>
      </c>
      <c r="AG260" s="261" t="s">
        <v>493</v>
      </c>
      <c r="AH260" s="261" t="s">
        <v>494</v>
      </c>
      <c r="AI260" s="261" t="s">
        <v>495</v>
      </c>
    </row>
    <row r="261" spans="1:35" ht="100.8" x14ac:dyDescent="0.3">
      <c r="A261" s="77"/>
      <c r="B261" s="77" t="str">
        <f t="shared" si="45"/>
        <v>Y</v>
      </c>
      <c r="C261" s="77" t="s">
        <v>45</v>
      </c>
      <c r="D261" s="77" t="s">
        <v>2645</v>
      </c>
      <c r="E261" s="84" t="s">
        <v>2648</v>
      </c>
      <c r="F261" s="80" t="s">
        <v>1902</v>
      </c>
      <c r="G261" s="96" t="s">
        <v>1903</v>
      </c>
      <c r="H261" s="77">
        <v>400</v>
      </c>
      <c r="I261" s="131" t="s">
        <v>2166</v>
      </c>
      <c r="J261" s="259" t="s">
        <v>50</v>
      </c>
      <c r="K261" s="259" t="s">
        <v>482</v>
      </c>
      <c r="L261" s="259" t="s">
        <v>51</v>
      </c>
      <c r="M261" s="259" t="s">
        <v>13</v>
      </c>
      <c r="N261" s="259" t="s">
        <v>10</v>
      </c>
      <c r="O261" s="259" t="s">
        <v>1372</v>
      </c>
      <c r="P261" s="259" t="s">
        <v>16</v>
      </c>
      <c r="Q261" s="259" t="s">
        <v>952</v>
      </c>
      <c r="R261" s="259" t="s">
        <v>51</v>
      </c>
      <c r="S261" s="263"/>
      <c r="T261" s="257" t="s">
        <v>520</v>
      </c>
      <c r="U261" s="259" t="s">
        <v>55</v>
      </c>
      <c r="V261" s="261" t="s">
        <v>2277</v>
      </c>
      <c r="W261" s="259" t="s">
        <v>2278</v>
      </c>
      <c r="X261" s="266" t="s">
        <v>2466</v>
      </c>
      <c r="Y261" s="267" t="s">
        <v>2282</v>
      </c>
      <c r="Z261" s="257" t="s">
        <v>2283</v>
      </c>
      <c r="AA261" s="257">
        <v>3</v>
      </c>
      <c r="AB261" s="261" t="s">
        <v>488</v>
      </c>
      <c r="AC261" s="261" t="s">
        <v>489</v>
      </c>
      <c r="AD261" s="261" t="s">
        <v>490</v>
      </c>
      <c r="AE261" s="261" t="s">
        <v>491</v>
      </c>
      <c r="AF261" s="261" t="s">
        <v>492</v>
      </c>
      <c r="AG261" s="261" t="s">
        <v>493</v>
      </c>
      <c r="AH261" s="261" t="s">
        <v>494</v>
      </c>
      <c r="AI261" s="261" t="s">
        <v>495</v>
      </c>
    </row>
    <row r="262" spans="1:35" ht="100.8" x14ac:dyDescent="0.3">
      <c r="A262" s="77"/>
      <c r="B262" s="77" t="str">
        <f t="shared" si="45"/>
        <v>Y</v>
      </c>
      <c r="C262" s="77" t="s">
        <v>45</v>
      </c>
      <c r="D262" s="77" t="s">
        <v>2646</v>
      </c>
      <c r="E262" s="84" t="s">
        <v>2649</v>
      </c>
      <c r="F262" s="80" t="s">
        <v>1902</v>
      </c>
      <c r="G262" s="96" t="s">
        <v>1903</v>
      </c>
      <c r="H262" s="77">
        <v>400</v>
      </c>
      <c r="I262" s="155" t="s">
        <v>2467</v>
      </c>
      <c r="J262" s="259" t="s">
        <v>50</v>
      </c>
      <c r="K262" s="259" t="s">
        <v>482</v>
      </c>
      <c r="L262" s="259" t="s">
        <v>51</v>
      </c>
      <c r="M262" s="259" t="s">
        <v>13</v>
      </c>
      <c r="N262" s="259" t="s">
        <v>10</v>
      </c>
      <c r="O262" s="259" t="s">
        <v>1372</v>
      </c>
      <c r="P262" s="259" t="s">
        <v>16</v>
      </c>
      <c r="Q262" s="259" t="s">
        <v>952</v>
      </c>
      <c r="R262" s="259" t="s">
        <v>51</v>
      </c>
      <c r="S262" s="263"/>
      <c r="T262" s="264" t="s">
        <v>1977</v>
      </c>
      <c r="U262" s="259" t="s">
        <v>55</v>
      </c>
      <c r="V262" s="261" t="s">
        <v>2277</v>
      </c>
      <c r="W262" s="259" t="s">
        <v>2278</v>
      </c>
      <c r="X262" s="264" t="s">
        <v>964</v>
      </c>
      <c r="Y262" s="265" t="s">
        <v>1159</v>
      </c>
      <c r="Z262" s="257" t="s">
        <v>2284</v>
      </c>
      <c r="AA262" s="257">
        <v>4</v>
      </c>
      <c r="AB262" s="261" t="s">
        <v>488</v>
      </c>
      <c r="AC262" s="261" t="s">
        <v>489</v>
      </c>
      <c r="AD262" s="261" t="s">
        <v>490</v>
      </c>
      <c r="AE262" s="261" t="s">
        <v>491</v>
      </c>
      <c r="AF262" s="261" t="s">
        <v>492</v>
      </c>
      <c r="AG262" s="261" t="s">
        <v>493</v>
      </c>
      <c r="AH262" s="261" t="s">
        <v>494</v>
      </c>
      <c r="AI262" s="261" t="s">
        <v>495</v>
      </c>
    </row>
    <row r="263" spans="1:35" ht="57.6" x14ac:dyDescent="0.3">
      <c r="A263" s="77">
        <v>168</v>
      </c>
      <c r="B263" s="77" t="str">
        <f t="shared" ref="B263:B266" si="46">C263</f>
        <v>Y</v>
      </c>
      <c r="C263" s="77" t="s">
        <v>45</v>
      </c>
      <c r="D263" s="77" t="s">
        <v>2650</v>
      </c>
      <c r="E263" s="84" t="s">
        <v>2651</v>
      </c>
      <c r="F263" s="80" t="s">
        <v>1286</v>
      </c>
      <c r="G263" s="96" t="s">
        <v>1287</v>
      </c>
      <c r="H263" s="77">
        <v>400</v>
      </c>
      <c r="I263" s="21" t="s">
        <v>1968</v>
      </c>
      <c r="J263" s="259" t="s">
        <v>50</v>
      </c>
      <c r="K263" s="259" t="s">
        <v>482</v>
      </c>
      <c r="L263" s="259" t="s">
        <v>51</v>
      </c>
      <c r="M263" s="259" t="s">
        <v>13</v>
      </c>
      <c r="N263" s="259" t="s">
        <v>10</v>
      </c>
      <c r="O263" s="259" t="s">
        <v>1372</v>
      </c>
      <c r="P263" s="259" t="s">
        <v>16</v>
      </c>
      <c r="Q263" s="259" t="s">
        <v>952</v>
      </c>
      <c r="R263" s="259" t="s">
        <v>51</v>
      </c>
      <c r="S263" s="260"/>
      <c r="T263" s="259" t="s">
        <v>484</v>
      </c>
      <c r="U263" s="259" t="s">
        <v>55</v>
      </c>
      <c r="V263" s="261" t="s">
        <v>2277</v>
      </c>
      <c r="W263" s="259" t="s">
        <v>2278</v>
      </c>
      <c r="X263" s="261" t="s">
        <v>486</v>
      </c>
      <c r="Y263" s="262" t="s">
        <v>1977</v>
      </c>
      <c r="Z263" s="261" t="s">
        <v>955</v>
      </c>
      <c r="AA263" s="259">
        <v>1</v>
      </c>
      <c r="AB263" s="261" t="s">
        <v>488</v>
      </c>
      <c r="AC263" s="261" t="s">
        <v>489</v>
      </c>
      <c r="AD263" s="261" t="s">
        <v>490</v>
      </c>
      <c r="AE263" s="261" t="s">
        <v>491</v>
      </c>
      <c r="AF263" s="261" t="s">
        <v>492</v>
      </c>
      <c r="AG263" s="261" t="s">
        <v>493</v>
      </c>
      <c r="AH263" s="261" t="s">
        <v>494</v>
      </c>
      <c r="AI263" s="261" t="s">
        <v>495</v>
      </c>
    </row>
    <row r="264" spans="1:35" ht="57.6" x14ac:dyDescent="0.3">
      <c r="A264" s="77"/>
      <c r="B264" s="77" t="str">
        <f t="shared" si="46"/>
        <v>Y</v>
      </c>
      <c r="C264" s="77" t="s">
        <v>45</v>
      </c>
      <c r="D264" s="77" t="s">
        <v>2652</v>
      </c>
      <c r="E264" s="84" t="s">
        <v>2655</v>
      </c>
      <c r="F264" s="80" t="s">
        <v>1286</v>
      </c>
      <c r="G264" s="96" t="s">
        <v>1287</v>
      </c>
      <c r="H264" s="77">
        <v>400</v>
      </c>
      <c r="I264" s="131" t="s">
        <v>2465</v>
      </c>
      <c r="J264" s="259" t="s">
        <v>50</v>
      </c>
      <c r="K264" s="259" t="s">
        <v>482</v>
      </c>
      <c r="L264" s="259" t="s">
        <v>51</v>
      </c>
      <c r="M264" s="259" t="s">
        <v>13</v>
      </c>
      <c r="N264" s="259" t="s">
        <v>10</v>
      </c>
      <c r="O264" s="259" t="s">
        <v>1372</v>
      </c>
      <c r="P264" s="259" t="s">
        <v>16</v>
      </c>
      <c r="Q264" s="259" t="s">
        <v>952</v>
      </c>
      <c r="R264" s="259" t="s">
        <v>51</v>
      </c>
      <c r="S264" s="263"/>
      <c r="T264" s="257" t="s">
        <v>484</v>
      </c>
      <c r="U264" s="259" t="s">
        <v>55</v>
      </c>
      <c r="V264" s="261" t="s">
        <v>2277</v>
      </c>
      <c r="W264" s="259" t="s">
        <v>2278</v>
      </c>
      <c r="X264" s="264" t="s">
        <v>1977</v>
      </c>
      <c r="Y264" s="265" t="s">
        <v>2280</v>
      </c>
      <c r="Z264" s="257" t="s">
        <v>955</v>
      </c>
      <c r="AA264" s="257">
        <v>2</v>
      </c>
      <c r="AB264" s="261" t="s">
        <v>488</v>
      </c>
      <c r="AC264" s="261" t="s">
        <v>489</v>
      </c>
      <c r="AD264" s="261" t="s">
        <v>490</v>
      </c>
      <c r="AE264" s="261" t="s">
        <v>491</v>
      </c>
      <c r="AF264" s="261" t="s">
        <v>492</v>
      </c>
      <c r="AG264" s="261" t="s">
        <v>493</v>
      </c>
      <c r="AH264" s="261" t="s">
        <v>494</v>
      </c>
      <c r="AI264" s="261" t="s">
        <v>495</v>
      </c>
    </row>
    <row r="265" spans="1:35" ht="57.6" x14ac:dyDescent="0.3">
      <c r="A265" s="77"/>
      <c r="B265" s="77" t="str">
        <f t="shared" si="46"/>
        <v>Y</v>
      </c>
      <c r="C265" s="77" t="s">
        <v>45</v>
      </c>
      <c r="D265" s="77" t="s">
        <v>2653</v>
      </c>
      <c r="E265" s="84" t="s">
        <v>2656</v>
      </c>
      <c r="F265" s="80" t="s">
        <v>1286</v>
      </c>
      <c r="G265" s="96" t="s">
        <v>1287</v>
      </c>
      <c r="H265" s="77">
        <v>400</v>
      </c>
      <c r="I265" s="131" t="s">
        <v>2166</v>
      </c>
      <c r="J265" s="259" t="s">
        <v>50</v>
      </c>
      <c r="K265" s="259" t="s">
        <v>482</v>
      </c>
      <c r="L265" s="259" t="s">
        <v>51</v>
      </c>
      <c r="M265" s="259" t="s">
        <v>13</v>
      </c>
      <c r="N265" s="259" t="s">
        <v>10</v>
      </c>
      <c r="O265" s="259" t="s">
        <v>1372</v>
      </c>
      <c r="P265" s="259" t="s">
        <v>16</v>
      </c>
      <c r="Q265" s="259" t="s">
        <v>952</v>
      </c>
      <c r="R265" s="259" t="s">
        <v>51</v>
      </c>
      <c r="S265" s="263"/>
      <c r="T265" s="257" t="s">
        <v>520</v>
      </c>
      <c r="U265" s="259" t="s">
        <v>55</v>
      </c>
      <c r="V265" s="261" t="s">
        <v>2277</v>
      </c>
      <c r="W265" s="259" t="s">
        <v>2278</v>
      </c>
      <c r="X265" s="266" t="s">
        <v>2466</v>
      </c>
      <c r="Y265" s="267" t="s">
        <v>2282</v>
      </c>
      <c r="Z265" s="257" t="s">
        <v>2283</v>
      </c>
      <c r="AA265" s="257">
        <v>3</v>
      </c>
      <c r="AB265" s="261" t="s">
        <v>488</v>
      </c>
      <c r="AC265" s="261" t="s">
        <v>489</v>
      </c>
      <c r="AD265" s="261" t="s">
        <v>490</v>
      </c>
      <c r="AE265" s="261" t="s">
        <v>491</v>
      </c>
      <c r="AF265" s="261" t="s">
        <v>492</v>
      </c>
      <c r="AG265" s="261" t="s">
        <v>493</v>
      </c>
      <c r="AH265" s="261" t="s">
        <v>494</v>
      </c>
      <c r="AI265" s="261" t="s">
        <v>495</v>
      </c>
    </row>
    <row r="266" spans="1:35" ht="86.4" x14ac:dyDescent="0.3">
      <c r="A266" s="77"/>
      <c r="B266" s="77" t="str">
        <f t="shared" si="46"/>
        <v>Y</v>
      </c>
      <c r="C266" s="77" t="s">
        <v>45</v>
      </c>
      <c r="D266" s="77" t="s">
        <v>2654</v>
      </c>
      <c r="E266" s="84" t="s">
        <v>2657</v>
      </c>
      <c r="F266" s="80" t="s">
        <v>1286</v>
      </c>
      <c r="G266" s="96" t="s">
        <v>1287</v>
      </c>
      <c r="H266" s="77">
        <v>400</v>
      </c>
      <c r="I266" s="155" t="s">
        <v>2658</v>
      </c>
      <c r="J266" s="259" t="s">
        <v>50</v>
      </c>
      <c r="K266" s="259" t="s">
        <v>482</v>
      </c>
      <c r="L266" s="259" t="s">
        <v>51</v>
      </c>
      <c r="M266" s="259" t="s">
        <v>13</v>
      </c>
      <c r="N266" s="259" t="s">
        <v>10</v>
      </c>
      <c r="O266" s="259" t="s">
        <v>1372</v>
      </c>
      <c r="P266" s="259" t="s">
        <v>16</v>
      </c>
      <c r="Q266" s="259" t="s">
        <v>952</v>
      </c>
      <c r="R266" s="259" t="s">
        <v>51</v>
      </c>
      <c r="S266" s="263"/>
      <c r="T266" s="264" t="s">
        <v>1977</v>
      </c>
      <c r="U266" s="259" t="s">
        <v>55</v>
      </c>
      <c r="V266" s="261" t="s">
        <v>2277</v>
      </c>
      <c r="W266" s="259" t="s">
        <v>2278</v>
      </c>
      <c r="X266" s="264" t="s">
        <v>964</v>
      </c>
      <c r="Y266" s="265" t="s">
        <v>1159</v>
      </c>
      <c r="Z266" s="257" t="s">
        <v>2284</v>
      </c>
      <c r="AA266" s="257">
        <v>4</v>
      </c>
      <c r="AB266" s="261" t="s">
        <v>488</v>
      </c>
      <c r="AC266" s="261" t="s">
        <v>489</v>
      </c>
      <c r="AD266" s="261" t="s">
        <v>490</v>
      </c>
      <c r="AE266" s="261" t="s">
        <v>491</v>
      </c>
      <c r="AF266" s="261" t="s">
        <v>492</v>
      </c>
      <c r="AG266" s="261" t="s">
        <v>493</v>
      </c>
      <c r="AH266" s="261" t="s">
        <v>494</v>
      </c>
      <c r="AI266" s="261" t="s">
        <v>495</v>
      </c>
    </row>
    <row r="267" spans="1:35" ht="57.6" x14ac:dyDescent="0.3">
      <c r="A267" s="77">
        <v>169</v>
      </c>
      <c r="B267" s="268" t="str">
        <f t="shared" si="24"/>
        <v>N</v>
      </c>
      <c r="C267" s="268" t="s">
        <v>113</v>
      </c>
      <c r="D267" s="268" t="s">
        <v>1904</v>
      </c>
      <c r="E267" s="278" t="s">
        <v>1905</v>
      </c>
      <c r="F267" s="170" t="s">
        <v>787</v>
      </c>
      <c r="G267" s="181" t="s">
        <v>1906</v>
      </c>
      <c r="H267" s="269"/>
      <c r="I267" s="244"/>
      <c r="J267" s="268"/>
      <c r="K267" s="269"/>
      <c r="L267" s="170"/>
      <c r="M267" s="170"/>
      <c r="N267" s="170"/>
      <c r="O267" s="269"/>
      <c r="P267" s="269"/>
      <c r="Q267" s="269"/>
      <c r="R267" s="269"/>
      <c r="S267" s="269"/>
      <c r="T267" s="268"/>
      <c r="U267" s="170"/>
      <c r="V267" s="268"/>
      <c r="W267" s="268"/>
      <c r="X267" s="268"/>
      <c r="Y267" s="270"/>
      <c r="Z267" s="268"/>
      <c r="AA267" s="268"/>
      <c r="AB267" s="268"/>
      <c r="AC267" s="268"/>
      <c r="AD267" s="268"/>
      <c r="AE267" s="268"/>
      <c r="AF267" s="268"/>
      <c r="AG267" s="268"/>
      <c r="AH267" s="268"/>
      <c r="AI267" s="268"/>
    </row>
    <row r="268" spans="1:35" ht="72" x14ac:dyDescent="0.3">
      <c r="A268" s="77">
        <v>170</v>
      </c>
      <c r="B268" s="268" t="str">
        <f t="shared" si="24"/>
        <v>N</v>
      </c>
      <c r="C268" s="268" t="s">
        <v>113</v>
      </c>
      <c r="D268" s="268" t="s">
        <v>1907</v>
      </c>
      <c r="E268" s="278" t="s">
        <v>1908</v>
      </c>
      <c r="F268" s="170" t="s">
        <v>796</v>
      </c>
      <c r="G268" s="181" t="s">
        <v>1290</v>
      </c>
      <c r="H268" s="269"/>
      <c r="I268" s="244"/>
      <c r="J268" s="268"/>
      <c r="K268" s="269"/>
      <c r="L268" s="170"/>
      <c r="M268" s="170"/>
      <c r="N268" s="170"/>
      <c r="O268" s="269"/>
      <c r="P268" s="269"/>
      <c r="Q268" s="269"/>
      <c r="R268" s="269"/>
      <c r="S268" s="269"/>
      <c r="T268" s="268"/>
      <c r="U268" s="170"/>
      <c r="V268" s="268"/>
      <c r="W268" s="268"/>
      <c r="X268" s="268"/>
      <c r="Y268" s="270"/>
      <c r="Z268" s="268"/>
      <c r="AA268" s="268"/>
      <c r="AB268" s="268"/>
      <c r="AC268" s="268"/>
      <c r="AD268" s="268"/>
      <c r="AE268" s="268"/>
      <c r="AF268" s="268"/>
      <c r="AG268" s="268"/>
      <c r="AH268" s="268"/>
      <c r="AI268" s="268"/>
    </row>
    <row r="269" spans="1:35" ht="72" x14ac:dyDescent="0.3">
      <c r="A269" s="77">
        <v>171</v>
      </c>
      <c r="B269" s="268" t="str">
        <f t="shared" si="24"/>
        <v>N</v>
      </c>
      <c r="C269" s="268" t="s">
        <v>113</v>
      </c>
      <c r="D269" s="268" t="s">
        <v>1909</v>
      </c>
      <c r="E269" s="278" t="s">
        <v>1910</v>
      </c>
      <c r="F269" s="170" t="s">
        <v>805</v>
      </c>
      <c r="G269" s="181" t="s">
        <v>1293</v>
      </c>
      <c r="H269" s="269"/>
      <c r="I269" s="244"/>
      <c r="J269" s="268"/>
      <c r="K269" s="269"/>
      <c r="L269" s="170"/>
      <c r="M269" s="170"/>
      <c r="N269" s="170"/>
      <c r="O269" s="269"/>
      <c r="P269" s="269"/>
      <c r="Q269" s="269"/>
      <c r="R269" s="269"/>
      <c r="S269" s="269"/>
      <c r="T269" s="268"/>
      <c r="U269" s="170"/>
      <c r="V269" s="268"/>
      <c r="W269" s="268"/>
      <c r="X269" s="268"/>
      <c r="Y269" s="270"/>
      <c r="Z269" s="268"/>
      <c r="AA269" s="268"/>
      <c r="AB269" s="268"/>
      <c r="AC269" s="268"/>
      <c r="AD269" s="268"/>
      <c r="AE269" s="268"/>
      <c r="AF269" s="268"/>
      <c r="AG269" s="268"/>
      <c r="AH269" s="268"/>
      <c r="AI269" s="268"/>
    </row>
    <row r="270" spans="1:35" ht="57.6" x14ac:dyDescent="0.3">
      <c r="A270" s="77">
        <v>172</v>
      </c>
      <c r="B270" s="268" t="str">
        <f t="shared" si="24"/>
        <v>N</v>
      </c>
      <c r="C270" s="268" t="s">
        <v>113</v>
      </c>
      <c r="D270" s="268" t="s">
        <v>1911</v>
      </c>
      <c r="E270" s="278" t="s">
        <v>1912</v>
      </c>
      <c r="F270" s="170" t="s">
        <v>1296</v>
      </c>
      <c r="G270" s="181" t="s">
        <v>1297</v>
      </c>
      <c r="H270" s="269"/>
      <c r="I270" s="244"/>
      <c r="J270" s="268"/>
      <c r="K270" s="269"/>
      <c r="L270" s="170"/>
      <c r="M270" s="170"/>
      <c r="N270" s="170"/>
      <c r="O270" s="269"/>
      <c r="P270" s="269"/>
      <c r="Q270" s="269"/>
      <c r="R270" s="269"/>
      <c r="S270" s="269"/>
      <c r="T270" s="268"/>
      <c r="U270" s="170"/>
      <c r="V270" s="268"/>
      <c r="W270" s="268"/>
      <c r="X270" s="268"/>
      <c r="Y270" s="270"/>
      <c r="Z270" s="268"/>
      <c r="AA270" s="268"/>
      <c r="AB270" s="268"/>
      <c r="AC270" s="268"/>
      <c r="AD270" s="268"/>
      <c r="AE270" s="268"/>
      <c r="AF270" s="268"/>
      <c r="AG270" s="268"/>
      <c r="AH270" s="268"/>
      <c r="AI270" s="268"/>
    </row>
    <row r="271" spans="1:35" ht="57.6" x14ac:dyDescent="0.3">
      <c r="A271" s="77">
        <v>173</v>
      </c>
      <c r="B271" s="268" t="str">
        <f t="shared" si="24"/>
        <v>N</v>
      </c>
      <c r="C271" s="268" t="s">
        <v>113</v>
      </c>
      <c r="D271" s="268" t="s">
        <v>1913</v>
      </c>
      <c r="E271" s="278" t="s">
        <v>1914</v>
      </c>
      <c r="F271" s="170" t="s">
        <v>1915</v>
      </c>
      <c r="G271" s="181" t="s">
        <v>1301</v>
      </c>
      <c r="H271" s="269"/>
      <c r="I271" s="244"/>
      <c r="J271" s="268"/>
      <c r="K271" s="269"/>
      <c r="L271" s="170"/>
      <c r="M271" s="170"/>
      <c r="N271" s="170"/>
      <c r="O271" s="269"/>
      <c r="P271" s="269"/>
      <c r="Q271" s="269"/>
      <c r="R271" s="269"/>
      <c r="S271" s="269"/>
      <c r="T271" s="268"/>
      <c r="U271" s="170"/>
      <c r="V271" s="268"/>
      <c r="W271" s="268"/>
      <c r="X271" s="268"/>
      <c r="Y271" s="270"/>
      <c r="Z271" s="268"/>
      <c r="AA271" s="268"/>
      <c r="AB271" s="268"/>
      <c r="AC271" s="268"/>
      <c r="AD271" s="268"/>
      <c r="AE271" s="268"/>
      <c r="AF271" s="268"/>
      <c r="AG271" s="268"/>
      <c r="AH271" s="268"/>
      <c r="AI271" s="268"/>
    </row>
    <row r="272" spans="1:35" ht="72" x14ac:dyDescent="0.3">
      <c r="A272" s="77">
        <v>174</v>
      </c>
      <c r="B272" s="77" t="str">
        <f t="shared" si="24"/>
        <v>Y</v>
      </c>
      <c r="C272" s="77" t="s">
        <v>45</v>
      </c>
      <c r="D272" s="77" t="s">
        <v>2601</v>
      </c>
      <c r="E272" s="84" t="s">
        <v>2602</v>
      </c>
      <c r="F272" s="80" t="s">
        <v>1302</v>
      </c>
      <c r="G272" s="96" t="s">
        <v>1303</v>
      </c>
      <c r="H272" s="77">
        <v>200</v>
      </c>
      <c r="J272" s="259" t="s">
        <v>50</v>
      </c>
      <c r="K272" s="259" t="s">
        <v>482</v>
      </c>
      <c r="L272" s="259" t="s">
        <v>51</v>
      </c>
      <c r="M272" s="259" t="s">
        <v>13</v>
      </c>
      <c r="N272" s="259" t="s">
        <v>10</v>
      </c>
      <c r="O272" s="259" t="s">
        <v>1372</v>
      </c>
      <c r="P272" s="259" t="s">
        <v>16</v>
      </c>
      <c r="Q272" s="259" t="s">
        <v>952</v>
      </c>
      <c r="R272" s="259" t="s">
        <v>51</v>
      </c>
      <c r="S272" s="260"/>
      <c r="T272" s="259" t="s">
        <v>484</v>
      </c>
      <c r="U272" s="259" t="s">
        <v>55</v>
      </c>
      <c r="V272" s="261" t="s">
        <v>2277</v>
      </c>
      <c r="W272" s="259" t="s">
        <v>2278</v>
      </c>
      <c r="X272" s="261" t="s">
        <v>486</v>
      </c>
      <c r="Y272" s="262" t="s">
        <v>2279</v>
      </c>
      <c r="Z272" s="261" t="s">
        <v>955</v>
      </c>
      <c r="AA272" s="261" t="s">
        <v>2409</v>
      </c>
      <c r="AB272" s="261" t="s">
        <v>488</v>
      </c>
      <c r="AC272" s="261" t="s">
        <v>489</v>
      </c>
      <c r="AD272" s="261" t="s">
        <v>490</v>
      </c>
      <c r="AE272" s="261" t="s">
        <v>491</v>
      </c>
      <c r="AF272" s="261" t="s">
        <v>492</v>
      </c>
      <c r="AG272" s="261" t="s">
        <v>493</v>
      </c>
      <c r="AH272" s="261" t="s">
        <v>494</v>
      </c>
      <c r="AI272" s="261" t="s">
        <v>495</v>
      </c>
    </row>
    <row r="273" spans="1:35" ht="72" x14ac:dyDescent="0.3">
      <c r="A273" s="77"/>
      <c r="B273" s="77" t="str">
        <f t="shared" ref="B273:B275" si="47">C273</f>
        <v>Y</v>
      </c>
      <c r="C273" s="77" t="s">
        <v>45</v>
      </c>
      <c r="D273" s="77" t="s">
        <v>2605</v>
      </c>
      <c r="E273" s="84" t="s">
        <v>2608</v>
      </c>
      <c r="F273" s="80" t="s">
        <v>1302</v>
      </c>
      <c r="G273" s="96" t="s">
        <v>1303</v>
      </c>
      <c r="H273" s="77">
        <v>200</v>
      </c>
      <c r="J273" s="259" t="s">
        <v>50</v>
      </c>
      <c r="K273" s="259" t="s">
        <v>482</v>
      </c>
      <c r="L273" s="259" t="s">
        <v>51</v>
      </c>
      <c r="M273" s="259" t="s">
        <v>13</v>
      </c>
      <c r="N273" s="259" t="s">
        <v>10</v>
      </c>
      <c r="O273" s="259" t="s">
        <v>1372</v>
      </c>
      <c r="P273" s="259" t="s">
        <v>16</v>
      </c>
      <c r="Q273" s="259" t="s">
        <v>952</v>
      </c>
      <c r="R273" s="259" t="s">
        <v>51</v>
      </c>
      <c r="S273" s="263"/>
      <c r="T273" s="257" t="s">
        <v>484</v>
      </c>
      <c r="U273" s="259" t="s">
        <v>55</v>
      </c>
      <c r="V273" s="261" t="s">
        <v>2277</v>
      </c>
      <c r="W273" s="259" t="s">
        <v>2278</v>
      </c>
      <c r="X273" s="264" t="s">
        <v>517</v>
      </c>
      <c r="Y273" s="265" t="s">
        <v>2280</v>
      </c>
      <c r="Z273" s="257" t="s">
        <v>955</v>
      </c>
      <c r="AA273" s="261" t="s">
        <v>2409</v>
      </c>
      <c r="AB273" s="261" t="s">
        <v>488</v>
      </c>
      <c r="AC273" s="261" t="s">
        <v>489</v>
      </c>
      <c r="AD273" s="261" t="s">
        <v>490</v>
      </c>
      <c r="AE273" s="261" t="s">
        <v>491</v>
      </c>
      <c r="AF273" s="261" t="s">
        <v>492</v>
      </c>
      <c r="AG273" s="261" t="s">
        <v>493</v>
      </c>
      <c r="AH273" s="261" t="s">
        <v>494</v>
      </c>
      <c r="AI273" s="261" t="s">
        <v>495</v>
      </c>
    </row>
    <row r="274" spans="1:35" ht="72" x14ac:dyDescent="0.3">
      <c r="A274" s="77"/>
      <c r="B274" s="77" t="str">
        <f t="shared" si="47"/>
        <v>Y</v>
      </c>
      <c r="C274" s="77" t="s">
        <v>45</v>
      </c>
      <c r="D274" s="77" t="s">
        <v>2606</v>
      </c>
      <c r="E274" s="84" t="s">
        <v>2609</v>
      </c>
      <c r="F274" s="80" t="s">
        <v>1302</v>
      </c>
      <c r="G274" s="96" t="s">
        <v>1303</v>
      </c>
      <c r="H274" s="77">
        <v>200</v>
      </c>
      <c r="J274" s="259" t="s">
        <v>50</v>
      </c>
      <c r="K274" s="259" t="s">
        <v>482</v>
      </c>
      <c r="L274" s="259" t="s">
        <v>51</v>
      </c>
      <c r="M274" s="259" t="s">
        <v>13</v>
      </c>
      <c r="N274" s="259" t="s">
        <v>10</v>
      </c>
      <c r="O274" s="259" t="s">
        <v>1372</v>
      </c>
      <c r="P274" s="259" t="s">
        <v>16</v>
      </c>
      <c r="Q274" s="259" t="s">
        <v>952</v>
      </c>
      <c r="R274" s="259" t="s">
        <v>51</v>
      </c>
      <c r="S274" s="263"/>
      <c r="T274" s="257" t="s">
        <v>520</v>
      </c>
      <c r="U274" s="259" t="s">
        <v>55</v>
      </c>
      <c r="V274" s="261" t="s">
        <v>2277</v>
      </c>
      <c r="W274" s="259" t="s">
        <v>2278</v>
      </c>
      <c r="X274" s="266" t="s">
        <v>2281</v>
      </c>
      <c r="Y274" s="267" t="s">
        <v>2282</v>
      </c>
      <c r="Z274" s="257" t="s">
        <v>2283</v>
      </c>
      <c r="AA274" s="261" t="s">
        <v>2409</v>
      </c>
      <c r="AB274" s="261" t="s">
        <v>488</v>
      </c>
      <c r="AC274" s="261" t="s">
        <v>489</v>
      </c>
      <c r="AD274" s="261" t="s">
        <v>490</v>
      </c>
      <c r="AE274" s="261" t="s">
        <v>491</v>
      </c>
      <c r="AF274" s="261" t="s">
        <v>492</v>
      </c>
      <c r="AG274" s="261" t="s">
        <v>493</v>
      </c>
      <c r="AH274" s="261" t="s">
        <v>494</v>
      </c>
      <c r="AI274" s="261" t="s">
        <v>495</v>
      </c>
    </row>
    <row r="275" spans="1:35" ht="72" x14ac:dyDescent="0.3">
      <c r="A275" s="77"/>
      <c r="B275" s="77" t="str">
        <f t="shared" si="47"/>
        <v>Y</v>
      </c>
      <c r="C275" s="77" t="s">
        <v>45</v>
      </c>
      <c r="D275" s="77" t="s">
        <v>2607</v>
      </c>
      <c r="E275" s="84" t="s">
        <v>2610</v>
      </c>
      <c r="F275" s="80" t="s">
        <v>1302</v>
      </c>
      <c r="G275" s="96" t="s">
        <v>1303</v>
      </c>
      <c r="H275" s="77">
        <v>200</v>
      </c>
      <c r="J275" s="259" t="s">
        <v>50</v>
      </c>
      <c r="K275" s="259" t="s">
        <v>482</v>
      </c>
      <c r="L275" s="259" t="s">
        <v>51</v>
      </c>
      <c r="M275" s="259" t="s">
        <v>13</v>
      </c>
      <c r="N275" s="259" t="s">
        <v>10</v>
      </c>
      <c r="O275" s="259" t="s">
        <v>1372</v>
      </c>
      <c r="P275" s="259" t="s">
        <v>16</v>
      </c>
      <c r="Q275" s="259" t="s">
        <v>952</v>
      </c>
      <c r="R275" s="259" t="s">
        <v>51</v>
      </c>
      <c r="S275" s="263"/>
      <c r="T275" s="257" t="s">
        <v>171</v>
      </c>
      <c r="U275" s="259" t="s">
        <v>55</v>
      </c>
      <c r="V275" s="261" t="s">
        <v>2277</v>
      </c>
      <c r="W275" s="259" t="s">
        <v>2278</v>
      </c>
      <c r="X275" s="264" t="s">
        <v>964</v>
      </c>
      <c r="Y275" s="265" t="s">
        <v>1159</v>
      </c>
      <c r="Z275" s="257" t="s">
        <v>2284</v>
      </c>
      <c r="AA275" s="261" t="s">
        <v>2409</v>
      </c>
      <c r="AB275" s="261" t="s">
        <v>488</v>
      </c>
      <c r="AC275" s="261" t="s">
        <v>489</v>
      </c>
      <c r="AD275" s="261" t="s">
        <v>490</v>
      </c>
      <c r="AE275" s="261" t="s">
        <v>491</v>
      </c>
      <c r="AF275" s="261" t="s">
        <v>492</v>
      </c>
      <c r="AG275" s="261" t="s">
        <v>493</v>
      </c>
      <c r="AH275" s="261" t="s">
        <v>494</v>
      </c>
      <c r="AI275" s="261" t="s">
        <v>495</v>
      </c>
    </row>
    <row r="276" spans="1:35" ht="72" x14ac:dyDescent="0.3">
      <c r="A276" s="77">
        <v>175</v>
      </c>
      <c r="B276" s="77" t="str">
        <f t="shared" si="24"/>
        <v>Y</v>
      </c>
      <c r="C276" s="77" t="s">
        <v>45</v>
      </c>
      <c r="D276" s="77" t="s">
        <v>2604</v>
      </c>
      <c r="E276" s="84" t="s">
        <v>2603</v>
      </c>
      <c r="F276" s="80" t="s">
        <v>1304</v>
      </c>
      <c r="G276" s="96" t="s">
        <v>1303</v>
      </c>
      <c r="H276" s="77">
        <v>200</v>
      </c>
      <c r="J276" s="259" t="s">
        <v>50</v>
      </c>
      <c r="K276" s="259" t="s">
        <v>482</v>
      </c>
      <c r="L276" s="259" t="s">
        <v>51</v>
      </c>
      <c r="M276" s="259" t="s">
        <v>13</v>
      </c>
      <c r="N276" s="259" t="s">
        <v>10</v>
      </c>
      <c r="O276" s="259" t="s">
        <v>1372</v>
      </c>
      <c r="P276" s="259" t="s">
        <v>16</v>
      </c>
      <c r="Q276" s="259" t="s">
        <v>952</v>
      </c>
      <c r="R276" s="259" t="s">
        <v>51</v>
      </c>
      <c r="S276" s="260"/>
      <c r="T276" s="259" t="s">
        <v>484</v>
      </c>
      <c r="U276" s="259" t="s">
        <v>55</v>
      </c>
      <c r="V276" s="261" t="s">
        <v>2277</v>
      </c>
      <c r="W276" s="259" t="s">
        <v>2278</v>
      </c>
      <c r="X276" s="261" t="s">
        <v>486</v>
      </c>
      <c r="Y276" s="262" t="s">
        <v>2279</v>
      </c>
      <c r="Z276" s="261" t="s">
        <v>955</v>
      </c>
      <c r="AA276" s="261" t="s">
        <v>2409</v>
      </c>
      <c r="AB276" s="261" t="s">
        <v>488</v>
      </c>
      <c r="AC276" s="261" t="s">
        <v>489</v>
      </c>
      <c r="AD276" s="261" t="s">
        <v>490</v>
      </c>
      <c r="AE276" s="261" t="s">
        <v>491</v>
      </c>
      <c r="AF276" s="261" t="s">
        <v>492</v>
      </c>
      <c r="AG276" s="261" t="s">
        <v>493</v>
      </c>
      <c r="AH276" s="261" t="s">
        <v>494</v>
      </c>
      <c r="AI276" s="261" t="s">
        <v>495</v>
      </c>
    </row>
    <row r="277" spans="1:35" ht="72" x14ac:dyDescent="0.3">
      <c r="A277" s="77">
        <v>176</v>
      </c>
      <c r="B277" s="77" t="str">
        <f t="shared" ref="B277:B279" si="48">C277</f>
        <v>Y</v>
      </c>
      <c r="C277" s="77" t="s">
        <v>45</v>
      </c>
      <c r="D277" s="77" t="s">
        <v>2611</v>
      </c>
      <c r="E277" s="84" t="s">
        <v>2614</v>
      </c>
      <c r="F277" s="80" t="s">
        <v>1304</v>
      </c>
      <c r="G277" s="96" t="s">
        <v>1303</v>
      </c>
      <c r="H277" s="77">
        <v>200</v>
      </c>
      <c r="J277" s="259" t="s">
        <v>50</v>
      </c>
      <c r="K277" s="259" t="s">
        <v>482</v>
      </c>
      <c r="L277" s="259" t="s">
        <v>51</v>
      </c>
      <c r="M277" s="259" t="s">
        <v>13</v>
      </c>
      <c r="N277" s="259" t="s">
        <v>10</v>
      </c>
      <c r="O277" s="259" t="s">
        <v>1372</v>
      </c>
      <c r="P277" s="259" t="s">
        <v>16</v>
      </c>
      <c r="Q277" s="259" t="s">
        <v>952</v>
      </c>
      <c r="R277" s="259" t="s">
        <v>51</v>
      </c>
      <c r="S277" s="263"/>
      <c r="T277" s="257" t="s">
        <v>484</v>
      </c>
      <c r="U277" s="259" t="s">
        <v>55</v>
      </c>
      <c r="V277" s="261" t="s">
        <v>2277</v>
      </c>
      <c r="W277" s="259" t="s">
        <v>2278</v>
      </c>
      <c r="X277" s="264" t="s">
        <v>517</v>
      </c>
      <c r="Y277" s="265" t="s">
        <v>2280</v>
      </c>
      <c r="Z277" s="257" t="s">
        <v>955</v>
      </c>
      <c r="AA277" s="261" t="s">
        <v>2409</v>
      </c>
      <c r="AB277" s="261" t="s">
        <v>488</v>
      </c>
      <c r="AC277" s="261" t="s">
        <v>489</v>
      </c>
      <c r="AD277" s="261" t="s">
        <v>490</v>
      </c>
      <c r="AE277" s="261" t="s">
        <v>491</v>
      </c>
      <c r="AF277" s="261" t="s">
        <v>492</v>
      </c>
      <c r="AG277" s="261" t="s">
        <v>493</v>
      </c>
      <c r="AH277" s="261" t="s">
        <v>494</v>
      </c>
      <c r="AI277" s="261" t="s">
        <v>495</v>
      </c>
    </row>
    <row r="278" spans="1:35" ht="72" x14ac:dyDescent="0.3">
      <c r="A278" s="77">
        <v>177</v>
      </c>
      <c r="B278" s="77" t="str">
        <f t="shared" si="48"/>
        <v>Y</v>
      </c>
      <c r="C278" s="77" t="s">
        <v>45</v>
      </c>
      <c r="D278" s="77" t="s">
        <v>2612</v>
      </c>
      <c r="E278" s="84" t="s">
        <v>2615</v>
      </c>
      <c r="F278" s="80" t="s">
        <v>1304</v>
      </c>
      <c r="G278" s="96" t="s">
        <v>1303</v>
      </c>
      <c r="H278" s="77">
        <v>200</v>
      </c>
      <c r="J278" s="259" t="s">
        <v>50</v>
      </c>
      <c r="K278" s="259" t="s">
        <v>482</v>
      </c>
      <c r="L278" s="259" t="s">
        <v>51</v>
      </c>
      <c r="M278" s="259" t="s">
        <v>13</v>
      </c>
      <c r="N278" s="259" t="s">
        <v>10</v>
      </c>
      <c r="O278" s="259" t="s">
        <v>1372</v>
      </c>
      <c r="P278" s="259" t="s">
        <v>16</v>
      </c>
      <c r="Q278" s="259" t="s">
        <v>952</v>
      </c>
      <c r="R278" s="259" t="s">
        <v>51</v>
      </c>
      <c r="S278" s="263"/>
      <c r="T278" s="257" t="s">
        <v>520</v>
      </c>
      <c r="U278" s="259" t="s">
        <v>55</v>
      </c>
      <c r="V278" s="261" t="s">
        <v>2277</v>
      </c>
      <c r="W278" s="259" t="s">
        <v>2278</v>
      </c>
      <c r="X278" s="266" t="s">
        <v>2281</v>
      </c>
      <c r="Y278" s="267" t="s">
        <v>2282</v>
      </c>
      <c r="Z278" s="257" t="s">
        <v>2283</v>
      </c>
      <c r="AA278" s="261" t="s">
        <v>2409</v>
      </c>
      <c r="AB278" s="261" t="s">
        <v>488</v>
      </c>
      <c r="AC278" s="261" t="s">
        <v>489</v>
      </c>
      <c r="AD278" s="261" t="s">
        <v>490</v>
      </c>
      <c r="AE278" s="261" t="s">
        <v>491</v>
      </c>
      <c r="AF278" s="261" t="s">
        <v>492</v>
      </c>
      <c r="AG278" s="261" t="s">
        <v>493</v>
      </c>
      <c r="AH278" s="261" t="s">
        <v>494</v>
      </c>
      <c r="AI278" s="261" t="s">
        <v>495</v>
      </c>
    </row>
    <row r="279" spans="1:35" ht="72" x14ac:dyDescent="0.3">
      <c r="A279" s="77">
        <v>178</v>
      </c>
      <c r="B279" s="77" t="str">
        <f t="shared" si="48"/>
        <v>Y</v>
      </c>
      <c r="C279" s="77" t="s">
        <v>45</v>
      </c>
      <c r="D279" s="77" t="s">
        <v>2613</v>
      </c>
      <c r="E279" s="84" t="s">
        <v>2616</v>
      </c>
      <c r="F279" s="80" t="s">
        <v>1304</v>
      </c>
      <c r="G279" s="96" t="s">
        <v>1303</v>
      </c>
      <c r="H279" s="77">
        <v>200</v>
      </c>
      <c r="J279" s="259" t="s">
        <v>50</v>
      </c>
      <c r="K279" s="259" t="s">
        <v>482</v>
      </c>
      <c r="L279" s="259" t="s">
        <v>51</v>
      </c>
      <c r="M279" s="259" t="s">
        <v>13</v>
      </c>
      <c r="N279" s="259" t="s">
        <v>10</v>
      </c>
      <c r="O279" s="259" t="s">
        <v>1372</v>
      </c>
      <c r="P279" s="259" t="s">
        <v>16</v>
      </c>
      <c r="Q279" s="259" t="s">
        <v>952</v>
      </c>
      <c r="R279" s="259" t="s">
        <v>51</v>
      </c>
      <c r="S279" s="263"/>
      <c r="T279" s="257" t="s">
        <v>171</v>
      </c>
      <c r="U279" s="259" t="s">
        <v>55</v>
      </c>
      <c r="V279" s="261" t="s">
        <v>2277</v>
      </c>
      <c r="W279" s="259" t="s">
        <v>2278</v>
      </c>
      <c r="X279" s="264" t="s">
        <v>964</v>
      </c>
      <c r="Y279" s="265" t="s">
        <v>1159</v>
      </c>
      <c r="Z279" s="257" t="s">
        <v>2284</v>
      </c>
      <c r="AA279" s="261" t="s">
        <v>2409</v>
      </c>
      <c r="AB279" s="261" t="s">
        <v>488</v>
      </c>
      <c r="AC279" s="261" t="s">
        <v>489</v>
      </c>
      <c r="AD279" s="261" t="s">
        <v>490</v>
      </c>
      <c r="AE279" s="261" t="s">
        <v>491</v>
      </c>
      <c r="AF279" s="261" t="s">
        <v>492</v>
      </c>
      <c r="AG279" s="261" t="s">
        <v>493</v>
      </c>
      <c r="AH279" s="261" t="s">
        <v>494</v>
      </c>
      <c r="AI279" s="261" t="s">
        <v>495</v>
      </c>
    </row>
    <row r="280" spans="1:35" ht="72" x14ac:dyDescent="0.3">
      <c r="A280" s="77">
        <v>176</v>
      </c>
      <c r="B280" s="77" t="str">
        <f t="shared" si="24"/>
        <v>Y</v>
      </c>
      <c r="C280" s="77" t="s">
        <v>45</v>
      </c>
      <c r="D280" s="77" t="s">
        <v>2617</v>
      </c>
      <c r="E280" s="84" t="s">
        <v>2618</v>
      </c>
      <c r="F280" s="80" t="s">
        <v>1307</v>
      </c>
      <c r="G280" s="96" t="s">
        <v>1303</v>
      </c>
      <c r="H280" s="77">
        <v>200</v>
      </c>
      <c r="J280" s="259" t="s">
        <v>50</v>
      </c>
      <c r="K280" s="259" t="s">
        <v>482</v>
      </c>
      <c r="L280" s="259" t="s">
        <v>51</v>
      </c>
      <c r="M280" s="259" t="s">
        <v>13</v>
      </c>
      <c r="N280" s="259" t="s">
        <v>10</v>
      </c>
      <c r="O280" s="259" t="s">
        <v>1372</v>
      </c>
      <c r="P280" s="259" t="s">
        <v>16</v>
      </c>
      <c r="Q280" s="259" t="s">
        <v>952</v>
      </c>
      <c r="R280" s="259" t="s">
        <v>51</v>
      </c>
      <c r="S280" s="260"/>
      <c r="T280" s="259" t="s">
        <v>484</v>
      </c>
      <c r="U280" s="259" t="s">
        <v>55</v>
      </c>
      <c r="V280" s="261" t="s">
        <v>2277</v>
      </c>
      <c r="W280" s="259" t="s">
        <v>2278</v>
      </c>
      <c r="X280" s="261" t="s">
        <v>486</v>
      </c>
      <c r="Y280" s="262" t="s">
        <v>2279</v>
      </c>
      <c r="Z280" s="261" t="s">
        <v>955</v>
      </c>
      <c r="AA280" s="261" t="s">
        <v>2409</v>
      </c>
      <c r="AB280" s="261" t="s">
        <v>488</v>
      </c>
      <c r="AC280" s="261" t="s">
        <v>489</v>
      </c>
      <c r="AD280" s="261" t="s">
        <v>490</v>
      </c>
      <c r="AE280" s="261" t="s">
        <v>491</v>
      </c>
      <c r="AF280" s="261" t="s">
        <v>492</v>
      </c>
      <c r="AG280" s="261" t="s">
        <v>493</v>
      </c>
      <c r="AH280" s="261" t="s">
        <v>494</v>
      </c>
      <c r="AI280" s="261" t="s">
        <v>495</v>
      </c>
    </row>
    <row r="281" spans="1:35" ht="72" x14ac:dyDescent="0.3">
      <c r="A281" s="77"/>
      <c r="B281" s="77" t="str">
        <f t="shared" ref="B281:B283" si="49">C281</f>
        <v>Y</v>
      </c>
      <c r="C281" s="77" t="s">
        <v>45</v>
      </c>
      <c r="D281" s="77" t="s">
        <v>2619</v>
      </c>
      <c r="E281" s="84" t="s">
        <v>2622</v>
      </c>
      <c r="F281" s="80" t="s">
        <v>1307</v>
      </c>
      <c r="G281" s="96" t="s">
        <v>1303</v>
      </c>
      <c r="H281" s="77">
        <v>200</v>
      </c>
      <c r="J281" s="259" t="s">
        <v>50</v>
      </c>
      <c r="K281" s="259" t="s">
        <v>482</v>
      </c>
      <c r="L281" s="259" t="s">
        <v>51</v>
      </c>
      <c r="M281" s="259" t="s">
        <v>13</v>
      </c>
      <c r="N281" s="259" t="s">
        <v>10</v>
      </c>
      <c r="O281" s="259" t="s">
        <v>1372</v>
      </c>
      <c r="P281" s="259" t="s">
        <v>16</v>
      </c>
      <c r="Q281" s="259" t="s">
        <v>952</v>
      </c>
      <c r="R281" s="259" t="s">
        <v>51</v>
      </c>
      <c r="S281" s="263"/>
      <c r="T281" s="257" t="s">
        <v>484</v>
      </c>
      <c r="U281" s="259" t="s">
        <v>55</v>
      </c>
      <c r="V281" s="261" t="s">
        <v>2277</v>
      </c>
      <c r="W281" s="259" t="s">
        <v>2278</v>
      </c>
      <c r="X281" s="264" t="s">
        <v>517</v>
      </c>
      <c r="Y281" s="265" t="s">
        <v>2280</v>
      </c>
      <c r="Z281" s="257" t="s">
        <v>955</v>
      </c>
      <c r="AA281" s="261" t="s">
        <v>2409</v>
      </c>
      <c r="AB281" s="261" t="s">
        <v>488</v>
      </c>
      <c r="AC281" s="261" t="s">
        <v>489</v>
      </c>
      <c r="AD281" s="261" t="s">
        <v>490</v>
      </c>
      <c r="AE281" s="261" t="s">
        <v>491</v>
      </c>
      <c r="AF281" s="261" t="s">
        <v>492</v>
      </c>
      <c r="AG281" s="261" t="s">
        <v>493</v>
      </c>
      <c r="AH281" s="261" t="s">
        <v>494</v>
      </c>
      <c r="AI281" s="261" t="s">
        <v>495</v>
      </c>
    </row>
    <row r="282" spans="1:35" ht="72" x14ac:dyDescent="0.3">
      <c r="A282" s="77"/>
      <c r="B282" s="77" t="str">
        <f t="shared" si="49"/>
        <v>Y</v>
      </c>
      <c r="C282" s="77" t="s">
        <v>45</v>
      </c>
      <c r="D282" s="77" t="s">
        <v>2620</v>
      </c>
      <c r="E282" s="84" t="s">
        <v>2623</v>
      </c>
      <c r="F282" s="80" t="s">
        <v>1307</v>
      </c>
      <c r="G282" s="96" t="s">
        <v>1303</v>
      </c>
      <c r="H282" s="77">
        <v>200</v>
      </c>
      <c r="J282" s="259" t="s">
        <v>50</v>
      </c>
      <c r="K282" s="259" t="s">
        <v>482</v>
      </c>
      <c r="L282" s="259" t="s">
        <v>51</v>
      </c>
      <c r="M282" s="259" t="s">
        <v>13</v>
      </c>
      <c r="N282" s="259" t="s">
        <v>10</v>
      </c>
      <c r="O282" s="259" t="s">
        <v>1372</v>
      </c>
      <c r="P282" s="259" t="s">
        <v>16</v>
      </c>
      <c r="Q282" s="259" t="s">
        <v>952</v>
      </c>
      <c r="R282" s="259" t="s">
        <v>51</v>
      </c>
      <c r="S282" s="263"/>
      <c r="T282" s="257" t="s">
        <v>520</v>
      </c>
      <c r="U282" s="259" t="s">
        <v>55</v>
      </c>
      <c r="V282" s="261" t="s">
        <v>2277</v>
      </c>
      <c r="W282" s="259" t="s">
        <v>2278</v>
      </c>
      <c r="X282" s="266" t="s">
        <v>2281</v>
      </c>
      <c r="Y282" s="267" t="s">
        <v>2282</v>
      </c>
      <c r="Z282" s="257" t="s">
        <v>2283</v>
      </c>
      <c r="AA282" s="261" t="s">
        <v>2409</v>
      </c>
      <c r="AB282" s="261" t="s">
        <v>488</v>
      </c>
      <c r="AC282" s="261" t="s">
        <v>489</v>
      </c>
      <c r="AD282" s="261" t="s">
        <v>490</v>
      </c>
      <c r="AE282" s="261" t="s">
        <v>491</v>
      </c>
      <c r="AF282" s="261" t="s">
        <v>492</v>
      </c>
      <c r="AG282" s="261" t="s">
        <v>493</v>
      </c>
      <c r="AH282" s="261" t="s">
        <v>494</v>
      </c>
      <c r="AI282" s="261" t="s">
        <v>495</v>
      </c>
    </row>
    <row r="283" spans="1:35" ht="72" x14ac:dyDescent="0.3">
      <c r="A283" s="77"/>
      <c r="B283" s="77" t="str">
        <f t="shared" si="49"/>
        <v>Y</v>
      </c>
      <c r="C283" s="77" t="s">
        <v>45</v>
      </c>
      <c r="D283" s="77" t="s">
        <v>2621</v>
      </c>
      <c r="E283" s="84" t="s">
        <v>2624</v>
      </c>
      <c r="F283" s="80" t="s">
        <v>1307</v>
      </c>
      <c r="G283" s="96" t="s">
        <v>1303</v>
      </c>
      <c r="H283" s="77">
        <v>200</v>
      </c>
      <c r="J283" s="259" t="s">
        <v>50</v>
      </c>
      <c r="K283" s="259" t="s">
        <v>482</v>
      </c>
      <c r="L283" s="259" t="s">
        <v>51</v>
      </c>
      <c r="M283" s="259" t="s">
        <v>13</v>
      </c>
      <c r="N283" s="259" t="s">
        <v>10</v>
      </c>
      <c r="O283" s="259" t="s">
        <v>1372</v>
      </c>
      <c r="P283" s="259" t="s">
        <v>16</v>
      </c>
      <c r="Q283" s="259" t="s">
        <v>952</v>
      </c>
      <c r="R283" s="259" t="s">
        <v>51</v>
      </c>
      <c r="S283" s="263"/>
      <c r="T283" s="257" t="s">
        <v>171</v>
      </c>
      <c r="U283" s="259" t="s">
        <v>55</v>
      </c>
      <c r="V283" s="261" t="s">
        <v>2277</v>
      </c>
      <c r="W283" s="259" t="s">
        <v>2278</v>
      </c>
      <c r="X283" s="264" t="s">
        <v>964</v>
      </c>
      <c r="Y283" s="265" t="s">
        <v>1159</v>
      </c>
      <c r="Z283" s="257" t="s">
        <v>2284</v>
      </c>
      <c r="AA283" s="261" t="s">
        <v>2409</v>
      </c>
      <c r="AB283" s="261" t="s">
        <v>488</v>
      </c>
      <c r="AC283" s="261" t="s">
        <v>489</v>
      </c>
      <c r="AD283" s="261" t="s">
        <v>490</v>
      </c>
      <c r="AE283" s="261" t="s">
        <v>491</v>
      </c>
      <c r="AF283" s="261" t="s">
        <v>492</v>
      </c>
      <c r="AG283" s="261" t="s">
        <v>493</v>
      </c>
      <c r="AH283" s="261" t="s">
        <v>494</v>
      </c>
      <c r="AI283" s="261" t="s">
        <v>495</v>
      </c>
    </row>
    <row r="284" spans="1:35" ht="86.4" x14ac:dyDescent="0.3">
      <c r="A284" s="77">
        <v>177</v>
      </c>
      <c r="B284" s="77" t="str">
        <f t="shared" si="24"/>
        <v>Y</v>
      </c>
      <c r="C284" s="77" t="s">
        <v>45</v>
      </c>
      <c r="D284" s="77" t="s">
        <v>2626</v>
      </c>
      <c r="E284" s="84" t="s">
        <v>2625</v>
      </c>
      <c r="F284" s="80" t="s">
        <v>1310</v>
      </c>
      <c r="G284" s="96" t="s">
        <v>1311</v>
      </c>
      <c r="H284" s="77">
        <v>200</v>
      </c>
      <c r="J284" s="259" t="s">
        <v>50</v>
      </c>
      <c r="K284" s="259" t="s">
        <v>482</v>
      </c>
      <c r="L284" s="259" t="s">
        <v>51</v>
      </c>
      <c r="M284" s="259" t="s">
        <v>13</v>
      </c>
      <c r="N284" s="259" t="s">
        <v>10</v>
      </c>
      <c r="O284" s="259" t="s">
        <v>1372</v>
      </c>
      <c r="P284" s="259" t="s">
        <v>16</v>
      </c>
      <c r="Q284" s="259" t="s">
        <v>952</v>
      </c>
      <c r="R284" s="259" t="s">
        <v>51</v>
      </c>
      <c r="S284" s="260"/>
      <c r="T284" s="259" t="s">
        <v>484</v>
      </c>
      <c r="U284" s="259" t="s">
        <v>55</v>
      </c>
      <c r="V284" s="261" t="s">
        <v>2277</v>
      </c>
      <c r="W284" s="259" t="s">
        <v>2278</v>
      </c>
      <c r="X284" s="261" t="s">
        <v>486</v>
      </c>
      <c r="Y284" s="262" t="s">
        <v>2279</v>
      </c>
      <c r="Z284" s="261" t="s">
        <v>955</v>
      </c>
      <c r="AA284" s="261" t="s">
        <v>2409</v>
      </c>
      <c r="AB284" s="261" t="s">
        <v>488</v>
      </c>
      <c r="AC284" s="261" t="s">
        <v>489</v>
      </c>
      <c r="AD284" s="261" t="s">
        <v>490</v>
      </c>
      <c r="AE284" s="261" t="s">
        <v>491</v>
      </c>
      <c r="AF284" s="261" t="s">
        <v>492</v>
      </c>
      <c r="AG284" s="261" t="s">
        <v>493</v>
      </c>
      <c r="AH284" s="261" t="s">
        <v>494</v>
      </c>
      <c r="AI284" s="261" t="s">
        <v>495</v>
      </c>
    </row>
    <row r="285" spans="1:35" ht="86.4" x14ac:dyDescent="0.3">
      <c r="A285" s="77"/>
      <c r="B285" s="77" t="str">
        <f t="shared" ref="B285:B287" si="50">C285</f>
        <v>Y</v>
      </c>
      <c r="C285" s="77" t="s">
        <v>45</v>
      </c>
      <c r="D285" s="77" t="s">
        <v>2627</v>
      </c>
      <c r="E285" s="84" t="s">
        <v>2630</v>
      </c>
      <c r="F285" s="80" t="s">
        <v>1310</v>
      </c>
      <c r="G285" s="96" t="s">
        <v>1311</v>
      </c>
      <c r="H285" s="77">
        <v>200</v>
      </c>
      <c r="J285" s="259" t="s">
        <v>50</v>
      </c>
      <c r="K285" s="259" t="s">
        <v>482</v>
      </c>
      <c r="L285" s="259" t="s">
        <v>51</v>
      </c>
      <c r="M285" s="259" t="s">
        <v>13</v>
      </c>
      <c r="N285" s="259" t="s">
        <v>10</v>
      </c>
      <c r="O285" s="259" t="s">
        <v>1372</v>
      </c>
      <c r="P285" s="259" t="s">
        <v>16</v>
      </c>
      <c r="Q285" s="259" t="s">
        <v>952</v>
      </c>
      <c r="R285" s="259" t="s">
        <v>51</v>
      </c>
      <c r="S285" s="263"/>
      <c r="T285" s="257" t="s">
        <v>484</v>
      </c>
      <c r="U285" s="259" t="s">
        <v>55</v>
      </c>
      <c r="V285" s="261" t="s">
        <v>2277</v>
      </c>
      <c r="W285" s="259" t="s">
        <v>2278</v>
      </c>
      <c r="X285" s="264" t="s">
        <v>517</v>
      </c>
      <c r="Y285" s="265" t="s">
        <v>2280</v>
      </c>
      <c r="Z285" s="257" t="s">
        <v>955</v>
      </c>
      <c r="AA285" s="261" t="s">
        <v>2409</v>
      </c>
      <c r="AB285" s="261" t="s">
        <v>488</v>
      </c>
      <c r="AC285" s="261" t="s">
        <v>489</v>
      </c>
      <c r="AD285" s="261" t="s">
        <v>490</v>
      </c>
      <c r="AE285" s="261" t="s">
        <v>491</v>
      </c>
      <c r="AF285" s="261" t="s">
        <v>492</v>
      </c>
      <c r="AG285" s="261" t="s">
        <v>493</v>
      </c>
      <c r="AH285" s="261" t="s">
        <v>494</v>
      </c>
      <c r="AI285" s="261" t="s">
        <v>495</v>
      </c>
    </row>
    <row r="286" spans="1:35" ht="86.4" x14ac:dyDescent="0.3">
      <c r="A286" s="77"/>
      <c r="B286" s="77" t="str">
        <f t="shared" si="50"/>
        <v>Y</v>
      </c>
      <c r="C286" s="77" t="s">
        <v>45</v>
      </c>
      <c r="D286" s="77" t="s">
        <v>2628</v>
      </c>
      <c r="E286" s="84" t="s">
        <v>2631</v>
      </c>
      <c r="F286" s="80" t="s">
        <v>1310</v>
      </c>
      <c r="G286" s="96" t="s">
        <v>1311</v>
      </c>
      <c r="H286" s="77">
        <v>200</v>
      </c>
      <c r="J286" s="259" t="s">
        <v>50</v>
      </c>
      <c r="K286" s="259" t="s">
        <v>482</v>
      </c>
      <c r="L286" s="259" t="s">
        <v>51</v>
      </c>
      <c r="M286" s="259" t="s">
        <v>13</v>
      </c>
      <c r="N286" s="259" t="s">
        <v>10</v>
      </c>
      <c r="O286" s="259" t="s">
        <v>1372</v>
      </c>
      <c r="P286" s="259" t="s">
        <v>16</v>
      </c>
      <c r="Q286" s="259" t="s">
        <v>952</v>
      </c>
      <c r="R286" s="259" t="s">
        <v>51</v>
      </c>
      <c r="S286" s="263"/>
      <c r="T286" s="257" t="s">
        <v>520</v>
      </c>
      <c r="U286" s="259" t="s">
        <v>55</v>
      </c>
      <c r="V286" s="261" t="s">
        <v>2277</v>
      </c>
      <c r="W286" s="259" t="s">
        <v>2278</v>
      </c>
      <c r="X286" s="266" t="s">
        <v>2281</v>
      </c>
      <c r="Y286" s="267" t="s">
        <v>2282</v>
      </c>
      <c r="Z286" s="257" t="s">
        <v>2283</v>
      </c>
      <c r="AA286" s="261" t="s">
        <v>2409</v>
      </c>
      <c r="AB286" s="261" t="s">
        <v>488</v>
      </c>
      <c r="AC286" s="261" t="s">
        <v>489</v>
      </c>
      <c r="AD286" s="261" t="s">
        <v>490</v>
      </c>
      <c r="AE286" s="261" t="s">
        <v>491</v>
      </c>
      <c r="AF286" s="261" t="s">
        <v>492</v>
      </c>
      <c r="AG286" s="261" t="s">
        <v>493</v>
      </c>
      <c r="AH286" s="261" t="s">
        <v>494</v>
      </c>
      <c r="AI286" s="261" t="s">
        <v>495</v>
      </c>
    </row>
    <row r="287" spans="1:35" ht="86.4" x14ac:dyDescent="0.3">
      <c r="A287" s="77"/>
      <c r="B287" s="77" t="str">
        <f t="shared" si="50"/>
        <v>Y</v>
      </c>
      <c r="C287" s="77" t="s">
        <v>45</v>
      </c>
      <c r="D287" s="77" t="s">
        <v>2629</v>
      </c>
      <c r="E287" s="84" t="s">
        <v>2632</v>
      </c>
      <c r="F287" s="80" t="s">
        <v>1310</v>
      </c>
      <c r="G287" s="96" t="s">
        <v>1311</v>
      </c>
      <c r="H287" s="77">
        <v>200</v>
      </c>
      <c r="J287" s="259" t="s">
        <v>50</v>
      </c>
      <c r="K287" s="259" t="s">
        <v>482</v>
      </c>
      <c r="L287" s="259" t="s">
        <v>51</v>
      </c>
      <c r="M287" s="259" t="s">
        <v>13</v>
      </c>
      <c r="N287" s="259" t="s">
        <v>10</v>
      </c>
      <c r="O287" s="259" t="s">
        <v>1372</v>
      </c>
      <c r="P287" s="259" t="s">
        <v>16</v>
      </c>
      <c r="Q287" s="259" t="s">
        <v>952</v>
      </c>
      <c r="R287" s="259" t="s">
        <v>51</v>
      </c>
      <c r="S287" s="263"/>
      <c r="T287" s="257" t="s">
        <v>171</v>
      </c>
      <c r="U287" s="259" t="s">
        <v>55</v>
      </c>
      <c r="V287" s="261" t="s">
        <v>2277</v>
      </c>
      <c r="W287" s="259" t="s">
        <v>2278</v>
      </c>
      <c r="X287" s="264" t="s">
        <v>964</v>
      </c>
      <c r="Y287" s="265" t="s">
        <v>1159</v>
      </c>
      <c r="Z287" s="257" t="s">
        <v>2284</v>
      </c>
      <c r="AA287" s="261" t="s">
        <v>2409</v>
      </c>
      <c r="AB287" s="261" t="s">
        <v>488</v>
      </c>
      <c r="AC287" s="261" t="s">
        <v>489</v>
      </c>
      <c r="AD287" s="261" t="s">
        <v>490</v>
      </c>
      <c r="AE287" s="261" t="s">
        <v>491</v>
      </c>
      <c r="AF287" s="261" t="s">
        <v>492</v>
      </c>
      <c r="AG287" s="261" t="s">
        <v>493</v>
      </c>
      <c r="AH287" s="261" t="s">
        <v>494</v>
      </c>
      <c r="AI287" s="261" t="s">
        <v>495</v>
      </c>
    </row>
    <row r="288" spans="1:35" ht="72" x14ac:dyDescent="0.3">
      <c r="A288" s="77">
        <v>178</v>
      </c>
      <c r="B288" s="77" t="str">
        <f t="shared" si="24"/>
        <v>Y</v>
      </c>
      <c r="C288" s="77" t="s">
        <v>45</v>
      </c>
      <c r="D288" s="77" t="s">
        <v>2633</v>
      </c>
      <c r="E288" s="84" t="s">
        <v>2634</v>
      </c>
      <c r="F288" s="80" t="s">
        <v>1314</v>
      </c>
      <c r="G288" s="96" t="s">
        <v>1303</v>
      </c>
      <c r="H288" s="77">
        <v>200</v>
      </c>
      <c r="J288" s="259" t="s">
        <v>50</v>
      </c>
      <c r="K288" s="259" t="s">
        <v>482</v>
      </c>
      <c r="L288" s="259" t="s">
        <v>51</v>
      </c>
      <c r="M288" s="259" t="s">
        <v>13</v>
      </c>
      <c r="N288" s="259" t="s">
        <v>10</v>
      </c>
      <c r="O288" s="259" t="s">
        <v>1372</v>
      </c>
      <c r="P288" s="259" t="s">
        <v>16</v>
      </c>
      <c r="Q288" s="259" t="s">
        <v>952</v>
      </c>
      <c r="R288" s="259" t="s">
        <v>51</v>
      </c>
      <c r="S288" s="260"/>
      <c r="T288" s="259" t="s">
        <v>484</v>
      </c>
      <c r="U288" s="259" t="s">
        <v>55</v>
      </c>
      <c r="V288" s="261" t="s">
        <v>2277</v>
      </c>
      <c r="W288" s="259" t="s">
        <v>2278</v>
      </c>
      <c r="X288" s="261" t="s">
        <v>486</v>
      </c>
      <c r="Y288" s="262" t="s">
        <v>2279</v>
      </c>
      <c r="Z288" s="261" t="s">
        <v>955</v>
      </c>
      <c r="AA288" s="261" t="s">
        <v>2409</v>
      </c>
      <c r="AB288" s="261" t="s">
        <v>488</v>
      </c>
      <c r="AC288" s="261" t="s">
        <v>489</v>
      </c>
      <c r="AD288" s="261" t="s">
        <v>490</v>
      </c>
      <c r="AE288" s="261" t="s">
        <v>491</v>
      </c>
      <c r="AF288" s="261" t="s">
        <v>492</v>
      </c>
      <c r="AG288" s="261" t="s">
        <v>493</v>
      </c>
      <c r="AH288" s="261" t="s">
        <v>494</v>
      </c>
      <c r="AI288" s="261" t="s">
        <v>495</v>
      </c>
    </row>
    <row r="289" spans="1:35" ht="72" x14ac:dyDescent="0.3">
      <c r="A289" s="77">
        <v>179</v>
      </c>
      <c r="B289" s="77" t="str">
        <f t="shared" ref="B289:B291" si="51">C289</f>
        <v>Y</v>
      </c>
      <c r="C289" s="77" t="s">
        <v>45</v>
      </c>
      <c r="D289" s="77" t="s">
        <v>2635</v>
      </c>
      <c r="E289" s="84" t="s">
        <v>2638</v>
      </c>
      <c r="F289" s="80" t="s">
        <v>1314</v>
      </c>
      <c r="G289" s="96" t="s">
        <v>1303</v>
      </c>
      <c r="H289" s="77">
        <v>200</v>
      </c>
      <c r="J289" s="259" t="s">
        <v>50</v>
      </c>
      <c r="K289" s="259" t="s">
        <v>482</v>
      </c>
      <c r="L289" s="259" t="s">
        <v>51</v>
      </c>
      <c r="M289" s="259" t="s">
        <v>13</v>
      </c>
      <c r="N289" s="259" t="s">
        <v>10</v>
      </c>
      <c r="O289" s="259" t="s">
        <v>1372</v>
      </c>
      <c r="P289" s="259" t="s">
        <v>16</v>
      </c>
      <c r="Q289" s="259" t="s">
        <v>952</v>
      </c>
      <c r="R289" s="259" t="s">
        <v>51</v>
      </c>
      <c r="S289" s="263"/>
      <c r="T289" s="257" t="s">
        <v>484</v>
      </c>
      <c r="U289" s="259" t="s">
        <v>55</v>
      </c>
      <c r="V289" s="261" t="s">
        <v>2277</v>
      </c>
      <c r="W289" s="259" t="s">
        <v>2278</v>
      </c>
      <c r="X289" s="264" t="s">
        <v>517</v>
      </c>
      <c r="Y289" s="265" t="s">
        <v>2280</v>
      </c>
      <c r="Z289" s="257" t="s">
        <v>955</v>
      </c>
      <c r="AA289" s="261" t="s">
        <v>2409</v>
      </c>
      <c r="AB289" s="261" t="s">
        <v>488</v>
      </c>
      <c r="AC289" s="261" t="s">
        <v>489</v>
      </c>
      <c r="AD289" s="261" t="s">
        <v>490</v>
      </c>
      <c r="AE289" s="261" t="s">
        <v>491</v>
      </c>
      <c r="AF289" s="261" t="s">
        <v>492</v>
      </c>
      <c r="AG289" s="261" t="s">
        <v>493</v>
      </c>
      <c r="AH289" s="261" t="s">
        <v>494</v>
      </c>
      <c r="AI289" s="261" t="s">
        <v>495</v>
      </c>
    </row>
    <row r="290" spans="1:35" ht="72" x14ac:dyDescent="0.3">
      <c r="A290" s="77">
        <v>180</v>
      </c>
      <c r="B290" s="77" t="str">
        <f t="shared" si="51"/>
        <v>Y</v>
      </c>
      <c r="C290" s="77" t="s">
        <v>45</v>
      </c>
      <c r="D290" s="77" t="s">
        <v>2636</v>
      </c>
      <c r="E290" s="84" t="s">
        <v>2639</v>
      </c>
      <c r="F290" s="80" t="s">
        <v>1314</v>
      </c>
      <c r="G290" s="96" t="s">
        <v>1303</v>
      </c>
      <c r="H290" s="77">
        <v>200</v>
      </c>
      <c r="J290" s="259" t="s">
        <v>50</v>
      </c>
      <c r="K290" s="259" t="s">
        <v>482</v>
      </c>
      <c r="L290" s="259" t="s">
        <v>51</v>
      </c>
      <c r="M290" s="259" t="s">
        <v>13</v>
      </c>
      <c r="N290" s="259" t="s">
        <v>10</v>
      </c>
      <c r="O290" s="259" t="s">
        <v>1372</v>
      </c>
      <c r="P290" s="259" t="s">
        <v>16</v>
      </c>
      <c r="Q290" s="259" t="s">
        <v>952</v>
      </c>
      <c r="R290" s="259" t="s">
        <v>51</v>
      </c>
      <c r="S290" s="263"/>
      <c r="T290" s="257" t="s">
        <v>520</v>
      </c>
      <c r="U290" s="259" t="s">
        <v>55</v>
      </c>
      <c r="V290" s="261" t="s">
        <v>2277</v>
      </c>
      <c r="W290" s="259" t="s">
        <v>2278</v>
      </c>
      <c r="X290" s="266" t="s">
        <v>2281</v>
      </c>
      <c r="Y290" s="267" t="s">
        <v>2282</v>
      </c>
      <c r="Z290" s="257" t="s">
        <v>2283</v>
      </c>
      <c r="AA290" s="261" t="s">
        <v>2409</v>
      </c>
      <c r="AB290" s="261" t="s">
        <v>488</v>
      </c>
      <c r="AC290" s="261" t="s">
        <v>489</v>
      </c>
      <c r="AD290" s="261" t="s">
        <v>490</v>
      </c>
      <c r="AE290" s="261" t="s">
        <v>491</v>
      </c>
      <c r="AF290" s="261" t="s">
        <v>492</v>
      </c>
      <c r="AG290" s="261" t="s">
        <v>493</v>
      </c>
      <c r="AH290" s="261" t="s">
        <v>494</v>
      </c>
      <c r="AI290" s="261" t="s">
        <v>495</v>
      </c>
    </row>
    <row r="291" spans="1:35" ht="72" x14ac:dyDescent="0.3">
      <c r="A291" s="77">
        <v>181</v>
      </c>
      <c r="B291" s="77" t="str">
        <f t="shared" si="51"/>
        <v>Y</v>
      </c>
      <c r="C291" s="77" t="s">
        <v>45</v>
      </c>
      <c r="D291" s="77" t="s">
        <v>2637</v>
      </c>
      <c r="E291" s="84" t="s">
        <v>2640</v>
      </c>
      <c r="F291" s="80" t="s">
        <v>1314</v>
      </c>
      <c r="G291" s="96" t="s">
        <v>1303</v>
      </c>
      <c r="H291" s="77">
        <v>200</v>
      </c>
      <c r="J291" s="259" t="s">
        <v>50</v>
      </c>
      <c r="K291" s="259" t="s">
        <v>482</v>
      </c>
      <c r="L291" s="259" t="s">
        <v>51</v>
      </c>
      <c r="M291" s="259" t="s">
        <v>13</v>
      </c>
      <c r="N291" s="259" t="s">
        <v>10</v>
      </c>
      <c r="O291" s="259" t="s">
        <v>1372</v>
      </c>
      <c r="P291" s="259" t="s">
        <v>16</v>
      </c>
      <c r="Q291" s="259" t="s">
        <v>952</v>
      </c>
      <c r="R291" s="259" t="s">
        <v>51</v>
      </c>
      <c r="S291" s="263"/>
      <c r="T291" s="257" t="s">
        <v>171</v>
      </c>
      <c r="U291" s="259" t="s">
        <v>55</v>
      </c>
      <c r="V291" s="261" t="s">
        <v>2277</v>
      </c>
      <c r="W291" s="259" t="s">
        <v>2278</v>
      </c>
      <c r="X291" s="264" t="s">
        <v>964</v>
      </c>
      <c r="Y291" s="265" t="s">
        <v>1159</v>
      </c>
      <c r="Z291" s="257" t="s">
        <v>2284</v>
      </c>
      <c r="AA291" s="261" t="s">
        <v>2409</v>
      </c>
      <c r="AB291" s="261" t="s">
        <v>488</v>
      </c>
      <c r="AC291" s="261" t="s">
        <v>489</v>
      </c>
      <c r="AD291" s="261" t="s">
        <v>490</v>
      </c>
      <c r="AE291" s="261" t="s">
        <v>491</v>
      </c>
      <c r="AF291" s="261" t="s">
        <v>492</v>
      </c>
      <c r="AG291" s="261" t="s">
        <v>493</v>
      </c>
      <c r="AH291" s="261" t="s">
        <v>494</v>
      </c>
      <c r="AI291" s="261" t="s">
        <v>495</v>
      </c>
    </row>
    <row r="292" spans="1:35" ht="230.4" x14ac:dyDescent="0.3">
      <c r="A292" s="77">
        <v>179</v>
      </c>
      <c r="B292" s="77" t="str">
        <f t="shared" si="24"/>
        <v>Y</v>
      </c>
      <c r="C292" s="77" t="s">
        <v>45</v>
      </c>
      <c r="D292" s="77" t="s">
        <v>1916</v>
      </c>
      <c r="E292" s="84" t="s">
        <v>1917</v>
      </c>
      <c r="F292" s="80" t="s">
        <v>1321</v>
      </c>
      <c r="G292" s="96" t="s">
        <v>1918</v>
      </c>
      <c r="H292" s="77">
        <v>200</v>
      </c>
      <c r="J292" s="259" t="s">
        <v>50</v>
      </c>
      <c r="K292" s="259" t="s">
        <v>482</v>
      </c>
      <c r="L292" s="259" t="s">
        <v>51</v>
      </c>
      <c r="M292" s="259" t="s">
        <v>13</v>
      </c>
      <c r="N292" s="259" t="s">
        <v>10</v>
      </c>
      <c r="O292" s="259" t="s">
        <v>1372</v>
      </c>
      <c r="P292" s="259" t="s">
        <v>16</v>
      </c>
      <c r="Q292" s="259" t="s">
        <v>952</v>
      </c>
      <c r="R292" s="259" t="s">
        <v>51</v>
      </c>
      <c r="S292" s="263"/>
      <c r="T292" s="257" t="s">
        <v>520</v>
      </c>
      <c r="U292" s="259" t="s">
        <v>55</v>
      </c>
      <c r="V292" s="261" t="s">
        <v>2277</v>
      </c>
      <c r="W292" s="259" t="s">
        <v>2278</v>
      </c>
      <c r="X292" s="293" t="s">
        <v>1154</v>
      </c>
      <c r="Y292" s="267" t="s">
        <v>2641</v>
      </c>
      <c r="Z292" s="257" t="s">
        <v>2283</v>
      </c>
      <c r="AA292" s="261" t="s">
        <v>2409</v>
      </c>
      <c r="AB292" s="261" t="s">
        <v>488</v>
      </c>
      <c r="AC292" s="261" t="s">
        <v>489</v>
      </c>
      <c r="AD292" s="261" t="s">
        <v>490</v>
      </c>
      <c r="AE292" s="261" t="s">
        <v>491</v>
      </c>
      <c r="AF292" s="261" t="s">
        <v>492</v>
      </c>
      <c r="AG292" s="261" t="s">
        <v>493</v>
      </c>
      <c r="AH292" s="261" t="s">
        <v>494</v>
      </c>
      <c r="AI292" s="261" t="s">
        <v>495</v>
      </c>
    </row>
    <row r="293" spans="1:35" ht="230.4" x14ac:dyDescent="0.3">
      <c r="A293" s="77">
        <v>180</v>
      </c>
      <c r="B293" s="268" t="str">
        <f t="shared" si="24"/>
        <v>N</v>
      </c>
      <c r="C293" s="268" t="s">
        <v>113</v>
      </c>
      <c r="D293" s="268" t="s">
        <v>1919</v>
      </c>
      <c r="E293" s="278" t="s">
        <v>1920</v>
      </c>
      <c r="F293" s="170" t="s">
        <v>1325</v>
      </c>
      <c r="G293" s="181" t="s">
        <v>1918</v>
      </c>
      <c r="H293" s="269"/>
      <c r="I293" s="244"/>
      <c r="J293" s="268"/>
      <c r="K293" s="269"/>
      <c r="L293" s="170"/>
      <c r="M293" s="170"/>
      <c r="N293" s="170"/>
      <c r="O293" s="269"/>
      <c r="P293" s="269"/>
      <c r="Q293" s="269"/>
      <c r="R293" s="269"/>
      <c r="S293" s="269"/>
      <c r="T293" s="268"/>
      <c r="U293" s="170"/>
      <c r="V293" s="268"/>
      <c r="W293" s="268"/>
      <c r="X293" s="268"/>
      <c r="Y293" s="270"/>
      <c r="Z293" s="268"/>
      <c r="AA293" s="268"/>
      <c r="AB293" s="268"/>
      <c r="AC293" s="268"/>
      <c r="AD293" s="268"/>
      <c r="AE293" s="268"/>
      <c r="AF293" s="268"/>
      <c r="AG293" s="268"/>
      <c r="AH293" s="268"/>
      <c r="AI293" s="268"/>
    </row>
    <row r="294" spans="1:35" ht="230.4" x14ac:dyDescent="0.3">
      <c r="A294" s="77">
        <v>181</v>
      </c>
      <c r="B294" s="268" t="str">
        <f t="shared" si="24"/>
        <v>N</v>
      </c>
      <c r="C294" s="268" t="s">
        <v>113</v>
      </c>
      <c r="D294" s="268" t="s">
        <v>1921</v>
      </c>
      <c r="E294" s="278" t="s">
        <v>1922</v>
      </c>
      <c r="F294" s="170" t="s">
        <v>1328</v>
      </c>
      <c r="G294" s="181" t="s">
        <v>1923</v>
      </c>
      <c r="H294" s="269"/>
      <c r="I294" s="244"/>
      <c r="J294" s="268"/>
      <c r="K294" s="269"/>
      <c r="L294" s="170"/>
      <c r="M294" s="170"/>
      <c r="N294" s="170"/>
      <c r="O294" s="269"/>
      <c r="P294" s="269"/>
      <c r="Q294" s="269"/>
      <c r="R294" s="269"/>
      <c r="S294" s="269"/>
      <c r="T294" s="268"/>
      <c r="U294" s="170"/>
      <c r="V294" s="268"/>
      <c r="W294" s="268"/>
      <c r="X294" s="268"/>
      <c r="Y294" s="270"/>
      <c r="Z294" s="268"/>
      <c r="AA294" s="268"/>
      <c r="AB294" s="268"/>
      <c r="AC294" s="268"/>
      <c r="AD294" s="268"/>
      <c r="AE294" s="268"/>
      <c r="AF294" s="268"/>
      <c r="AG294" s="268"/>
      <c r="AH294" s="268"/>
      <c r="AI294" s="268"/>
    </row>
    <row r="295" spans="1:35" ht="230.4" x14ac:dyDescent="0.3">
      <c r="A295" s="77">
        <v>182</v>
      </c>
      <c r="B295" s="268" t="str">
        <f t="shared" si="24"/>
        <v>N</v>
      </c>
      <c r="C295" s="268" t="s">
        <v>113</v>
      </c>
      <c r="D295" s="268" t="s">
        <v>1924</v>
      </c>
      <c r="E295" s="278" t="s">
        <v>1925</v>
      </c>
      <c r="F295" s="170" t="s">
        <v>1332</v>
      </c>
      <c r="G295" s="181" t="s">
        <v>1923</v>
      </c>
      <c r="H295" s="269"/>
      <c r="I295" s="244"/>
      <c r="J295" s="268"/>
      <c r="K295" s="269"/>
      <c r="L295" s="170"/>
      <c r="M295" s="170"/>
      <c r="N295" s="170"/>
      <c r="O295" s="269"/>
      <c r="P295" s="269"/>
      <c r="Q295" s="269"/>
      <c r="R295" s="269"/>
      <c r="S295" s="269"/>
      <c r="T295" s="268"/>
      <c r="U295" s="170"/>
      <c r="V295" s="268"/>
      <c r="W295" s="268"/>
      <c r="X295" s="268"/>
      <c r="Y295" s="270"/>
      <c r="Z295" s="268"/>
      <c r="AA295" s="268"/>
      <c r="AB295" s="268"/>
      <c r="AC295" s="268"/>
      <c r="AD295" s="268"/>
      <c r="AE295" s="268"/>
      <c r="AF295" s="268"/>
      <c r="AG295" s="268"/>
      <c r="AH295" s="268"/>
      <c r="AI295" s="268"/>
    </row>
    <row r="296" spans="1:35" ht="216" x14ac:dyDescent="0.3">
      <c r="A296" s="77">
        <v>183</v>
      </c>
      <c r="B296" s="268" t="str">
        <f t="shared" si="24"/>
        <v>N</v>
      </c>
      <c r="C296" s="268" t="s">
        <v>113</v>
      </c>
      <c r="D296" s="268" t="s">
        <v>1926</v>
      </c>
      <c r="E296" s="278" t="s">
        <v>1927</v>
      </c>
      <c r="F296" s="170" t="s">
        <v>1335</v>
      </c>
      <c r="G296" s="181" t="s">
        <v>1336</v>
      </c>
      <c r="H296" s="269"/>
      <c r="I296" s="244"/>
      <c r="J296" s="268"/>
      <c r="K296" s="269"/>
      <c r="L296" s="170"/>
      <c r="M296" s="170"/>
      <c r="N296" s="170"/>
      <c r="O296" s="269"/>
      <c r="P296" s="269"/>
      <c r="Q296" s="269"/>
      <c r="R296" s="269"/>
      <c r="S296" s="269"/>
      <c r="T296" s="268"/>
      <c r="U296" s="170"/>
      <c r="V296" s="268"/>
      <c r="W296" s="268"/>
      <c r="X296" s="268"/>
      <c r="Y296" s="270"/>
      <c r="Z296" s="268"/>
      <c r="AA296" s="268"/>
      <c r="AB296" s="268"/>
      <c r="AC296" s="268"/>
      <c r="AD296" s="268"/>
      <c r="AE296" s="268"/>
      <c r="AF296" s="268"/>
      <c r="AG296" s="268"/>
      <c r="AH296" s="268"/>
      <c r="AI296" s="268"/>
    </row>
    <row r="297" spans="1:35" ht="216" x14ac:dyDescent="0.3">
      <c r="A297" s="77">
        <v>184</v>
      </c>
      <c r="B297" s="268" t="str">
        <f t="shared" si="24"/>
        <v>N</v>
      </c>
      <c r="C297" s="268" t="s">
        <v>113</v>
      </c>
      <c r="D297" s="268" t="s">
        <v>1928</v>
      </c>
      <c r="E297" s="278" t="s">
        <v>1929</v>
      </c>
      <c r="F297" s="170" t="s">
        <v>1339</v>
      </c>
      <c r="G297" s="181" t="s">
        <v>1336</v>
      </c>
      <c r="H297" s="269"/>
      <c r="I297" s="244"/>
      <c r="J297" s="268"/>
      <c r="K297" s="269"/>
      <c r="L297" s="170"/>
      <c r="M297" s="170"/>
      <c r="N297" s="170"/>
      <c r="O297" s="269"/>
      <c r="P297" s="269"/>
      <c r="Q297" s="269"/>
      <c r="R297" s="269"/>
      <c r="S297" s="269"/>
      <c r="T297" s="268"/>
      <c r="U297" s="170"/>
      <c r="V297" s="268"/>
      <c r="W297" s="268"/>
      <c r="X297" s="268"/>
      <c r="Y297" s="270"/>
      <c r="Z297" s="268"/>
      <c r="AA297" s="268"/>
      <c r="AB297" s="268"/>
      <c r="AC297" s="268"/>
      <c r="AD297" s="268"/>
      <c r="AE297" s="268"/>
      <c r="AF297" s="268"/>
      <c r="AG297" s="268"/>
      <c r="AH297" s="268"/>
      <c r="AI297" s="268"/>
    </row>
    <row r="298" spans="1:35" ht="201.6" x14ac:dyDescent="0.3">
      <c r="A298" s="77">
        <v>185</v>
      </c>
      <c r="B298" s="268" t="str">
        <f t="shared" si="24"/>
        <v>N</v>
      </c>
      <c r="C298" s="268" t="s">
        <v>113</v>
      </c>
      <c r="D298" s="268" t="s">
        <v>1930</v>
      </c>
      <c r="E298" s="278" t="s">
        <v>1931</v>
      </c>
      <c r="F298" s="170" t="s">
        <v>1342</v>
      </c>
      <c r="G298" s="181" t="s">
        <v>1343</v>
      </c>
      <c r="H298" s="269"/>
      <c r="I298" s="244"/>
      <c r="J298" s="268"/>
      <c r="K298" s="269"/>
      <c r="L298" s="170"/>
      <c r="M298" s="170"/>
      <c r="N298" s="170"/>
      <c r="O298" s="269"/>
      <c r="P298" s="269"/>
      <c r="Q298" s="269"/>
      <c r="R298" s="269"/>
      <c r="S298" s="269"/>
      <c r="T298" s="268"/>
      <c r="U298" s="170"/>
      <c r="V298" s="268"/>
      <c r="W298" s="268"/>
      <c r="X298" s="268"/>
      <c r="Y298" s="270"/>
      <c r="Z298" s="268"/>
      <c r="AA298" s="268"/>
      <c r="AB298" s="268"/>
      <c r="AC298" s="268"/>
      <c r="AD298" s="268"/>
      <c r="AE298" s="268"/>
      <c r="AF298" s="268"/>
      <c r="AG298" s="268"/>
      <c r="AH298" s="268"/>
      <c r="AI298" s="268"/>
    </row>
    <row r="299" spans="1:35" ht="201.6" x14ac:dyDescent="0.3">
      <c r="A299" s="77">
        <v>186</v>
      </c>
      <c r="B299" s="268" t="str">
        <f t="shared" si="24"/>
        <v>N</v>
      </c>
      <c r="C299" s="268" t="s">
        <v>113</v>
      </c>
      <c r="D299" s="268" t="s">
        <v>1932</v>
      </c>
      <c r="E299" s="278" t="s">
        <v>1933</v>
      </c>
      <c r="F299" s="170" t="s">
        <v>1934</v>
      </c>
      <c r="G299" s="181" t="s">
        <v>1343</v>
      </c>
      <c r="H299" s="269"/>
      <c r="I299" s="244"/>
      <c r="J299" s="268"/>
      <c r="K299" s="269"/>
      <c r="L299" s="170"/>
      <c r="M299" s="170"/>
      <c r="N299" s="170"/>
      <c r="O299" s="269"/>
      <c r="P299" s="269"/>
      <c r="Q299" s="269"/>
      <c r="R299" s="269"/>
      <c r="S299" s="269"/>
      <c r="T299" s="268"/>
      <c r="U299" s="170"/>
      <c r="V299" s="268"/>
      <c r="W299" s="268"/>
      <c r="X299" s="268"/>
      <c r="Y299" s="270"/>
      <c r="Z299" s="268"/>
      <c r="AA299" s="268"/>
      <c r="AB299" s="268"/>
      <c r="AC299" s="268"/>
      <c r="AD299" s="268"/>
      <c r="AE299" s="268"/>
      <c r="AF299" s="268"/>
      <c r="AG299" s="268"/>
      <c r="AH299" s="268"/>
      <c r="AI299" s="268"/>
    </row>
    <row r="300" spans="1:35" ht="187.2" x14ac:dyDescent="0.3">
      <c r="A300" s="77">
        <v>187</v>
      </c>
      <c r="B300" s="268" t="str">
        <f t="shared" si="24"/>
        <v>N</v>
      </c>
      <c r="C300" s="268" t="s">
        <v>113</v>
      </c>
      <c r="D300" s="268" t="s">
        <v>1935</v>
      </c>
      <c r="E300" s="278" t="s">
        <v>1936</v>
      </c>
      <c r="F300" s="170" t="s">
        <v>1348</v>
      </c>
      <c r="G300" s="181" t="s">
        <v>1349</v>
      </c>
      <c r="H300" s="269"/>
      <c r="I300" s="244"/>
      <c r="J300" s="268"/>
      <c r="K300" s="269"/>
      <c r="L300" s="170"/>
      <c r="M300" s="170"/>
      <c r="N300" s="170"/>
      <c r="O300" s="269"/>
      <c r="P300" s="269"/>
      <c r="Q300" s="269"/>
      <c r="R300" s="269"/>
      <c r="S300" s="269"/>
      <c r="T300" s="268"/>
      <c r="U300" s="170"/>
      <c r="V300" s="268"/>
      <c r="W300" s="268"/>
      <c r="X300" s="268"/>
      <c r="Y300" s="270"/>
      <c r="Z300" s="268"/>
      <c r="AA300" s="268"/>
      <c r="AB300" s="268"/>
      <c r="AC300" s="268"/>
      <c r="AD300" s="268"/>
      <c r="AE300" s="268"/>
      <c r="AF300" s="268"/>
      <c r="AG300" s="268"/>
      <c r="AH300" s="268"/>
      <c r="AI300" s="268"/>
    </row>
    <row r="301" spans="1:35" ht="187.2" x14ac:dyDescent="0.3">
      <c r="A301" s="77">
        <v>188</v>
      </c>
      <c r="B301" s="268" t="str">
        <f t="shared" si="24"/>
        <v>N</v>
      </c>
      <c r="C301" s="268" t="s">
        <v>113</v>
      </c>
      <c r="D301" s="268" t="s">
        <v>1937</v>
      </c>
      <c r="E301" s="278" t="s">
        <v>1938</v>
      </c>
      <c r="F301" s="170" t="s">
        <v>1352</v>
      </c>
      <c r="G301" s="181" t="s">
        <v>1349</v>
      </c>
      <c r="H301" s="269"/>
      <c r="I301" s="244"/>
      <c r="J301" s="268"/>
      <c r="K301" s="269"/>
      <c r="L301" s="170"/>
      <c r="M301" s="170"/>
      <c r="N301" s="170"/>
      <c r="O301" s="269"/>
      <c r="P301" s="269"/>
      <c r="Q301" s="269"/>
      <c r="R301" s="269"/>
      <c r="S301" s="269"/>
      <c r="T301" s="268"/>
      <c r="U301" s="170"/>
      <c r="V301" s="268"/>
      <c r="W301" s="268"/>
      <c r="X301" s="268"/>
      <c r="Y301" s="270"/>
      <c r="Z301" s="268"/>
      <c r="AA301" s="268"/>
      <c r="AB301" s="268"/>
      <c r="AC301" s="268"/>
      <c r="AD301" s="268"/>
      <c r="AE301" s="268"/>
      <c r="AF301" s="268"/>
      <c r="AG301" s="268"/>
      <c r="AH301" s="268"/>
      <c r="AI301" s="268"/>
    </row>
    <row r="302" spans="1:35" ht="201.6" x14ac:dyDescent="0.3">
      <c r="A302" s="77">
        <v>189</v>
      </c>
      <c r="B302" s="268" t="str">
        <f t="shared" si="24"/>
        <v>N</v>
      </c>
      <c r="C302" s="268" t="s">
        <v>113</v>
      </c>
      <c r="D302" s="268" t="s">
        <v>1939</v>
      </c>
      <c r="E302" s="278" t="s">
        <v>1940</v>
      </c>
      <c r="F302" s="170" t="s">
        <v>1941</v>
      </c>
      <c r="G302" s="181" t="s">
        <v>1942</v>
      </c>
      <c r="H302" s="269"/>
      <c r="I302" s="244"/>
      <c r="J302" s="268"/>
      <c r="K302" s="269"/>
      <c r="L302" s="170"/>
      <c r="M302" s="170"/>
      <c r="N302" s="170"/>
      <c r="O302" s="269"/>
      <c r="P302" s="269"/>
      <c r="Q302" s="269"/>
      <c r="R302" s="269"/>
      <c r="S302" s="269"/>
      <c r="T302" s="268"/>
      <c r="U302" s="170"/>
      <c r="V302" s="268"/>
      <c r="W302" s="268"/>
      <c r="X302" s="268"/>
      <c r="Y302" s="270"/>
      <c r="Z302" s="268"/>
      <c r="AA302" s="268"/>
      <c r="AB302" s="268"/>
      <c r="AC302" s="268"/>
      <c r="AD302" s="268"/>
      <c r="AE302" s="268"/>
      <c r="AF302" s="268"/>
      <c r="AG302" s="268"/>
      <c r="AH302" s="268"/>
      <c r="AI302" s="268"/>
    </row>
    <row r="303" spans="1:35" ht="172.8" x14ac:dyDescent="0.3">
      <c r="A303" s="77">
        <v>190</v>
      </c>
      <c r="B303" s="268" t="str">
        <f t="shared" si="24"/>
        <v>N</v>
      </c>
      <c r="C303" s="268" t="s">
        <v>113</v>
      </c>
      <c r="D303" s="268" t="s">
        <v>1943</v>
      </c>
      <c r="E303" s="278" t="s">
        <v>1944</v>
      </c>
      <c r="F303" s="170" t="s">
        <v>1359</v>
      </c>
      <c r="G303" s="181" t="s">
        <v>1945</v>
      </c>
      <c r="H303" s="269"/>
      <c r="I303" s="244"/>
      <c r="J303" s="268"/>
      <c r="K303" s="269"/>
      <c r="L303" s="170"/>
      <c r="M303" s="170"/>
      <c r="N303" s="170"/>
      <c r="O303" s="269"/>
      <c r="P303" s="269"/>
      <c r="Q303" s="269"/>
      <c r="R303" s="269"/>
      <c r="S303" s="269"/>
      <c r="T303" s="268"/>
      <c r="U303" s="170"/>
      <c r="V303" s="268"/>
      <c r="W303" s="268"/>
      <c r="X303" s="268"/>
      <c r="Y303" s="270"/>
      <c r="Z303" s="268"/>
      <c r="AA303" s="268"/>
      <c r="AB303" s="268"/>
      <c r="AC303" s="268"/>
      <c r="AD303" s="268"/>
      <c r="AE303" s="268"/>
      <c r="AF303" s="268"/>
      <c r="AG303" s="268"/>
      <c r="AH303" s="268"/>
      <c r="AI303" s="268"/>
    </row>
  </sheetData>
  <autoFilter ref="A1:AO303" xr:uid="{00000000-0001-0000-0D00-000000000000}"/>
  <phoneticPr fontId="10"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Script Inventory</vt:lpstr>
      <vt:lpstr>Legend</vt:lpstr>
      <vt:lpstr>SBAuthAPI</vt:lpstr>
      <vt:lpstr>SBBankList</vt:lpstr>
      <vt:lpstr>SBCheckStatus</vt:lpstr>
      <vt:lpstr>SBSendFunds</vt:lpstr>
      <vt:lpstr>PTTAuthAPI</vt:lpstr>
      <vt:lpstr>PTTBankList</vt:lpstr>
      <vt:lpstr>PTTCheckStatus</vt:lpstr>
      <vt:lpstr>PTTSendFunds</vt:lpstr>
      <vt:lpstr>PTLAuthAPI</vt:lpstr>
      <vt:lpstr>PTLBankList</vt:lpstr>
      <vt:lpstr>PTLCheckStatus</vt:lpstr>
      <vt:lpstr>PTLSendFunds</vt:lpstr>
      <vt:lpstr>PTLCheckStatus!_FilterDatabase</vt:lpstr>
      <vt:lpstr>PTTAuthAPI!_FilterDatabase</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Ecle, Lorence A.</cp:lastModifiedBy>
  <cp:revision/>
  <dcterms:created xsi:type="dcterms:W3CDTF">2026-08-07T03:25:45Z</dcterms:created>
  <dcterms:modified xsi:type="dcterms:W3CDTF">2026-08-13T10:25:50Z</dcterms:modified>
  <cp:category/>
  <cp:contentStatus/>
</cp:coreProperties>
</file>