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B5185253-1C4F-4FAD-8C25-6A55495C1956}" xr6:coauthVersionLast="47" xr6:coauthVersionMax="47" xr10:uidLastSave="{00000000-0000-0000-0000-000000000000}"/>
  <bookViews>
    <workbookView xWindow="-120" yWindow="-120" windowWidth="29040" windowHeight="15720" tabRatio="576" activeTab="3" xr2:uid="{E1A27D2B-6C2F-48BB-87D7-349C65AB89C7}"/>
  </bookViews>
  <sheets>
    <sheet name="Script Inventory" sheetId="14" r:id="rId1"/>
    <sheet name="PTTSendFundsDup" sheetId="16" r:id="rId2"/>
    <sheet name="SBAuthAPI" sheetId="1" r:id="rId3"/>
    <sheet name="SBBankList" sheetId="4" r:id="rId4"/>
    <sheet name="SBCheckStatus" sheetId="7" r:id="rId5"/>
    <sheet name="SBSendFunds" sheetId="10" r:id="rId6"/>
    <sheet name="PTTAuthAPI" sheetId="2" r:id="rId7"/>
    <sheet name="PTTBankList" sheetId="5" r:id="rId8"/>
    <sheet name="PTTCheckStatus" sheetId="9" r:id="rId9"/>
    <sheet name="PTTSendFunds" sheetId="11" r:id="rId10"/>
    <sheet name="PTLAuthAPI" sheetId="3" r:id="rId11"/>
    <sheet name="PTLBankList" sheetId="6" r:id="rId12"/>
    <sheet name="PTLCheckStatus" sheetId="8" r:id="rId13"/>
    <sheet name="PTLSendFunds" sheetId="12" r:id="rId14"/>
  </sheets>
  <definedNames>
    <definedName name="_xlnm._FilterDatabase" localSheetId="12" hidden="1">PTLCheckStatus!$A$2:$T$2</definedName>
    <definedName name="_xlnm._FilterDatabase" localSheetId="13" hidden="1">PTLSendFunds!$A$1:$AL$1</definedName>
    <definedName name="_xlnm._FilterDatabase" localSheetId="6" hidden="1">PTTAuthAPI!$F$1:$F$20</definedName>
    <definedName name="_xlnm._FilterDatabase" localSheetId="8" hidden="1">PTTCheckStatus!$A$1:$L$60</definedName>
    <definedName name="_xlnm._FilterDatabase" localSheetId="9" hidden="1">PTTSendFunds!$A$1:$AM$101</definedName>
    <definedName name="_xlnm._FilterDatabase" localSheetId="1" hidden="1">PTTSendFundsDup!$A$1:$AM$219</definedName>
    <definedName name="_xlnm._FilterDatabase" localSheetId="5" hidden="1">SBSendFunds!$A$1:$AG$1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23" i="1"/>
  <c r="B22" i="1"/>
  <c r="B21" i="1"/>
  <c r="B20" i="1"/>
  <c r="B19" i="1"/>
  <c r="B18" i="1"/>
  <c r="B17" i="1"/>
  <c r="B2" i="2"/>
  <c r="B7" i="2"/>
  <c r="B28" i="2"/>
  <c r="B27" i="2"/>
  <c r="B26" i="2"/>
  <c r="B25" i="2"/>
  <c r="B24" i="2"/>
  <c r="B23" i="2"/>
  <c r="B22" i="2"/>
  <c r="B21" i="2"/>
  <c r="B15" i="2"/>
  <c r="B13" i="2"/>
  <c r="B12" i="2"/>
  <c r="B11" i="2"/>
  <c r="B4" i="2"/>
  <c r="B3" i="2"/>
  <c r="B5" i="2"/>
  <c r="B6" i="2"/>
  <c r="B8" i="2"/>
  <c r="B9" i="2"/>
  <c r="B10" i="2"/>
  <c r="B14" i="2"/>
  <c r="B16" i="2"/>
  <c r="B17" i="2"/>
  <c r="B18" i="2"/>
  <c r="B19" i="2"/>
  <c r="B20" i="2"/>
  <c r="B219" i="16"/>
  <c r="B218" i="16"/>
  <c r="B217" i="16"/>
  <c r="B216" i="16"/>
  <c r="B215" i="16"/>
  <c r="B214" i="16"/>
  <c r="B213" i="16"/>
  <c r="B212" i="16"/>
  <c r="B211" i="16"/>
  <c r="B210" i="16"/>
  <c r="B209" i="16"/>
  <c r="B208" i="16"/>
  <c r="B207" i="16"/>
  <c r="B206" i="16"/>
  <c r="B205" i="16"/>
  <c r="B204" i="16"/>
  <c r="B203" i="16"/>
  <c r="B202" i="16"/>
  <c r="B201" i="16"/>
  <c r="B200" i="16"/>
  <c r="B199" i="16"/>
  <c r="B198" i="16"/>
  <c r="B197" i="16"/>
  <c r="B196" i="16"/>
  <c r="B195" i="16"/>
  <c r="B194" i="16"/>
  <c r="B193" i="16"/>
  <c r="B192" i="16"/>
  <c r="B191" i="16"/>
  <c r="B190" i="16"/>
  <c r="B189" i="16"/>
  <c r="B188" i="16"/>
  <c r="B187" i="16"/>
  <c r="B186" i="16"/>
  <c r="B185" i="16"/>
  <c r="B184" i="16"/>
  <c r="B183" i="16"/>
  <c r="B182" i="16"/>
  <c r="B181" i="16"/>
  <c r="B180" i="16"/>
  <c r="B179" i="16"/>
  <c r="B178" i="16"/>
  <c r="B177" i="16"/>
  <c r="B176" i="16"/>
  <c r="B175" i="16"/>
  <c r="B174" i="16"/>
  <c r="B173" i="16"/>
  <c r="B172" i="16"/>
  <c r="B171" i="16"/>
  <c r="B170" i="16"/>
  <c r="B169" i="16"/>
  <c r="B168" i="16"/>
  <c r="B167" i="16"/>
  <c r="B166" i="16"/>
  <c r="B165" i="16"/>
  <c r="B164" i="16"/>
  <c r="B163" i="16"/>
  <c r="B162" i="16"/>
  <c r="B161" i="16"/>
  <c r="B160" i="16"/>
  <c r="B159" i="16"/>
  <c r="B158" i="16"/>
  <c r="B157" i="16"/>
  <c r="B156" i="16"/>
  <c r="B155" i="16"/>
  <c r="B154" i="16"/>
  <c r="B153" i="16"/>
  <c r="B152" i="16"/>
  <c r="B151" i="16"/>
  <c r="B150" i="16"/>
  <c r="B149" i="16"/>
  <c r="B148" i="16"/>
  <c r="B147" i="16"/>
  <c r="B146" i="16"/>
  <c r="B145" i="16"/>
  <c r="B144" i="16"/>
  <c r="B143" i="16"/>
  <c r="B142" i="16"/>
  <c r="B141" i="16"/>
  <c r="B140" i="16"/>
  <c r="B139" i="16"/>
  <c r="B138" i="16"/>
  <c r="B137" i="16"/>
  <c r="B136" i="16"/>
  <c r="B135" i="16"/>
  <c r="B134" i="16"/>
  <c r="B133" i="16"/>
  <c r="B132" i="16"/>
  <c r="B131" i="16"/>
  <c r="B130" i="16"/>
  <c r="B129" i="16"/>
  <c r="B128" i="16"/>
  <c r="B127" i="16"/>
  <c r="B126" i="16"/>
  <c r="B125" i="16"/>
  <c r="B124" i="16"/>
  <c r="B123" i="16"/>
  <c r="B122" i="16"/>
  <c r="B121" i="16"/>
  <c r="B120" i="16"/>
  <c r="B3" i="11" l="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2" i="11"/>
  <c r="B22" i="3"/>
  <c r="B21" i="3"/>
  <c r="B20" i="3"/>
  <c r="B19" i="3"/>
  <c r="B18" i="3"/>
  <c r="B17" i="3"/>
  <c r="B16" i="3"/>
  <c r="B15" i="3"/>
  <c r="B14" i="3"/>
  <c r="B13" i="3"/>
  <c r="B12" i="3"/>
  <c r="B11" i="3"/>
  <c r="B10" i="3"/>
  <c r="B9" i="3"/>
  <c r="B8" i="3"/>
  <c r="B7" i="3"/>
  <c r="B6" i="3"/>
  <c r="B5" i="3"/>
  <c r="B4" i="3"/>
  <c r="B3" i="3"/>
  <c r="B2" i="3"/>
  <c r="D18" i="14" l="1"/>
  <c r="D17" i="14"/>
  <c r="D16" i="14"/>
  <c r="D15" i="14"/>
  <c r="D12" i="14"/>
  <c r="D11" i="14"/>
  <c r="D10" i="14"/>
  <c r="D9" i="14"/>
  <c r="D5" i="14"/>
  <c r="D6" i="14"/>
  <c r="D4" i="14"/>
  <c r="D3" i="14"/>
  <c r="D19" i="14" l="1"/>
  <c r="D13" i="14"/>
  <c r="D7" i="14"/>
  <c r="B3" i="10"/>
  <c r="B2" i="10"/>
  <c r="B2" i="1"/>
  <c r="B3" i="1"/>
  <c r="B5" i="1"/>
  <c r="B6" i="1"/>
  <c r="B7" i="1"/>
  <c r="B8" i="1"/>
  <c r="B9" i="1"/>
  <c r="B10" i="1"/>
  <c r="B11" i="1"/>
  <c r="B12" i="1"/>
  <c r="B13" i="1"/>
  <c r="B14" i="1"/>
  <c r="B15" i="1"/>
  <c r="B16" i="1"/>
  <c r="D22" i="14" l="1"/>
  <c r="I15" i="6"/>
  <c r="I14" i="6"/>
  <c r="I13" i="6"/>
  <c r="I12" i="6"/>
  <c r="I11" i="6"/>
  <c r="I10" i="6"/>
  <c r="I9" i="6"/>
  <c r="I8" i="6"/>
  <c r="I7" i="6"/>
  <c r="I6" i="6"/>
  <c r="I5" i="6"/>
  <c r="I4" i="6"/>
  <c r="I3" i="6"/>
  <c r="I2" i="6"/>
  <c r="I15" i="5"/>
  <c r="I14" i="5"/>
  <c r="I13" i="5"/>
  <c r="I12" i="5"/>
  <c r="I11" i="5"/>
  <c r="I10" i="5"/>
  <c r="I9" i="5"/>
  <c r="I8" i="5"/>
  <c r="I7" i="5"/>
  <c r="I6" i="5"/>
  <c r="I5" i="5"/>
  <c r="I4" i="5"/>
  <c r="I3" i="5"/>
  <c r="I2" i="5"/>
  <c r="I3" i="4"/>
  <c r="I4" i="4"/>
  <c r="I5" i="4"/>
  <c r="I6" i="4"/>
  <c r="I7" i="4"/>
  <c r="I8" i="4"/>
  <c r="I9" i="4"/>
  <c r="I10" i="4"/>
  <c r="I11" i="4"/>
  <c r="I12" i="4"/>
  <c r="I13" i="4"/>
  <c r="I14" i="4"/>
  <c r="I15" i="4"/>
  <c r="I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tc={B613C371-1884-43AC-87FD-CBC696336E66}</author>
    <author>tc={F600E0C7-AAC6-46A1-B9B2-9A2B72FEE0F3}</author>
    <author>tc={AE298331-5F92-4345-B8A7-1B63CF88FF89}</author>
    <author>tc={5B2A6DAD-291E-4665-AA1A-1D25EED3D7AA}</author>
    <author>tc={EC525707-CDEB-4525-B3B4-3C86F033BF61}</author>
    <author>tc={FBEBAB63-6AE8-4EAE-8921-7FA124AECFFF}</author>
    <author>tc={29EB05C0-E100-4705-A46B-2932525B0E70}</author>
    <author>tc={E0BEE362-C8CD-42DF-BF13-D2560AC1BE5D}</author>
    <author>tc={4C3C9DBC-237A-4294-B3FF-A0FA1DC0CBDF}</author>
    <author>tc={5348164E-DE22-4FF7-BF58-D6E4CF424866}</author>
    <author>tc={5C051A22-F4E5-4A2B-9B1E-76461B4581EA}</author>
    <author>tc={05E16A5D-1983-4487-81B0-4DA05047F893}</author>
    <author>tc={62457F63-977F-4587-9410-6E48B24E1449}</author>
    <author>tc={261B1FC5-6232-44E9-BEB6-A68F2D42ECBE}</author>
    <author>tc={5EB98E0B-6EA8-4E63-AEB5-BB2089CE3932}</author>
    <author>tc={7BFE1258-EA3C-40AE-A4D2-4B147178F0E4}</author>
    <author>tc={1BA2F9FD-BEF6-454A-858D-08044384E6FB}</author>
    <author>tc={650DF1C3-3627-449F-947D-350E2FF4605D}</author>
    <author>tc={2FCA0262-E95D-4A68-90E5-5183B9C40AD6}</author>
    <author>tc={9904F5E2-62B3-45BD-92CE-5D868C0E05F9}</author>
    <author>tc={BA99F3B7-9CB4-4727-BE98-7D4E79D730B4}</author>
    <author>tc={91055B47-1C90-43D1-882A-AB00AF5357BB}</author>
    <author>tc={74A3A7F2-0727-4B40-B4FE-E791E918FD33}</author>
    <author>tc={5420D019-E0B5-4BB1-8205-FC72E8AAFB4C}</author>
    <author>tc={D6AABBDA-3E32-4B3C-88FC-F7BAE9747E52}</author>
    <author>tc={DD4F5FCA-8A72-4CCD-B4C9-C4425B8681CA}</author>
    <author>tc={47EFA323-751B-40C2-BCF1-022518DB5235}</author>
    <author>tc={AA0AB137-8361-4B28-B61D-13673827C368}</author>
    <author>tc={FF19C899-4429-4DB1-87D7-D6C68B9D8570}</author>
    <author>tc={A5E8A8F4-FE29-43D0-9F30-0CDD987CFD7A}</author>
    <author>tc={E5B7F633-5477-4863-AEFE-D1AFE5858D09}</author>
    <author>tc={E949CFAD-A658-4FAF-BB6C-42D82D09AB67}</author>
    <author>tc={947A151A-6E03-483B-9B4D-13B49785D508}</author>
    <author>tc={DC0499D3-26B8-44DC-A49B-F877D7EF3AA9}</author>
    <author>tc={8C25AEF3-5CC1-4427-B172-C199C6558471}</author>
  </authors>
  <commentList>
    <comment ref="C2" authorId="0" shapeId="0" xr:uid="{B613C371-1884-43AC-87FD-CBC696336E66}">
      <text>
        <t>[Threaded comment]
Your version of Excel allows you to read this threaded comment; however, any edits to it will get removed if the file is opened in a newer version of Excel. Learn more: https://go.microsoft.com/fwlink/?linkid=870924
Comment:
    Non-Core</t>
      </text>
    </comment>
    <comment ref="C3" authorId="1" shapeId="0" xr:uid="{F600E0C7-AAC6-46A1-B9B2-9A2B72FEE0F3}">
      <text>
        <t>[Threaded comment]
Your version of Excel allows you to read this threaded comment; however, any edits to it will get removed if the file is opened in a newer version of Excel. Learn more: https://go.microsoft.com/fwlink/?linkid=870924
Comment:
    Non-Core</t>
      </text>
    </comment>
    <comment ref="C4" authorId="2" shapeId="0" xr:uid="{AE298331-5F92-4345-B8A7-1B63CF88FF89}">
      <text>
        <t>[Threaded comment]
Your version of Excel allows you to read this threaded comment; however, any edits to it will get removed if the file is opened in a newer version of Excel. Learn more: https://go.microsoft.com/fwlink/?linkid=870924
Comment:
    Non-Core</t>
      </text>
    </comment>
    <comment ref="C5" authorId="3" shapeId="0" xr:uid="{5B2A6DAD-291E-4665-AA1A-1D25EED3D7AA}">
      <text>
        <t>[Threaded comment]
Your version of Excel allows you to read this threaded comment; however, any edits to it will get removed if the file is opened in a newer version of Excel. Learn more: https://go.microsoft.com/fwlink/?linkid=870924
Comment:
    Non-Core</t>
      </text>
    </comment>
    <comment ref="C6" authorId="4" shapeId="0" xr:uid="{EC525707-CDEB-4525-B3B4-3C86F033BF61}">
      <text>
        <t>[Threaded comment]
Your version of Excel allows you to read this threaded comment; however, any edits to it will get removed if the file is opened in a newer version of Excel. Learn more: https://go.microsoft.com/fwlink/?linkid=870924
Comment:
    Non-Core</t>
      </text>
    </comment>
    <comment ref="C7" authorId="5" shapeId="0" xr:uid="{FBEBAB63-6AE8-4EAE-8921-7FA124AECFFF}">
      <text>
        <t>[Threaded comment]
Your version of Excel allows you to read this threaded comment; however, any edits to it will get removed if the file is opened in a newer version of Excel. Learn more: https://go.microsoft.com/fwlink/?linkid=870924
Comment:
    Non-Core</t>
      </text>
    </comment>
    <comment ref="C8" authorId="6" shapeId="0" xr:uid="{29EB05C0-E100-4705-A46B-2932525B0E70}">
      <text>
        <t>[Threaded comment]
Your version of Excel allows you to read this threaded comment; however, any edits to it will get removed if the file is opened in a newer version of Excel. Learn more: https://go.microsoft.com/fwlink/?linkid=870924
Comment:
    Non-Core</t>
      </text>
    </comment>
    <comment ref="C9" authorId="7" shapeId="0" xr:uid="{E0BEE362-C8CD-42DF-BF13-D2560AC1BE5D}">
      <text>
        <t>[Threaded comment]
Your version of Excel allows you to read this threaded comment; however, any edits to it will get removed if the file is opened in a newer version of Excel. Learn more: https://go.microsoft.com/fwlink/?linkid=870924
Comment:
    Non-Core</t>
      </text>
    </comment>
    <comment ref="C10" authorId="8" shapeId="0" xr:uid="{4C3C9DBC-237A-4294-B3FF-A0FA1DC0CBDF}">
      <text>
        <t>[Threaded comment]
Your version of Excel allows you to read this threaded comment; however, any edits to it will get removed if the file is opened in a newer version of Excel. Learn more: https://go.microsoft.com/fwlink/?linkid=870924
Comment:
    Non-Core</t>
      </text>
    </comment>
    <comment ref="C11" authorId="9" shapeId="0" xr:uid="{5348164E-DE22-4FF7-BF58-D6E4CF424866}">
      <text>
        <t>[Threaded comment]
Your version of Excel allows you to read this threaded comment; however, any edits to it will get removed if the file is opened in a newer version of Excel. Learn more: https://go.microsoft.com/fwlink/?linkid=870924
Comment:
    Non-Core</t>
      </text>
    </comment>
    <comment ref="C12" authorId="10" shapeId="0" xr:uid="{5C051A22-F4E5-4A2B-9B1E-76461B4581EA}">
      <text>
        <t>[Threaded comment]
Your version of Excel allows you to read this threaded comment; however, any edits to it will get removed if the file is opened in a newer version of Excel. Learn more: https://go.microsoft.com/fwlink/?linkid=870924
Comment:
    Non-Core</t>
      </text>
    </comment>
    <comment ref="C13" authorId="11" shapeId="0" xr:uid="{05E16A5D-1983-4487-81B0-4DA05047F893}">
      <text>
        <t>[Threaded comment]
Your version of Excel allows you to read this threaded comment; however, any edits to it will get removed if the file is opened in a newer version of Excel. Learn more: https://go.microsoft.com/fwlink/?linkid=870924
Comment:
    Non-Core</t>
      </text>
    </comment>
    <comment ref="C14" authorId="12" shapeId="0" xr:uid="{62457F63-977F-4587-9410-6E48B24E1449}">
      <text>
        <t>[Threaded comment]
Your version of Excel allows you to read this threaded comment; however, any edits to it will get removed if the file is opened in a newer version of Excel. Learn more: https://go.microsoft.com/fwlink/?linkid=870924
Comment:
    Non-Core</t>
      </text>
    </comment>
    <comment ref="C15" authorId="13" shapeId="0" xr:uid="{261B1FC5-6232-44E9-BEB6-A68F2D42ECBE}">
      <text>
        <t>[Threaded comment]
Your version of Excel allows you to read this threaded comment; however, any edits to it will get removed if the file is opened in a newer version of Excel. Learn more: https://go.microsoft.com/fwlink/?linkid=870924
Comment:
    Non-Core</t>
      </text>
    </comment>
    <comment ref="C16" authorId="14" shapeId="0" xr:uid="{5EB98E0B-6EA8-4E63-AEB5-BB2089CE3932}">
      <text>
        <t>[Threaded comment]
Your version of Excel allows you to read this threaded comment; however, any edits to it will get removed if the file is opened in a newer version of Excel. Learn more: https://go.microsoft.com/fwlink/?linkid=870924
Comment:
    Non-Core</t>
      </text>
    </comment>
    <comment ref="C17" authorId="15" shapeId="0" xr:uid="{7BFE1258-EA3C-40AE-A4D2-4B147178F0E4}">
      <text>
        <t>[Threaded comment]
Your version of Excel allows you to read this threaded comment; however, any edits to it will get removed if the file is opened in a newer version of Excel. Learn more: https://go.microsoft.com/fwlink/?linkid=870924
Comment:
    Non-Core</t>
      </text>
    </comment>
    <comment ref="C18" authorId="16" shapeId="0" xr:uid="{1BA2F9FD-BEF6-454A-858D-08044384E6FB}">
      <text>
        <t>[Threaded comment]
Your version of Excel allows you to read this threaded comment; however, any edits to it will get removed if the file is opened in a newer version of Excel. Learn more: https://go.microsoft.com/fwlink/?linkid=870924
Comment:
    Non-Core</t>
      </text>
    </comment>
    <comment ref="C19" authorId="17" shapeId="0" xr:uid="{650DF1C3-3627-449F-947D-350E2FF4605D}">
      <text>
        <t>[Threaded comment]
Your version of Excel allows you to read this threaded comment; however, any edits to it will get removed if the file is opened in a newer version of Excel. Learn more: https://go.microsoft.com/fwlink/?linkid=870924
Comment:
    Non-Core</t>
      </text>
    </comment>
    <comment ref="C20" authorId="18" shapeId="0" xr:uid="{2FCA0262-E95D-4A68-90E5-5183B9C40AD6}">
      <text>
        <t>[Threaded comment]
Your version of Excel allows you to read this threaded comment; however, any edits to it will get removed if the file is opened in a newer version of Excel. Learn more: https://go.microsoft.com/fwlink/?linkid=870924
Comment:
    Non-Core</t>
      </text>
    </comment>
    <comment ref="C21" authorId="19" shapeId="0" xr:uid="{9904F5E2-62B3-45BD-92CE-5D868C0E05F9}">
      <text>
        <t>[Threaded comment]
Your version of Excel allows you to read this threaded comment; however, any edits to it will get removed if the file is opened in a newer version of Excel. Learn more: https://go.microsoft.com/fwlink/?linkid=870924
Comment:
    Non-Core</t>
      </text>
    </comment>
    <comment ref="C22" authorId="20" shapeId="0" xr:uid="{BA99F3B7-9CB4-4727-BE98-7D4E79D730B4}">
      <text>
        <t>[Threaded comment]
Your version of Excel allows you to read this threaded comment; however, any edits to it will get removed if the file is opened in a newer version of Excel. Learn more: https://go.microsoft.com/fwlink/?linkid=870924
Comment:
    Non-Core</t>
      </text>
    </comment>
    <comment ref="C23" authorId="21" shapeId="0" xr:uid="{91055B47-1C90-43D1-882A-AB00AF5357BB}">
      <text>
        <t>[Threaded comment]
Your version of Excel allows you to read this threaded comment; however, any edits to it will get removed if the file is opened in a newer version of Excel. Learn more: https://go.microsoft.com/fwlink/?linkid=870924
Comment:
    Non-Core</t>
      </text>
    </comment>
    <comment ref="C24" authorId="22" shapeId="0" xr:uid="{74A3A7F2-0727-4B40-B4FE-E791E918FD33}">
      <text>
        <t>[Threaded comment]
Your version of Excel allows you to read this threaded comment; however, any edits to it will get removed if the file is opened in a newer version of Excel. Learn more: https://go.microsoft.com/fwlink/?linkid=870924
Comment:
    Non-Core</t>
      </text>
    </comment>
    <comment ref="C25" authorId="23" shapeId="0" xr:uid="{5420D019-E0B5-4BB1-8205-FC72E8AAFB4C}">
      <text>
        <t>[Threaded comment]
Your version of Excel allows you to read this threaded comment; however, any edits to it will get removed if the file is opened in a newer version of Excel. Learn more: https://go.microsoft.com/fwlink/?linkid=870924
Comment:
    Non-Core</t>
      </text>
    </comment>
    <comment ref="C26" authorId="24" shapeId="0" xr:uid="{D6AABBDA-3E32-4B3C-88FC-F7BAE9747E52}">
      <text>
        <t>[Threaded comment]
Your version of Excel allows you to read this threaded comment; however, any edits to it will get removed if the file is opened in a newer version of Excel. Learn more: https://go.microsoft.com/fwlink/?linkid=870924
Comment:
    Non-Core</t>
      </text>
    </comment>
    <comment ref="C47" authorId="25" shapeId="0" xr:uid="{DD4F5FCA-8A72-4CCD-B4C9-C4425B8681CA}">
      <text>
        <t>[Threaded comment]
Your version of Excel allows you to read this threaded comment; however, any edits to it will get removed if the file is opened in a newer version of Excel. Learn more: https://go.microsoft.com/fwlink/?linkid=870924
Comment:
    Non-Core</t>
      </text>
    </comment>
    <comment ref="C48" authorId="26" shapeId="0" xr:uid="{47EFA323-751B-40C2-BCF1-022518DB5235}">
      <text>
        <t>[Threaded comment]
Your version of Excel allows you to read this threaded comment; however, any edits to it will get removed if the file is opened in a newer version of Excel. Learn more: https://go.microsoft.com/fwlink/?linkid=870924
Comment:
    Non-Core</t>
      </text>
    </comment>
    <comment ref="C49" authorId="27" shapeId="0" xr:uid="{AA0AB137-8361-4B28-B61D-13673827C368}">
      <text>
        <t>[Threaded comment]
Your version of Excel allows you to read this threaded comment; however, any edits to it will get removed if the file is opened in a newer version of Excel. Learn more: https://go.microsoft.com/fwlink/?linkid=870924
Comment:
    Non-Core</t>
      </text>
    </comment>
    <comment ref="C50" authorId="28" shapeId="0" xr:uid="{FF19C899-4429-4DB1-87D7-D6C68B9D8570}">
      <text>
        <t>[Threaded comment]
Your version of Excel allows you to read this threaded comment; however, any edits to it will get removed if the file is opened in a newer version of Excel. Learn more: https://go.microsoft.com/fwlink/?linkid=870924
Comment:
    Non-Core</t>
      </text>
    </comment>
    <comment ref="C51" authorId="29" shapeId="0" xr:uid="{A5E8A8F4-FE29-43D0-9F30-0CDD987CFD7A}">
      <text>
        <t>[Threaded comment]
Your version of Excel allows you to read this threaded comment; however, any edits to it will get removed if the file is opened in a newer version of Excel. Learn more: https://go.microsoft.com/fwlink/?linkid=870924
Comment:
    Non-Core</t>
      </text>
    </comment>
    <comment ref="C60" authorId="30" shapeId="0" xr:uid="{E5B7F633-5477-4863-AEFE-D1AFE5858D09}">
      <text>
        <t>[Threaded comment]
Your version of Excel allows you to read this threaded comment; however, any edits to it will get removed if the file is opened in a newer version of Excel. Learn more: https://go.microsoft.com/fwlink/?linkid=870924
Comment:
    Non-Core</t>
      </text>
    </comment>
    <comment ref="C61" authorId="31" shapeId="0" xr:uid="{E949CFAD-A658-4FAF-BB6C-42D82D09AB67}">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32" shapeId="0" xr:uid="{947A151A-6E03-483B-9B4D-13B49785D508}">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33" shapeId="0" xr:uid="{DC0499D3-26B8-44DC-A49B-F877D7EF3AA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34" shapeId="0" xr:uid="{8C25AEF3-5CC1-4427-B172-C199C6558471}">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tc={B5A249B4-42FE-4883-8628-56B5C65E1CAA}</author>
    <author>tc={451919F6-F39D-4FEF-A274-A6293C5D3C9F}</author>
    <author>tc={D777E566-FC57-496C-9173-3604830A94F2}</author>
    <author>tc={485846D0-B6C8-440D-ACA3-4BDB83956522}</author>
    <author>tc={602D43B4-1E5B-4129-9ECE-C00B2FBDC2FA}</author>
    <author>tc={93913568-E381-4805-8EEF-820971A5FDEA}</author>
    <author>tc={9813299D-B342-4F13-AFA1-6E61601F2AB4}</author>
    <author>tc={3AA8A912-20B2-490E-9169-A4679AFD4D49}</author>
    <author>tc={397BD02A-81C3-4C5C-A28D-00EAE453CAB1}</author>
    <author>tc={114EDD20-6E6C-48A3-A7B6-9EE534A02982}</author>
    <author>tc={AE8E9020-1626-4CE5-B4BC-99F3CA950ED1}</author>
    <author>tc={7ADCC647-3E10-4751-8720-6CB64EECC0E9}</author>
    <author>tc={97F88878-6C03-4CFA-A2B2-D40AC419B6F2}</author>
    <author>tc={D4D19B71-B8C2-4339-9E14-0B11383BD586}</author>
  </authors>
  <commentList>
    <comment ref="C22" authorId="0" shapeId="0" xr:uid="{B5A249B4-42FE-4883-8628-56B5C65E1CAA}">
      <text>
        <t>[Threaded comment]
Your version of Excel allows you to read this threaded comment; however, any edits to it will get removed if the file is opened in a newer version of Excel. Learn more: https://go.microsoft.com/fwlink/?linkid=870924
Comment:
    Non-Core</t>
      </text>
    </comment>
    <comment ref="C23" authorId="1" shapeId="0" xr:uid="{451919F6-F39D-4FEF-A274-A6293C5D3C9F}">
      <text>
        <t>[Threaded comment]
Your version of Excel allows you to read this threaded comment; however, any edits to it will get removed if the file is opened in a newer version of Excel. Learn more: https://go.microsoft.com/fwlink/?linkid=870924
Comment:
    Non-Core</t>
      </text>
    </comment>
    <comment ref="C24" authorId="2" shapeId="0" xr:uid="{D777E566-FC57-496C-9173-3604830A94F2}">
      <text>
        <t>[Threaded comment]
Your version of Excel allows you to read this threaded comment; however, any edits to it will get removed if the file is opened in a newer version of Excel. Learn more: https://go.microsoft.com/fwlink/?linkid=870924
Comment:
    Non-Core</t>
      </text>
    </comment>
    <comment ref="C25" authorId="3" shapeId="0" xr:uid="{485846D0-B6C8-440D-ACA3-4BDB83956522}">
      <text>
        <t>[Threaded comment]
Your version of Excel allows you to read this threaded comment; however, any edits to it will get removed if the file is opened in a newer version of Excel. Learn more: https://go.microsoft.com/fwlink/?linkid=870924
Comment:
    Non-Core</t>
      </text>
    </comment>
    <comment ref="C26" authorId="4" shapeId="0" xr:uid="{602D43B4-1E5B-4129-9ECE-C00B2FBDC2FA}">
      <text>
        <t>[Threaded comment]
Your version of Excel allows you to read this threaded comment; however, any edits to it will get removed if the file is opened in a newer version of Excel. Learn more: https://go.microsoft.com/fwlink/?linkid=870924
Comment:
    Non-Core</t>
      </text>
    </comment>
    <comment ref="C27" authorId="5" shapeId="0" xr:uid="{93913568-E381-4805-8EEF-820971A5FDEA}">
      <text>
        <t>[Threaded comment]
Your version of Excel allows you to read this threaded comment; however, any edits to it will get removed if the file is opened in a newer version of Excel. Learn more: https://go.microsoft.com/fwlink/?linkid=870924
Comment:
    Non-Core</t>
      </text>
    </comment>
    <comment ref="C28" authorId="6" shapeId="0" xr:uid="{9813299D-B342-4F13-AFA1-6E61601F2AB4}">
      <text>
        <t>[Threaded comment]
Your version of Excel allows you to read this threaded comment; however, any edits to it will get removed if the file is opened in a newer version of Excel. Learn more: https://go.microsoft.com/fwlink/?linkid=870924
Comment:
    Non-Core</t>
      </text>
    </comment>
    <comment ref="C29" authorId="7" shapeId="0" xr:uid="{3AA8A912-20B2-490E-9169-A4679AFD4D49}">
      <text>
        <t>[Threaded comment]
Your version of Excel allows you to read this threaded comment; however, any edits to it will get removed if the file is opened in a newer version of Excel. Learn more: https://go.microsoft.com/fwlink/?linkid=870924
Comment:
    Non-Core</t>
      </text>
    </comment>
    <comment ref="C30" authorId="8" shapeId="0" xr:uid="{397BD02A-81C3-4C5C-A28D-00EAE453CAB1}">
      <text>
        <t>[Threaded comment]
Your version of Excel allows you to read this threaded comment; however, any edits to it will get removed if the file is opened in a newer version of Excel. Learn more: https://go.microsoft.com/fwlink/?linkid=870924
Comment:
    Non-Core</t>
      </text>
    </comment>
    <comment ref="C31" authorId="9" shapeId="0" xr:uid="{114EDD20-6E6C-48A3-A7B6-9EE534A02982}">
      <text>
        <t>[Threaded comment]
Your version of Excel allows you to read this threaded comment; however, any edits to it will get removed if the file is opened in a newer version of Excel. Learn more: https://go.microsoft.com/fwlink/?linkid=870924
Comment:
    Non-Core</t>
      </text>
    </comment>
    <comment ref="C32" authorId="10" shapeId="0" xr:uid="{AE8E9020-1626-4CE5-B4BC-99F3CA950ED1}">
      <text>
        <t>[Threaded comment]
Your version of Excel allows you to read this threaded comment; however, any edits to it will get removed if the file is opened in a newer version of Excel. Learn more: https://go.microsoft.com/fwlink/?linkid=870924
Comment:
    Non-Core</t>
      </text>
    </comment>
    <comment ref="C33" authorId="11" shapeId="0" xr:uid="{7ADCC647-3E10-4751-8720-6CB64EECC0E9}">
      <text>
        <t>[Threaded comment]
Your version of Excel allows you to read this threaded comment; however, any edits to it will get removed if the file is opened in a newer version of Excel. Learn more: https://go.microsoft.com/fwlink/?linkid=870924
Comment:
    Non-Core</t>
      </text>
    </comment>
    <comment ref="C74" authorId="12" shapeId="0" xr:uid="{97F88878-6C03-4CFA-A2B2-D40AC419B6F2}">
      <text>
        <t>[Threaded comment]
Your version of Excel allows you to read this threaded comment; however, any edits to it will get removed if the file is opened in a newer version of Excel. Learn more: https://go.microsoft.com/fwlink/?linkid=870924
Comment:
    Non-Core</t>
      </text>
    </comment>
    <comment ref="C95" authorId="13" shapeId="0" xr:uid="{D4D19B71-B8C2-4339-9E14-0B11383BD586}">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tc={C5BF37AD-3E95-4418-95C5-FB03435B9DEF}</author>
    <author>tc={E1196394-B596-44A8-8431-DBB4D432D063}</author>
    <author>tc={F5B312C9-B3BD-4611-9E49-6E26844FFE63}</author>
    <author>tc={C581BF89-E035-4FEF-B6E8-8DF747A59515}</author>
    <author>tc={284FBAE3-B048-410D-BBAC-3E95CA7EDC2E}</author>
    <author>tc={28E93124-91CE-41F9-AB30-2938DC3D0AA8}</author>
    <author>tc={A2AE38E7-4C36-4298-864D-9D898B39BE8E}</author>
    <author>tc={63BA31B7-6C39-4810-8C87-3FEF3A2CD523}</author>
    <author>tc={C7017D41-1975-40EF-8557-F3306CB5BBD3}</author>
    <author>tc={1DCD84E6-A78E-4801-925F-4A18719696EB}</author>
    <author>tc={BBE1376A-91F6-4C7E-B091-F07A9B26246C}</author>
    <author>tc={64301852-54E7-40DC-8387-E4DA3C02899A}</author>
    <author>tc={EAACF529-9D78-4CE9-B678-611A3DC26C4F}</author>
    <author>tc={CCFE933D-4EF1-4F30-AABB-8AE47908A6A2}</author>
    <author>tc={1A385A9E-AA08-4C61-9226-97F5EB38C005}</author>
    <author>tc={BA46F8FA-707E-4770-858C-B9764803CE5C}</author>
  </authors>
  <commentList>
    <comment ref="C76" authorId="0" shapeId="0" xr:uid="{C5BF37AD-3E95-4418-95C5-FB03435B9DEF}">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E1196394-B596-44A8-8431-DBB4D432D063}">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F5B312C9-B3BD-4611-9E49-6E26844FFE63}">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C581BF89-E035-4FEF-B6E8-8DF747A59515}">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284FBAE3-B048-410D-BBAC-3E95CA7EDC2E}">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28E93124-91CE-41F9-AB30-2938DC3D0AA8}">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A2AE38E7-4C36-4298-864D-9D898B39BE8E}">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63BA31B7-6C39-4810-8C87-3FEF3A2CD523}">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C7017D41-1975-40EF-8557-F3306CB5BBD3}">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1DCD84E6-A78E-4801-925F-4A18719696EB}">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BBE1376A-91F6-4C7E-B091-F07A9B26246C}">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64301852-54E7-40DC-8387-E4DA3C02899A}">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ACF529-9D78-4CE9-B678-611A3DC26C4F}">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CCFE933D-4EF1-4F30-AABB-8AE47908A6A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1A385A9E-AA08-4C61-9226-97F5EB38C005}">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BA46F8FA-707E-4770-858C-B9764803CE5C}">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<sst xmlns="http://schemas.openxmlformats.org/spreadsheetml/2006/main" count="12623" uniqueCount="1848">
  <si>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</si>
  <si>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</si>
  <si>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</si>
  <si>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</si>
  <si>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</si>
  <si>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</si>
  <si>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</si>
  <si>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</si>
  <si>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</si>
  <si>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</si>
  <si>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</si>
  <si>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</si>
  <si>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</si>
  <si>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</si>
  <si>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</si>
  <si>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</si>
  <si>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</si>
  <si>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Y</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</si>
  <si>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</si>
  <si>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</si>
  <si>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</si>
  <si>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</si>
  <si>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/auth/token/v1/generate</t>
  </si>
  <si>
    <t>application/json</t>
  </si>
  <si>
    <t>1VjIqTcMCJ8tIv8bMpv9l9x01ebYQd88</t>
  </si>
  <si>
    <t>cnfKqb1Q53rmlS8HifRZf7zvtGZOSlUQ</t>
  </si>
  <si>
    <t>application/x-www-form-urlencoded</t>
  </si>
  <si>
    <t>send-funds.initiate</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</si>
  <si>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</si>
  <si>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</si>
  <si>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</si>
  <si>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</si>
  <si>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</si>
  <si>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</si>
  <si>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</si>
  <si>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</si>
  <si>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</si>
  <si>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</si>
  <si>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</si>
  <si>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</si>
  <si>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</si>
  <si>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</si>
  <si>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</si>
  <si>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</si>
  <si>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</si>
  <si>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</si>
  <si>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1042346954</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</si>
  <si>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</si>
  <si>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</si>
  <si>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</si>
  <si>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</si>
  <si>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</si>
  <si>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</si>
  <si>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</si>
  <si>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</si>
  <si>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Send POST Request with missing mandatory parameters</t>
  </si>
  <si>
    <t>Failed 400 (Bad Request)
Error details for missing fields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</si>
  <si>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</si>
  <si>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</si>
  <si>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</si>
  <si>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</si>
  <si>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</si>
  <si>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</si>
  <si>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</si>
  <si>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</si>
  <si>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</si>
  <si>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</si>
  <si>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</si>
  <si>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</si>
  <si>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</si>
  <si>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</si>
  <si>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</si>
  <si>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</si>
  <si>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t>
  </si>
  <si>
    <t>TS-EB-SB-PRODUCTS-0108: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</si>
  <si>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</si>
  <si>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</si>
  <si>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</si>
  <si>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</si>
  <si>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</si>
  <si>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</si>
  <si>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t>
  </si>
  <si>
    <t>TS-EB-SB-PRODUCTS-0110: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</si>
  <si>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</si>
  <si>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</si>
  <si>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</si>
  <si>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</si>
  <si>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</si>
  <si>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</si>
  <si>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</si>
  <si>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</si>
  <si>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</si>
  <si>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</si>
  <si>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</si>
  <si>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</si>
  <si>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</si>
  <si>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</si>
  <si>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</si>
  <si>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</si>
  <si>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</si>
  <si>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</si>
  <si>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</si>
  <si>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</si>
  <si>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IN_Channel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</si>
  <si>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</si>
  <si>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</si>
  <si>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</si>
  <si>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</si>
  <si>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</si>
  <si>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PESONET</t>
  </si>
  <si>
    <t>335214b6f3</t>
  </si>
  <si>
    <t>VRsRa0BBQoXgvhVVPLQhFFEPuxIJvB8n</t>
  </si>
  <si>
    <t>7902f971-6452-469f-85c5-b0d8379edf38</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</si>
  <si>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</si>
  <si>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</si>
  <si>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</si>
  <si>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</si>
  <si>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</si>
  <si>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</si>
  <si>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</si>
  <si>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</si>
  <si>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</si>
  <si>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</si>
  <si>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</si>
  <si>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</si>
  <si>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</si>
  <si>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</si>
  <si>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</si>
  <si>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</si>
  <si>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</si>
  <si>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</si>
  <si>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</si>
  <si>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</si>
  <si>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</si>
  <si>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</si>
  <si>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</si>
  <si>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</si>
  <si>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HTTP 400 Bad Request
Clear authentication error message (responseDescription)</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</si>
  <si>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</si>
  <si>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</si>
  <si>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</si>
  <si>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</si>
  <si>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</si>
  <si>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</si>
  <si>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</si>
  <si>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</si>
  <si>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</si>
  <si>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</si>
  <si>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</si>
  <si>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</si>
  <si>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</si>
  <si>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</si>
  <si>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</si>
  <si>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</si>
  <si>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</si>
  <si>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</si>
  <si>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</si>
  <si>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</si>
  <si>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</si>
  <si>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t>
  </si>
  <si>
    <t>TS-EB-SB-PRODUCTS-0101: Send Funds via Local Fund Transfer v1.0_Get Supported Banks and Wallets API_Verify response processsing time of failed GET request of Get Supported Banks and Wallets API</t>
  </si>
  <si>
    <t>Send Failed GET Request of Get Supported Banks and Wallets API. Check processing time.</t>
  </si>
  <si>
    <t>400/401/403 status with descriptive error message within ≤ 1 second</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</si>
  <si>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</si>
  <si>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</si>
  <si>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</si>
  <si>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</si>
  <si>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</si>
  <si>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</si>
  <si>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</si>
  <si>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</si>
  <si>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</si>
  <si>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</si>
  <si>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</si>
  <si>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</si>
  <si>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</si>
  <si>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</si>
  <si>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</si>
  <si>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</si>
  <si>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</si>
  <si>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</si>
  <si>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</si>
  <si>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</si>
  <si>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</si>
  <si>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</si>
  <si>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</si>
  <si>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</si>
  <si>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rFont val="Aptos Narrow"/>
        <family val="2"/>
      </rPr>
      <t xml:space="preserve">Response Body: </t>
    </r>
    <r>
      <rPr>
        <sz val="11"/>
        <color theme="1"/>
        <rFont val="Aptos Narrow"/>
        <family val="2"/>
        <scheme val="minor"/>
      </rPr>
      <t>apiTxnId</t>
    </r>
    <r>
      <rPr>
        <sz val="11"/>
        <color theme="1"/>
        <rFont val="Aptos Narrow"/>
        <family val="2"/>
        <scheme val="minor"/>
      </rPr>
      <t xml:space="preserve">apiTxnRef </t>
    </r>
    <r>
      <rPr>
        <sz val="11"/>
        <color theme="1"/>
        <rFont val="Aptos Narrow"/>
        <family val="2"/>
        <scheme val="minor"/>
      </rPr>
      <t>ewbCoreReference</t>
    </r>
    <r>
      <rPr>
        <sz val="11"/>
        <color theme="1"/>
        <rFont val="Aptos Narrow"/>
        <family val="2"/>
        <scheme val="minor"/>
      </rPr>
      <t>status = always "</t>
    </r>
    <r>
      <rPr>
        <sz val="11"/>
        <color theme="1"/>
        <rFont val="Aptos Narrow"/>
        <family val="2"/>
        <scheme val="minor"/>
      </rPr>
      <t>RECEIVED</t>
    </r>
    <r>
      <rPr>
        <sz val="11"/>
        <color theme="1"/>
        <rFont val="Aptos Narrow"/>
        <family val="2"/>
        <scheme val="minor"/>
      </rPr>
      <t>"</t>
    </r>
    <r>
      <rPr>
        <sz val="11"/>
        <color theme="1"/>
        <rFont val="Aptos Narrow"/>
        <family val="2"/>
        <scheme val="minor"/>
      </rPr>
      <t>responseCode</t>
    </r>
    <r>
      <rPr>
        <sz val="11"/>
        <color theme="1"/>
        <rFont val="Aptos Narrow"/>
        <family val="2"/>
        <scheme val="minor"/>
      </rPr>
      <t>responseDescription</t>
    </r>
    <r>
      <rPr>
        <sz val="11"/>
        <color theme="1"/>
        <rFont val="Aptos Narrow"/>
        <family val="2"/>
        <scheme val="minor"/>
      </rPr>
      <t>createdTimestamp</t>
    </r>
    <r>
      <rPr>
        <sz val="11"/>
        <color theme="1"/>
        <rFont val="Aptos Narrow"/>
        <family val="2"/>
        <scheme val="minor"/>
      </rPr>
      <t>updatedTimestamp</t>
    </r>
  </si>
  <si>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</si>
  <si>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</si>
  <si>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</si>
  <si>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</si>
  <si>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</si>
  <si>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</si>
  <si>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</si>
  <si>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</si>
  <si>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TS-EB-PRODUCTS-0195</t>
  </si>
  <si>
    <t>TS-EB-PRODUCTS-0195: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</si>
  <si>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</si>
  <si>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</si>
  <si>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</si>
  <si>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</si>
  <si>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</si>
  <si>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</si>
  <si>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</si>
  <si>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</si>
  <si>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</si>
  <si>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</si>
  <si>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</si>
  <si>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</si>
  <si>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</si>
  <si>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</si>
  <si>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</si>
  <si>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</si>
  <si>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</si>
  <si>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</si>
  <si>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</si>
  <si>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</si>
  <si>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</si>
  <si>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</si>
  <si>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</si>
  <si>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</si>
  <si>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</si>
  <si>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</si>
  <si>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</si>
  <si>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</si>
  <si>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</si>
  <si>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</si>
  <si>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</si>
  <si>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</si>
  <si>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</si>
  <si>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</si>
  <si>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</si>
  <si>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</si>
  <si>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</si>
  <si>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</si>
  <si>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</si>
  <si>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</si>
  <si>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</si>
  <si>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</si>
  <si>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</si>
  <si>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</si>
  <si>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</si>
  <si>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TS-EB-PRODUCTS-0262</t>
  </si>
  <si>
    <t>TS-EB-PRODUCTS-0262: Send Funds via Local Fund Transfer v1.0 _Check Local Funds Transfer Details and Status API_Verify successful GET request of Check Local Fund Transfer Details and Status API for InstaPay</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</si>
  <si>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</si>
  <si>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</si>
  <si>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</si>
  <si>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</si>
  <si>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</si>
  <si>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</si>
  <si>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</si>
  <si>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</si>
  <si>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</si>
  <si>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</si>
  <si>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</si>
  <si>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</si>
  <si>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</si>
  <si>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</si>
  <si>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</si>
  <si>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</si>
  <si>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</si>
  <si>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</si>
  <si>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</si>
  <si>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</si>
  <si>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</si>
  <si>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</si>
  <si>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</si>
  <si>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</si>
  <si>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</si>
  <si>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</si>
  <si>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</si>
  <si>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</si>
  <si>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</si>
  <si>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</si>
  <si>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</si>
  <si>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</si>
  <si>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</si>
  <si>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</si>
  <si>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</si>
  <si>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</si>
  <si>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</si>
  <si>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</si>
  <si>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</si>
  <si>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</si>
  <si>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</si>
  <si>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</si>
  <si>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</si>
  <si>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</si>
  <si>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</si>
  <si>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</si>
  <si>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</si>
  <si>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</si>
  <si>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</si>
  <si>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</si>
  <si>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</si>
  <si>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</si>
  <si>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</si>
  <si>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</si>
  <si>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</si>
  <si>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</si>
  <si>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</si>
  <si>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</si>
  <si>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</si>
  <si>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</si>
  <si>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</si>
  <si>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</si>
  <si>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</si>
  <si>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</si>
  <si>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</si>
  <si>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</si>
  <si>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</si>
  <si>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</si>
  <si>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</si>
  <si>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</si>
  <si>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</si>
  <si>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</si>
  <si>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</si>
  <si>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</si>
  <si>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</si>
  <si>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</si>
  <si>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</si>
  <si>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</si>
  <si>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</si>
  <si>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</si>
  <si>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</si>
  <si>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</si>
  <si>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</si>
  <si>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</si>
  <si>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</si>
  <si>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</si>
  <si>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</si>
  <si>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</si>
  <si>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</si>
  <si>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</si>
  <si>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</si>
  <si>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</si>
  <si>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</si>
  <si>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</si>
  <si>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</si>
  <si>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</si>
  <si>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</si>
  <si>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</si>
  <si>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</si>
  <si>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</si>
  <si>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</si>
  <si>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</si>
  <si>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</si>
  <si>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</si>
  <si>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</si>
  <si>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</si>
  <si>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</si>
  <si>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</si>
  <si>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</si>
  <si>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</si>
  <si>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</si>
  <si>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</si>
  <si>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</si>
  <si>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</si>
  <si>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</si>
  <si>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</si>
  <si>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</si>
  <si>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</si>
  <si>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</si>
  <si>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</si>
  <si>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</si>
  <si>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</si>
  <si>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</si>
  <si>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</si>
  <si>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</si>
  <si>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</si>
  <si>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</si>
  <si>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</si>
  <si>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</si>
  <si>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</si>
  <si>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</si>
  <si>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</si>
  <si>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</si>
  <si>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</si>
  <si>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</si>
  <si>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</si>
  <si>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</si>
  <si>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</si>
  <si>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</si>
  <si>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</si>
  <si>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</si>
  <si>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</si>
  <si>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</si>
  <si>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</si>
  <si>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</si>
  <si>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</si>
  <si>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</si>
  <si>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</si>
  <si>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</si>
  <si>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</si>
  <si>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TS-EB-SB-PRODUCTS-0008</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</si>
  <si>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</si>
  <si>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</si>
  <si>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</si>
  <si>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7902f971-6452-469f-85c5-b0d8379edf39</t>
  </si>
  <si>
    <t>INTRABANK</t>
  </si>
  <si>
    <t>Lorence Ecle</t>
  </si>
  <si>
    <t>EWBCPHMMXXX</t>
  </si>
  <si>
    <t>Pao Casipe</t>
  </si>
  <si>
    <t>203.0.113.42</t>
  </si>
  <si>
    <t>14.599500</t>
  </si>
  <si>
    <t>120.984200</t>
  </si>
  <si>
    <t>device-abc123</t>
  </si>
  <si>
    <t>AcmePayrollApp/2.1</t>
  </si>
  <si>
    <t>Philippines</t>
  </si>
  <si>
    <t>Desktop</t>
  </si>
  <si>
    <t>Mandaluyong</t>
  </si>
  <si>
    <t>TS-EB-SB-PRODUCTS-0009</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</si>
  <si>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</si>
  <si>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</si>
  <si>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EAWRPHM2XXX</t>
  </si>
  <si>
    <t>TS-EB-SB-PRODUCTS-0010</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</si>
  <si>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</si>
  <si>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</si>
  <si>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INSTAPAY</t>
  </si>
  <si>
    <t>CUOBPHM2XXX</t>
  </si>
  <si>
    <t>001080000029</t>
  </si>
  <si>
    <t>TS-EB-SB-PRODUCTS-0011</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</si>
  <si>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</si>
  <si>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</si>
  <si>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TS-EB-SB-PRODUCTS-0012_1</t>
  </si>
  <si>
    <t>Send POST Request of Send Funds via Local Fund Transfer using No Amount</t>
  </si>
  <si>
    <t>Failed Status 400 Bad Request</t>
  </si>
  <si>
    <t>TS-EB-SB-PRODUCTS-0012_2</t>
  </si>
  <si>
    <t>TS-EB-SB-PRODUCTS-0012_3</t>
  </si>
  <si>
    <t>TS-EB-SB-PRODUCTS-0012_4</t>
  </si>
  <si>
    <t>TS-EB-SB-PRODUCTS-0013_1</t>
  </si>
  <si>
    <t>Send POST Request of Send Funds via Local Fund Transfer without/missing Access Token</t>
  </si>
  <si>
    <t>Failed Status 401 Unauthorized</t>
  </si>
  <si>
    <t>TS-EB-SB-PRODUCTS-0013_2</t>
  </si>
  <si>
    <t>TS-EB-SB-PRODUCTS-0013_3</t>
  </si>
  <si>
    <t>TS-EB-SB-PRODUCTS-0013_4</t>
  </si>
  <si>
    <t>TS-EB-SB-PRODUCTS-0014</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</si>
  <si>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</si>
  <si>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</si>
  <si>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</si>
  <si>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</si>
  <si>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</si>
  <si>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</si>
  <si>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</si>
  <si>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</si>
  <si>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</si>
  <si>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Send POST Request of Send Funds via Local Fund Transfer via EWB to PESOnet using Not Registered as Client Owned Account - Source Account</t>
  </si>
  <si>
    <t>TS-EB-SB-PRODUCTS-0018</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</si>
  <si>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</si>
  <si>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</si>
  <si>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</si>
  <si>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Send POST Request of Send Funds via Local Fund Transfer via EWB to EWRB using Not Existing Source Account</t>
  </si>
  <si>
    <t>TS-EB-SB-PRODUCTS-0020</t>
  </si>
  <si>
    <t>Send POST Request of Send Funds via Local Fund Transfer via EWB to InstaPay using Not Existing Source Account</t>
  </si>
  <si>
    <t>TS-EB-SB-PRODUCTS-0021</t>
  </si>
  <si>
    <t>Send POST Request of Send Funds via Local Fund Transfer via EWB to PESONet using Not Existing Source Account</t>
  </si>
  <si>
    <t>TS-EB-SB-PRODUCTS-0034</t>
  </si>
  <si>
    <t>Send POST Request of Send Funds via Local Fund Transfer via EWB to EWB using Source Account Number with Exceeding to 20 characters</t>
  </si>
  <si>
    <t>Status: FAILED
responseCode: 400 Bad Request
responseDescription</t>
  </si>
  <si>
    <t>20006177790252356262629785</t>
  </si>
  <si>
    <t>TS-EB-SB-PRODUCTS-0035</t>
  </si>
  <si>
    <t>Send POST Request of Send Funds via Local Fund Transfer via EWB to EWRB using Source Account Number with Exceeding to 20 characters</t>
  </si>
  <si>
    <t>TS-EB-SB-PRODUCTS-0036</t>
  </si>
  <si>
    <t>Send POST Request of Send Funds via Local Fund Transfer via EWB to Instapay using Source Account Number with Exceeding to 20 characters</t>
  </si>
  <si>
    <t>TS-EB-SB-PRODUCTS-0037</t>
  </si>
  <si>
    <t>Send POST Request of Send Funds via Local Fund Transfer via EWB to PESONet using Source Account Number with Exceeding to 20 characters</t>
  </si>
  <si>
    <t>TS-EB-SB-PRODUCTS-0038</t>
  </si>
  <si>
    <t>Send POST Request of Send Funds via Local Fund Transfer via EWB to EWB using Source Account Number Fewer than 10 characters</t>
  </si>
  <si>
    <t>TS-EB-SB-PRODUCTS-0039</t>
  </si>
  <si>
    <t>Send POST Request of Send Funds via Local Fund Transfer via EWB to EWRB using Source Account Number Fewer than 10 characters</t>
  </si>
  <si>
    <t>TS-EB-SB-PRODUCTS-0040</t>
  </si>
  <si>
    <t>Send POST Request of Send Funds via Local Fund Transfer via EWB to InstaPay using Source Account Number Fewer than 10 characters</t>
  </si>
  <si>
    <t>TS-EB-SB-PRODUCTS-0041</t>
  </si>
  <si>
    <t>Send POST Request of Send Funds via Local Fund Transfer via EWB to PESONet using Source Account Number Fewer than 10 characters</t>
  </si>
  <si>
    <t>TS-EB-SB-PRODUCTS-0042</t>
  </si>
  <si>
    <t>Send POST Request of Send Funds via Local Fund Transfer via EWB to EWB using Source Account not linked to the provided to access token</t>
  </si>
  <si>
    <t>TS-EB-SB-PRODUCTS-0043</t>
  </si>
  <si>
    <t>Send POST Request of Send Funds via Local Fund Transfer via EWB to EWRB using Source Account not linked to the provided to access token</t>
  </si>
  <si>
    <t>TS-EB-SB-PRODUCTS-0044</t>
  </si>
  <si>
    <t>Send POST Request of Send Funds via Local Fund Transfer via EWB to InstaPay using Source Account not linked to the provided to access token</t>
  </si>
  <si>
    <t>TS-EB-SB-PRODUCTS-0045</t>
  </si>
  <si>
    <t>Send POST Request of Send Funds via Local Fund Transfer via EWB to PESONet using Source Account not linked to the provided to access token</t>
  </si>
  <si>
    <t>TS-EB-SB-PRODUCTS-0046</t>
  </si>
  <si>
    <t>Send POST Request of Send Funds via Local Fund Transfer via EWB to EWB using FDS Receiver Beneficiary Account</t>
  </si>
  <si>
    <t>TS-EB-SB-PRODUCTS-0047</t>
  </si>
  <si>
    <t>Send POST Request of Send Funds via Local Fund Transfer via EWB to EWrB using FDS Receiver Beneficiary Account</t>
  </si>
  <si>
    <t>TS-EB-SB-PRODUCTS-0048</t>
  </si>
  <si>
    <t>Send POST Request of Send Funds via Local Fund Transfer via EWB to InstaPay using FDS Receiver Beneficiary Account</t>
  </si>
  <si>
    <t>TS-EB-SB-PRODUCTS-0049</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</si>
  <si>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</si>
  <si>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</si>
  <si>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</si>
  <si>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Send POST Request of Send Funds via Local Fund Transfer via EWB to EWB using proper Required Body Parameters</t>
  </si>
  <si>
    <t>API returns HTTP 200 OK</t>
  </si>
  <si>
    <t>TS-EB-SB-PRODUCTS-0051</t>
  </si>
  <si>
    <t>Send POST Request of Send Funds via Local Fund Transfer via EWB to EWRB using proper Required Body Parameters</t>
  </si>
  <si>
    <t>TS-EB-SB-PRODUCTS-0052</t>
  </si>
  <si>
    <t>Send POST Request of Send Funds via Local Fund Transfer via EWB to InstaPay using proper Required Body Parameters</t>
  </si>
  <si>
    <t>TS-EB-SB-PRODUCTS-0053</t>
  </si>
  <si>
    <t>Send POST Request of Send Funds via Local Fund Transfer via EWB to PESONet using proper Required Body Parameters</t>
  </si>
  <si>
    <t>TS-EB-SB-PRODUCTS-0054</t>
  </si>
  <si>
    <t>Send POST Request of Send Funds via Local Fund Transfer via EWB to EWB using invalid values on Required Body Parameters</t>
  </si>
  <si>
    <t>TS-EB-SB-PRODUCTS-0055</t>
  </si>
  <si>
    <t>Send POST Request of Send Funds via Local Fund Transfer via EWB to EWRB using invalid values on Required Body Parameters</t>
  </si>
  <si>
    <t>TS-EB-SB-PRODUCTS-0056</t>
  </si>
  <si>
    <t>Send POST Request of Send Funds via Local Fund Transfer via EWB to InstaPay using invalid values on Required Body Parameters</t>
  </si>
  <si>
    <t>TS-EB-SB-PRODUCTS-0057</t>
  </si>
  <si>
    <t>Send POST Request of Send Funds via Local Fund Transfer via EWB to PESONet using invalid values on Required Body Parameters</t>
  </si>
  <si>
    <t>TS-EB-SB-PRODUCTS-0058</t>
  </si>
  <si>
    <t>Send POST Request of Send Funds via Local Fund Transfer via EWB to EWB using valid values on Not Required Body Parameters</t>
  </si>
  <si>
    <t>TS-EB-SB-PRODUCTS-0059</t>
  </si>
  <si>
    <t>Send POST Request of Send Funds via Local Fund Transfer via EWB to EWRB using valid values on Not Required Body Parameters</t>
  </si>
  <si>
    <t>TS-EB-SB-PRODUCTS-0060</t>
  </si>
  <si>
    <t>Send POST Request of Send Funds via Local Fund Transfer via EWB to InstaPay using valid values on Not Required Body Parameters</t>
  </si>
  <si>
    <t>TS-EB-SB-PRODUCTS-0061</t>
  </si>
  <si>
    <t>Send POST Request of Send Funds via Local Fund Transfer via EWB to PESONet using valid values on Not Required Body Parameters</t>
  </si>
  <si>
    <t>TS-EB-SB-PRODUCTS-0062</t>
  </si>
  <si>
    <t>Send POST Request of Send Funds via Local Fund Transfer via EWB to EWB using invalid values on Not Required Body Parameters</t>
  </si>
  <si>
    <t>TS-EB-SB-PRODUCTS-0063</t>
  </si>
  <si>
    <t>Send POST Request of Send Funds via Local Fund Transfer via EWB to EWRB using invalid values on Not Required Body Parameters</t>
  </si>
  <si>
    <t>TS-EB-SB-PRODUCTS-0064</t>
  </si>
  <si>
    <t>Send POST Request of Send Funds via Local Fund Transfer via EWB to InstaPay using invalid values on Not Required Body Parameters</t>
  </si>
  <si>
    <t>TS-EB-SB-PRODUCTS-0065</t>
  </si>
  <si>
    <t>Send POST Request of Send Funds via Local Fund Transfer via EWB to PESONet using invalid values on Not Required Body Parameters</t>
  </si>
  <si>
    <t>TS-EB-SB-PRODUCTS-0066_1</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</si>
  <si>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</si>
  <si>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</si>
  <si>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</si>
  <si>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TS-EB-SB-PRODUCTS-0066_3</t>
  </si>
  <si>
    <t>TS-EB-SB-PRODUCTS-0066_4</t>
  </si>
  <si>
    <t>TS-EB-SB-PRODUCTS-0067_1</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</si>
  <si>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</si>
  <si>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</si>
  <si>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</si>
  <si>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TS-EB-SB-PRODUCTS-0067_3</t>
  </si>
  <si>
    <t>TS-EB-SB-PRODUCTS-0067_4</t>
  </si>
  <si>
    <t>TS-EB-SB-PRODUCTS-0069_1</t>
  </si>
  <si>
    <t>Send POST Request of valid Send Funds Local Fund Transfer via Intrabank</t>
  </si>
  <si>
    <t>apitxnID and apitxnRef are visible with correct formats in the Response Body</t>
  </si>
  <si>
    <t>TS-EB-SB-PRODUCTS-0069_2</t>
  </si>
  <si>
    <t>TS-EB-SB-PRODUCTS-0070</t>
  </si>
  <si>
    <t>Send POST Request of valid Send Funds Local Fund Transfer via InstaPay</t>
  </si>
  <si>
    <t>TS-EB-SB-PRODUCTS-0071</t>
  </si>
  <si>
    <t>Send POST Request of valid Send Funds Local Fund Transfer via PESONet</t>
  </si>
  <si>
    <t>TS-EB-SB-PRODUCTS-0072_1</t>
  </si>
  <si>
    <t>TS-EB-SB-PRODUCTS-0072_2</t>
  </si>
  <si>
    <t>API Portal generates internal apiTxnId (Up to 36 digits (BIGINT) auto-increment primary key).</t>
  </si>
  <si>
    <t>TS-EB-SB-PRODUCTS-0073</t>
  </si>
  <si>
    <t>TS-EB-SB-PRODUCTS-0074</t>
  </si>
  <si>
    <t>TS-EB-SB-PRODUCTS-0075_1</t>
  </si>
  <si>
    <t>apiTxnRef is correctly constructed 23 digits (Application-ID + Product-ID + Idempotency-Key + wildcard)</t>
  </si>
  <si>
    <t>TS-EB-SB-PRODUCTS-0075_2</t>
  </si>
  <si>
    <t>TS-EB-SB-PRODUCTS-0076</t>
  </si>
  <si>
    <t>TS-EB-SB-PRODUCTS-0077</t>
  </si>
  <si>
    <t>TS-EB-SB-PRODUCTS-0078_1</t>
  </si>
  <si>
    <t>apiTxnRef is propagated to downstream systems, payment rails, logs, reconciliation files, and audit trails.</t>
  </si>
  <si>
    <t>TS-EB-SB-PRODUCTS-0078_2</t>
  </si>
  <si>
    <t>TS-EB-SB-PRODUCTS-0079</t>
  </si>
  <si>
    <t>TS-EB-SB-PRODUCTS-0080</t>
  </si>
  <si>
    <t>TS-EB-SB-PRODUCTS-0081_1</t>
  </si>
  <si>
    <t>Send POST Request of valid Send Funds Local Fund Transfer via Intrabank/InstaPay/PESONet</t>
  </si>
  <si>
    <t>TS-EB-SB-PRODUCTS-0081_2</t>
  </si>
  <si>
    <t>TS-EB-SB-PRODUCTS-0081_3</t>
  </si>
  <si>
    <t>TS-EB-SB-PRODUCTS-0081_4</t>
  </si>
  <si>
    <t>TS-EB-SB-PRODUCTS-0083_1</t>
  </si>
  <si>
    <t>TS-EB-SB-PRODUCTS-0083_2</t>
  </si>
  <si>
    <t>TS-EB-SB-PRODUCTS-0083_3</t>
  </si>
  <si>
    <t>TS-EB-SB-PRODUCTS-0083_4</t>
  </si>
  <si>
    <t>TS-EB-SB-PRODUCTS-0084_1</t>
  </si>
  <si>
    <t>Send POST Request of valid Send Funds Local Fund Transfer via Intrabank/Instapay/PESONet</t>
  </si>
  <si>
    <t>TS-EB-SB-PRODUCTS-0084_2</t>
  </si>
  <si>
    <t>TS-EB-SB-PRODUCTS-0084_3</t>
  </si>
  <si>
    <t>TS-EB-SB-PRODUCTS-0084_4</t>
  </si>
  <si>
    <t>TS-EB-SB-PRODUCTS-0085_1</t>
  </si>
  <si>
    <t>Resend Successful POST Request of Send Funds Local Fund Transfer via Intrabank/Instapay/PESONet using same idempotency key</t>
  </si>
  <si>
    <t>TS-EB-SB-PRODUCTS-0085_2</t>
  </si>
  <si>
    <t>TS-EB-SB-PRODUCTS-0085_3</t>
  </si>
  <si>
    <t>TS-EB-SB-PRODUCTS-0085_4</t>
  </si>
  <si>
    <t>TS-EB-SB-PRODUCTS-0086_1</t>
  </si>
  <si>
    <t>Resend Failed POST Request of Send Funds Local Fund Transfer via Intrabank/Instapay/PESONet using same idempotency key with a different payload.</t>
  </si>
  <si>
    <t>TS-EB-SB-PRODUCTS-0086_2</t>
  </si>
  <si>
    <t>TS-EB-SB-PRODUCTS-0086_3</t>
  </si>
  <si>
    <t>TS-EB-SB-PRODUCTS-0086_4</t>
  </si>
  <si>
    <t>TS-EB-SB-PRODUCTS-0087_1</t>
  </si>
  <si>
    <t>Resend Successful POST Request of Send Funds Local Fund Transfer via Intrabank/Instapay/PESONet using same idempotency key of already completed transaction</t>
  </si>
  <si>
    <t>TS-EB-SB-PRODUCTS-0087_2</t>
  </si>
  <si>
    <t>TS-EB-SB-PRODUCTS-0087_3</t>
  </si>
  <si>
    <t>TS-EB-SB-PRODUCTS-0087_4</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</si>
  <si>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</si>
  <si>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</si>
  <si>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</si>
  <si>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</si>
  <si>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</si>
  <si>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</si>
  <si>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</si>
  <si>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</si>
  <si>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</si>
  <si>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TS-EB-PRODUCTS-0004: Account Authentication via Access Token v1.0_Generate Account Access Token API_Verify API Call without Valid Account Access Token</t>
  </si>
  <si>
    <t>TS-EB-PRODUCTS-0005</t>
  </si>
  <si>
    <t>TS-EB-PRODUCTS-0005: Account Authentication via Access Token v1.0_Generate Account Access Token API_Verify API Call using malformed Account Access Token</t>
  </si>
  <si>
    <t>TS-EB-PRODUCTS-0320</t>
  </si>
  <si>
    <t>TS-EB-PRODUCTS-0320: Send Funds via Local Fund Transfer v1.0 _Get Supported Banks and Wallets API_Verify successful GET request of Get Supported Banks and Wallets API</t>
  </si>
  <si>
    <t>TS-EB-PRODUCTS-0321</t>
  </si>
  <si>
    <t>TS-EB-PRODUCTS-0321: Send Funds via Local Fund Transfer v1.0 _Get Supported Banks and Wallets API_Verify when Optional field "Transfer Network" (channel) is not provided to filter Financial Institutions</t>
  </si>
  <si>
    <t>TS-EB-PRODUCTS-0322</t>
  </si>
  <si>
    <t>TS-EB-PRODUCTS-0322: Send Funds via Local Fund Transfer v1.0 _Get Supported Banks and Wallets API_Verify when the “Transfer Network” (channel) is set to Instapay, the API returns only Financial Institutions that support Instapay transfers</t>
  </si>
  <si>
    <t>TS-EB-PRODUCTS-0323</t>
  </si>
  <si>
    <t>TS-EB-PRODUCTS-0323: Send Funds via Local Fund Transfer v1.0 _Get Supported Banks and Wallets API_Verify when the “Transfer Network” (channel) is set to PESONet, the API returns only Financial Institutions that support PESONet transfers</t>
  </si>
  <si>
    <t>TS-EB-PRODUCTS-0324</t>
  </si>
  <si>
    <t>TS-EB-PRODUCTS-0324: Send Funds via Local Fund Transfer v1.0 _Get Supported Banks and Wallets API_Verify when the “Transfer Network” (channel) is set to specific and API returns only Financial Institutions that support both transfers</t>
  </si>
  <si>
    <t>TS-EB-PRODUCTS-0325</t>
  </si>
  <si>
    <t>TS-EB-PRODUCTS-0325: Send Funds via Local Fund Transfer v1.0 _Get Supported Banks and Wallets API_Verify failed GET request when an unsupported channel value is provided</t>
  </si>
  <si>
    <t>HTTP 500 Internal Server Error
Clear error message indicating invalid or unsupported channel value
(e.g., channel=ABC) (responseDescription)</t>
  </si>
  <si>
    <t>TS-EB-PRODUCTS-0326</t>
  </si>
  <si>
    <t>TS-EB-PRODUCTS-0326: Send Funds via Local Fund Transfer v1.0_Get Supported Banks and Wallets API_Verify failed GET request when api-key is null/missing</t>
  </si>
  <si>
    <t>TS-EB-PRODUCTS-0327</t>
  </si>
  <si>
    <t>TS-EB-PRODUCTS-0327: Send Funds via Local Fund Transfer v1.0_Get Supported Banks and Wallets API_Verify failed GET request when partnerID is null/missing</t>
  </si>
  <si>
    <t>TS-EB-PRODUCTS-0328</t>
  </si>
  <si>
    <t>TS-EB-PRODUCTS-0328: Send Funds via Local Fund Transfer v1.0_Get Supported Banks and Wallets API_Verify failed GET request when api-key is incorrect</t>
  </si>
  <si>
    <t>TS-EB-PRODUCTS-0329</t>
  </si>
  <si>
    <t>TS-EB-PRODUCTS-0329: Send Funds via Local Fund Transfer v1.0_Get Supported Banks and Wallets API_Verify failed GET request when partnerid is incorrect</t>
  </si>
  <si>
    <t>TS-EB-PRODUCTS-0330</t>
  </si>
  <si>
    <t>TS-EB-PRODUCTS-0330: Send Funds via Local Fund Transfer v1.0_Get Supported Banks and Wallets API_Verify failed GET request when application is not subscribed to the API product</t>
  </si>
  <si>
    <t>TS-EB-PRODUCTS-0331</t>
  </si>
  <si>
    <t>TS-EB-PRODUCTS-0331: Send Funds via Local Fund Transfer v1.0_Get Supported Banks and Wallets API_Verify disabled institutions are clearly indicated and not misrepresented as available</t>
  </si>
  <si>
    <t>TS-EB-PRODUCTS-0332</t>
  </si>
  <si>
    <t>TS-EB-PRODUCTS-0332: Send Funds via Local Fund Transfer v1.0_Get Supported Banks and Wallets API_Verify response processsing time of successful GET request of Get Supported Banks and Wallets API</t>
  </si>
  <si>
    <t>TS-EB-PRODUCTS-0333</t>
  </si>
  <si>
    <t>TS-EB-PRODUCTS-0333: Send Funds via Local Fund Transfer v1.0_Get Supported Banks and Wallets API_Verify response processsing time of failed GET request of Get Supported Banks and Wallets API</t>
  </si>
  <si>
    <t>IN_APITxnID</t>
  </si>
  <si>
    <t>IN_APITxnRef</t>
  </si>
  <si>
    <t>281090c6e2</t>
  </si>
  <si>
    <t>KPEgf6fjIHDaT0HByFjWD49cQWdphJMM</t>
  </si>
  <si>
    <t>f657904f-0b89-4872-8605-4d602343866d</t>
  </si>
  <si>
    <t>404,400</t>
  </si>
  <si>
    <t>401,403</t>
  </si>
  <si>
    <t>400,403</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</si>
  <si>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</si>
  <si>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</si>
  <si>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</si>
  <si>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</si>
  <si>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</si>
  <si>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</si>
  <si>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TS-EB-LIVE-PRODUCTS-0007: Account Authentication via Access Token v1.0_Generate Account Access Token API_Token used with different Partner-ID</t>
  </si>
  <si>
    <t>TS-EB-LIVE-PRODUCTS-0257</t>
  </si>
  <si>
    <t>TS-EB-LIVE-PRODUCTS-0257: Send Funds via Local Fund Transfer v1.0 _Get Supported Banks and Wallets API_Verify successful GET request of Get Supported Banks and Wallets API</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</si>
  <si>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</si>
  <si>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</si>
  <si>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</si>
  <si>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</si>
  <si>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TS-EB-LIVE-PRODUCTS-0260</t>
  </si>
  <si>
    <t>TS-EB-LIVE-PRODUCTS-0260: Send Funds via Local Fund Transfer v1.0 _Get Supported Banks and Wallets API_Verify when the “Transfer Network” (channel) is set to PESONet, the API returns only Financial Institutions that support PESONet transfers</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</si>
  <si>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</si>
  <si>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</si>
  <si>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</si>
  <si>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</si>
  <si>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</si>
  <si>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</si>
  <si>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</si>
  <si>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</si>
  <si>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</si>
  <si>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</si>
  <si>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TS-EB-LIVE-PRODUCTS-0266</t>
  </si>
  <si>
    <t>TS-EB-LIVE-PRODUCTS-0266: Send Funds via Local Fund Transfer v1.0_Get Supported Banks and Wallets API_Verify failed GET request when partnerid is incorrect</t>
  </si>
  <si>
    <t>TS-EB-LIVE-PRODUCTS-0267</t>
  </si>
  <si>
    <t>TS-EB-LIVE-PRODUCTS-0267: Send Funds via Local Fund Transfer v1.0_Get Supported Banks and Wallets API_Verify failed GET request when application is not subscribed to the API product</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</si>
  <si>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</si>
  <si>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</si>
  <si>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</si>
  <si>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</si>
  <si>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TS-EB-SB-PRODUCTS-0270</t>
  </si>
  <si>
    <t>TS-EB-LIVE-PRODUCTS-0270: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</si>
  <si>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</si>
  <si>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</si>
  <si>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</si>
  <si>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</si>
  <si>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</si>
  <si>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</si>
  <si>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</si>
  <si>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</si>
  <si>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</si>
  <si>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</si>
  <si>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</si>
  <si>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</si>
  <si>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</si>
  <si>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</si>
  <si>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</si>
  <si>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</si>
  <si>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</si>
  <si>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</si>
  <si>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</si>
  <si>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</si>
  <si>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</si>
  <si>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</si>
  <si>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</si>
  <si>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</si>
  <si>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</si>
  <si>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</si>
  <si>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</si>
  <si>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</si>
  <si>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</si>
  <si>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</si>
  <si>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</si>
  <si>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</si>
  <si>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</si>
  <si>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</si>
  <si>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</si>
  <si>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</si>
  <si>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</si>
  <si>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</si>
  <si>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</si>
  <si>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</si>
  <si>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</si>
  <si>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</si>
  <si>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</si>
  <si>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</si>
  <si>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</si>
  <si>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</si>
  <si>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</si>
  <si>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</si>
  <si>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</si>
  <si>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</si>
  <si>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TS-EB-LIVE-PRODUCTS-0224: Send Funds via Local Fund Transfer v1.0 _Check Local Funds Transfer Details and Status API_Verify failed GET request of Check Local Fund Transfer Details and Status API due to invalid partner-id parameters via InstaPay transfer</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</si>
  <si>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</si>
  <si>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</si>
  <si>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</si>
  <si>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</si>
  <si>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</si>
  <si>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</si>
  <si>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</si>
  <si>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</si>
  <si>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</si>
  <si>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</si>
  <si>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</si>
  <si>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</si>
  <si>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</si>
  <si>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</si>
  <si>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</si>
  <si>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</si>
  <si>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</si>
  <si>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</si>
  <si>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</si>
  <si>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</si>
  <si>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</si>
  <si>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</si>
  <si>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</si>
  <si>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</si>
  <si>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</si>
  <si>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</si>
  <si>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</si>
  <si>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</si>
  <si>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</si>
  <si>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</si>
  <si>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</si>
  <si>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</si>
  <si>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</si>
  <si>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</si>
  <si>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</si>
  <si>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</si>
  <si>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</si>
  <si>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</si>
  <si>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</si>
  <si>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</si>
  <si>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</si>
  <si>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</si>
  <si>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</si>
  <si>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</si>
  <si>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</si>
  <si>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</si>
  <si>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</si>
  <si>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</si>
  <si>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</si>
  <si>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</si>
  <si>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</si>
  <si>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</si>
  <si>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</si>
  <si>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</si>
  <si>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</si>
  <si>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</si>
  <si>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</si>
  <si>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</si>
  <si>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</si>
  <si>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</si>
  <si>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</si>
  <si>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</si>
  <si>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</si>
  <si>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</si>
  <si>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</si>
  <si>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</si>
  <si>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</si>
  <si>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</si>
  <si>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</si>
  <si>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</si>
  <si>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</si>
  <si>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</si>
  <si>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</si>
  <si>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</si>
  <si>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</si>
  <si>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</si>
  <si>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</si>
  <si>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</si>
  <si>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</si>
  <si>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</si>
  <si>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</si>
  <si>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</si>
  <si>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</si>
  <si>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</si>
  <si>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</si>
  <si>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</si>
  <si>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</si>
  <si>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</si>
  <si>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IN_EndPointBearer</t>
  </si>
  <si>
    <t>GsG5c0UhuhXUPj4XlY8G1kcjKioiFrqI</t>
  </si>
  <si>
    <t>TS-EB-SB-PRODUCTS-0008-Verify Successful initiation of a Local funds transfer via Intrabank (EWB to EWB)</t>
  </si>
  <si>
    <t>TS-EB-SB-PRODUCTS-0009-Verify Successful initiation of a Local funds transfer via Intrabank (EWB to EWRB)</t>
  </si>
  <si>
    <t>TS-EB-SB-PRODUCTS-0010-Verify Successful initiation of a local funds transfer via InstaPay</t>
  </si>
  <si>
    <t>TS-EB-SB-PRODUCTS-0011-Verify Successful initiation of a local funds transfer via PESONet</t>
  </si>
  <si>
    <t>TS-EB-SB-PRODUCTS-0012_1-Transfer with No Amount</t>
  </si>
  <si>
    <t>TS-EB-SB-PRODUCTS-0012_2-Transfer with No Amount</t>
  </si>
  <si>
    <t>TS-EB-SB-PRODUCTS-0012_3-Transfer with No Amount</t>
  </si>
  <si>
    <t>TS-EB-SB-PRODUCTS-0012_4-Transfer with No Amount</t>
  </si>
  <si>
    <t>TS-EB-SB-PRODUCTS-0013_1-Verify if Missing Access Token is use in Local Fund Transfer</t>
  </si>
  <si>
    <t>TS-EB-SB-PRODUCTS-0013_2-Verify if Missing Access Token is use in Local Fund Transfer</t>
  </si>
  <si>
    <t>TS-EB-SB-PRODUCTS-0013_3-Verify if Missing Access Token is use in Local Fund Transfer</t>
  </si>
  <si>
    <t>TS-EB-SB-PRODUCTS-0013_4-Verify if Missing Access Token is use in Local Fund Transfer</t>
  </si>
  <si>
    <t>TS-EB-SB-PRODUCTS-0014-Verify Local Fund Transfer if Source Account is Not Registered as Client Owned Account - Source Account via EWB to EWB</t>
  </si>
  <si>
    <t>TS-EB-SB-PRODUCTS-0015-Verify Local Fund Transfer if Source Account is Not Registered as Client Owned Account - Source Account via EWB to EWRB</t>
  </si>
  <si>
    <t>TS-EB-SB-PRODUCTS-0016-Verify Local Fund Transfer if Source Account is Not Registered as Client Owned Account - Source Account via EWB to InstaPay</t>
  </si>
  <si>
    <t>TS-EB-SB-PRODUCTS-0017-Verify Local Fund Transfer if Source Account is Not Registered as Client Owned Account - Source Account via EWB to PESONet</t>
  </si>
  <si>
    <t>TS-EB-SB-PRODUCTS-0018-Verify Initiation of Local Funds Transfer with Non-Existing Source Account via EWB to EWB</t>
  </si>
  <si>
    <t>TS-EB-SB-PRODUCTS-0019-Verify Initiation of Local Funds Transfer with Non-Existing Source Account via EWB to EWRB</t>
  </si>
  <si>
    <t>TS-EB-SB-PRODUCTS-0020-Verify Initiation of Local Funds Transfer with Non-Existing Source Account via EWB to InstaPay</t>
  </si>
  <si>
    <t>TS-EB-SB-PRODUCTS-0021-Verify Initiation of Local Funds Transfer with Non-Existing Source Account via EWB to PESONet</t>
  </si>
  <si>
    <t>TS-EB-SB-PRODUCTS-0034-Verify Initiation of Local Funds Transfer via EWB to EWB with Source Account with Exceeding to 20 characters</t>
  </si>
  <si>
    <t>TS-EB-SB-PRODUCTS-0035-Verify Initiation of Local Funds Transfer via EWB to EWRB with Source Account with Exceeding to 20 characters</t>
  </si>
  <si>
    <t>TS-EB-SB-PRODUCTS-0036-Verify Initiation of Local Funds Transfer via EWB to InstaPaywith Source Account with Exceeding to 20 characters</t>
  </si>
  <si>
    <t>TS-EB-SB-PRODUCTS-0037-Verify Initiation of Local Funds Transfer via EWB to PESONet with Source Account with Exceeding to 20 characters</t>
  </si>
  <si>
    <t>TS-EB-SB-PRODUCTS-0038-Verify Initiation of Local Funds Transfer via EWB to EWB with Source Account Fewer than 10 characters</t>
  </si>
  <si>
    <t>TS-EB-SB-PRODUCTS-0039-Verify Initiation of Local Funds Transfer via EWB to EWRB with Source Account Fewer than 10 characters</t>
  </si>
  <si>
    <t>TS-EB-SB-PRODUCTS-0040-Verify Initiation of Local Funds Transfer via EWB to InstaPay with Source Account Fewer than 10 characters</t>
  </si>
  <si>
    <t>TS-EB-SB-PRODUCTS-0041-Verify Initiation of Local Funds Transfer via EWB to PESONet with Source Account Fewer than 10 characters</t>
  </si>
  <si>
    <t>TS-EB-SB-PRODUCTS-0042-Verify Initiation of Local Funds Transfer via EWB to EWB with Source Account not linked to provided access token</t>
  </si>
  <si>
    <t>TS-EB-SB-PRODUCTS-0043-Verify Initiation of Local Funds Transfer via EWB to EWRB with Source Account not linked to provided access token</t>
  </si>
  <si>
    <t>TS-EB-SB-PRODUCTS-0044-Verify Initiation of Local Funds Transfer via EWB to InstaPay with Source Account not linked to provided access token</t>
  </si>
  <si>
    <t>TS-EB-SB-PRODUCTS-0045-Verify Initiation of Local Funds Transfer via EWB to PESONet with Source Account not linked to provided access token</t>
  </si>
  <si>
    <t>TS-EB-SB-PRODUCTS-0046-Verify Initiation of Local Funds Transfer via EWB to EWB with FDS Receiver Beneficiary Account</t>
  </si>
  <si>
    <t>TS-EB-SB-PRODUCTS-0047-Verify Initiation of Local Funds Transfer via EWB to EWRB with FDS Receiver Beneficiary Account</t>
  </si>
  <si>
    <t>TS-EB-SB-PRODUCTS-0048-Verify Initiation of Local Funds Transfer via EWB to InstaPay with FDS Receiver Beneficiary Account</t>
  </si>
  <si>
    <t>TS-EB-SB-PRODUCTS-0049-Verify Initiation of Local Funds Transfer via EWB to PESONet with FDS Receiver Beneficiary Account</t>
  </si>
  <si>
    <t>TS-EB-SB-PRODUCTS-0050-Validate that all required body parameters are present and correctly formatted as per API specification via EWB to EWB</t>
  </si>
  <si>
    <t>TS-EB-SB-PRODUCTS-0051-Validate that all required body parameters are present and correctly formatted as per API specification via EWB to EWRB</t>
  </si>
  <si>
    <t>TS-EB-SB-PRODUCTS-0052-Validate that all required body parameters are present and correctly formatted as per API specification via EWB to InstaPay</t>
  </si>
  <si>
    <t>TS-EB-SB-PRODUCTS-0053-Validate that all required body parameters are present and correctly formatted as per API specification via EWB to PESONet</t>
  </si>
  <si>
    <t>TS-EB-SB-PRODUCTS-0054-Verify if required body parameters validation/notes are enforced as per API specification via EWB to EWB upon using invalid values</t>
  </si>
  <si>
    <t>TS-EB-SB-PRODUCTS-0055-Verify if required body parameters validation/notes are enforced as per API specification via EWB to EWRB upon using invalid values</t>
  </si>
  <si>
    <t>TS-EB-SB-PRODUCTS-0056-Verify if required body parameters validation/notes are enforced as per API specification via EWB to InstaPay upon using invalid values</t>
  </si>
  <si>
    <t>TS-EB-SB-PRODUCTS-0057-Verify if required body parameters validation/notes are enforced as per API specification via EWB to PESONet upon using invalid values</t>
  </si>
  <si>
    <t>TS-EB-SB-PRODUCTS-0058-Validate that all Not Required body parameters are present and correctly formatted as per API specification via EWB to EWB</t>
  </si>
  <si>
    <t>TS-EB-SB-PRODUCTS-0059-Validate that all optional body parameters are present and correctly formatted as per API specification via EWB to EWRB</t>
  </si>
  <si>
    <t>TS-EB-SB-PRODUCTS-0060-Validate that all optional body parameters are present and correctly formatted as per API specification via EWB to InstaPay</t>
  </si>
  <si>
    <t>TS-EB-SB-PRODUCTS-0061-Validate that all optional body parameters are present and correctly formatted as per API specification via EWB to PESONet</t>
  </si>
  <si>
    <t>TS-EB-SB-PRODUCTS-0062-Validate that all optional body parameters are present and correctly formatted as per API specification via EWB to EWB</t>
  </si>
  <si>
    <t>TS-EB-SB-PRODUCTS-0063-Verify if not required body parameters validation/notes are enforced as per API specification via EWB to EWRB upon using invalid values</t>
  </si>
  <si>
    <t>TS-EB-SB-PRODUCTS-0064-Verify if not required body parameters validation/notes are enforced as per API specification via EWB to InstaPay upon using invalid values</t>
  </si>
  <si>
    <t>TS-EB-SB-PRODUCTS-0065-Verify if not required body parameters validation/notes are enforced as per API specification via EWB to PESONet upon using invalid values</t>
  </si>
  <si>
    <t>TS-EB-SB-PRODUCTS-0066_1-Verify that resending the same request with the same 13‑digit idempotency key returns the original response</t>
  </si>
  <si>
    <t>TS-EB-SB-PRODUCTS-0066_2-Verify that resending the same request with the same 13‑digit idempotency key returns the original response</t>
  </si>
  <si>
    <t>TS-EB-SB-PRODUCTS-0066_3-Verify that resending the same request with the same 13‑digit idempotency key returns the original response</t>
  </si>
  <si>
    <t>TS-EB-SB-PRODUCTS-0066_4-Verify that resending the same request with the same 13‑digit idempotency key returns the original response</t>
  </si>
  <si>
    <t>TS-EB-SB-PRODUCTS-0067_1-Verify Different payload with the same idempotency-key response</t>
  </si>
  <si>
    <t>TS-EB-SB-PRODUCTS-0067_2-Verify Different payload with the same idempotency-key response</t>
  </si>
  <si>
    <t>TS-EB-SB-PRODUCTS-0067_3-Verify Different payload with the same idempotency-key response</t>
  </si>
  <si>
    <t>TS-EB-SB-PRODUCTS-0067_4-Verify Different payload with the same idempotency-key response</t>
  </si>
  <si>
    <t>TS-EB-SB-PRODUCTS-0069_1-Verify that Transaction ID is generated on successful Intrabank transaction</t>
  </si>
  <si>
    <t>TS-EB-SB-PRODUCTS-0069_2-Verify that Transaction ID is generated on successful Intrabank transaction</t>
  </si>
  <si>
    <t>TS-EB-SB-PRODUCTS-0070-Verify that Transaction ID is generated on successful Instapay transaction</t>
  </si>
  <si>
    <t>TS-EB-SB-PRODUCTS-0071-Verify that Transaction ID is generated on successful PESONet transaction</t>
  </si>
  <si>
    <t>TS-EB-SB-PRODUCTS-0072_1-Verify that apiTxnId format containts 36 BIGINT auto-increment primary key of Intrabank transaction</t>
  </si>
  <si>
    <t>TS-EB-SB-PRODUCTS-0072_2-Verify that apiTxnId format containts 36 BIGINT auto-increment primary key of Intrabank transaction</t>
  </si>
  <si>
    <t>TS-EB-SB-PRODUCTS-0073-Verify that apiTxnId format containts 36 BIGINT auto-increment primary key of Instapay transaction</t>
  </si>
  <si>
    <t>TS-EB-SB-PRODUCTS-0074-Verify that apiTxnId format containts 36 BIGINT auto-increment primary key of PESONet transaction</t>
  </si>
  <si>
    <t>TS-EB-SB-PRODUCTS-0075_1-Verify that apiTxnRef has correct format of Intrabank transaction</t>
  </si>
  <si>
    <t>TS-EB-SB-PRODUCTS-0075_2-Verify that apiTxnRef has correct format of Intrabank transaction</t>
  </si>
  <si>
    <t>TS-EB-SB-PRODUCTS-0076-Verify that apiTxnRef has correct format of Instapay transaction</t>
  </si>
  <si>
    <t>TS-EB-SB-PRODUCTS-0077-Verify that apiTxnRef has correct format of PESONet transaction</t>
  </si>
  <si>
    <t>TS-EB-SB-PRODUCTS-0078_1-Verify that apiTxnRef has propagated to downstream system upon doing Intrabank transaction</t>
  </si>
  <si>
    <t>TS-EB-SB-PRODUCTS-0078_2-Verify that apiTxnRef has propagated to downstream system upon doing Intrabank transaction</t>
  </si>
  <si>
    <t>TS-EB-SB-PRODUCTS-0079-Verify that apiTxnRef has propagated to downstream system Instapay transaction</t>
  </si>
  <si>
    <t>TS-EB-SB-PRODUCTS-0080-Verify that apiTxnRef has propagated to downstream system PESONet transaction</t>
  </si>
  <si>
    <t>TS-EB-SB-PRODUCTS-0081_1-Verify Intrabank/InstaPay/PESONETrail Initial Status</t>
  </si>
  <si>
    <t>TS-EB-SB-PRODUCTS-0081_2-Verify Intrabank/InstaPay/PESONETrail Initial Status</t>
  </si>
  <si>
    <t>TS-EB-SB-PRODUCTS-0081_3-Verify Intrabank/InstaPay/PESONETrail Initial Status</t>
  </si>
  <si>
    <t>TS-EB-SB-PRODUCTS-0081_4-Verify Intrabank/InstaPay/PESONETrail Initial Status</t>
  </si>
  <si>
    <t>TS-EB-SB-PRODUCTS-0083_1-Verify strict reconciliation between API Portal, Core Banking, and payment rails</t>
  </si>
  <si>
    <t>TS-EB-SB-PRODUCTS-0083_2-Verify strict reconciliation between API Portal, Core Banking, and payment rails</t>
  </si>
  <si>
    <t>TS-EB-SB-PRODUCTS-0083_3-Verify strict reconciliation between API Portal, Core Banking, and payment rails</t>
  </si>
  <si>
    <t>TS-EB-SB-PRODUCTS-0083_4-Verify strict reconciliation between API Portal, Core Banking, and payment rails</t>
  </si>
  <si>
    <t>TS-EB-SB-PRODUCTS-0084_1-Verify all transaction status transitions are logged and auditable in the Dedicated External API Portal Database</t>
  </si>
  <si>
    <t>TS-EB-SB-PRODUCTS-0084_2-Verify all transaction status transitions are logged and auditable in the Dedicated External API Portal Database</t>
  </si>
  <si>
    <t>TS-EB-SB-PRODUCTS-0084_3-Verify all transaction status transitions are logged and auditable in the Dedicated External API Portal Database</t>
  </si>
  <si>
    <t>TS-EB-SB-PRODUCTS-0084_4-Verify all transaction status transitions are logged and auditable in the Dedicated External API Portal Database</t>
  </si>
  <si>
    <t>TS-EB-SB-PRODUCTS-0085_1-Verify successful retry of a timed‑out local funds transfer request using the same idempotency key</t>
  </si>
  <si>
    <t>TS-EB-SB-PRODUCTS-0085_2-Verify successful retry of a timed‑out local funds transfer request using the same idempotency key</t>
  </si>
  <si>
    <t>TS-EB-SB-PRODUCTS-0085_3-Verify successful retry of a timed‑out local funds transfer request using the same idempotency key</t>
  </si>
  <si>
    <t>TS-EB-SB-PRODUCTS-0085_4-Verify successful retry of a timed‑out local funds transfer request using the same idempotency key</t>
  </si>
  <si>
    <t>TS-EB-SB-PRODUCTS-0086_1-Verify failed retry of a timed‑out local funds transfer request using the same idepotency key with a different payload</t>
  </si>
  <si>
    <t>TS-EB-SB-PRODUCTS-0086_2-Verify failed retry of a timed‑out local funds transfer request using the same idepotency key with a different payload</t>
  </si>
  <si>
    <t>TS-EB-SB-PRODUCTS-0086_3-Verify failed retry of a timed‑out local funds transfer request using the same idepotency key with a different payload</t>
  </si>
  <si>
    <t>TS-EB-SB-PRODUCTS-0086_4-Verify failed retry of a timed‑out local funds transfer request using the same idepotency key with a different payload</t>
  </si>
  <si>
    <t>TS-EB-SB-PRODUCTS-0087_1-Verify retry behavior when attempting to resend an already completed local funds transfer request</t>
  </si>
  <si>
    <t>TS-EB-SB-PRODUCTS-0087_2-Verify retry behavior when attempting to resend an already completed local funds transfer request</t>
  </si>
  <si>
    <t>TS-EB-SB-PRODUCTS-0087_3-Verify retry behavior when attempting to resend an already completed local funds transfer request</t>
  </si>
  <si>
    <t>TS-EB-SB-PRODUCTS-0087_4-Verify retry behavior when attempting to resend an already completed local funds transfer request</t>
  </si>
  <si>
    <t>924fdda7-26f7-414b-ac56-9214ff796881</t>
  </si>
  <si>
    <t>N</t>
  </si>
  <si>
    <t>200061777902</t>
  </si>
  <si>
    <t>I+O1+Q:U4V+Q:X+Q:Y+Q+Q:R</t>
  </si>
  <si>
    <t>400404</t>
  </si>
  <si>
    <t>46249877312345168969213</t>
  </si>
  <si>
    <t>K6y28Ks1TyrwjONU0PatZ6BhOWfTAuHo</t>
  </si>
  <si>
    <t>263677df68</t>
  </si>
  <si>
    <t>44108637-2df8-4f80-bf5b-53f240d8c502</t>
  </si>
  <si>
    <t>200061817815</t>
  </si>
  <si>
    <t>Lorenzo Ford</t>
  </si>
  <si>
    <t>Zenrick Sartorio</t>
  </si>
  <si>
    <t>wE4n0CYiVOdJ9m8EfKuMhxm0m4kOaUOr</t>
  </si>
  <si>
    <t>3TaenF9h5d9FCEEIZRVPc4AxdFggPaxA</t>
  </si>
  <si>
    <t>OUT_TxnID</t>
  </si>
  <si>
    <t>OUT_TxnRef</t>
  </si>
  <si>
    <t>IN_ExpiredToken</t>
  </si>
  <si>
    <t>SandBox</t>
  </si>
  <si>
    <t>AuthAPI</t>
  </si>
  <si>
    <t>BankList</t>
  </si>
  <si>
    <t>CheckStatus</t>
  </si>
  <si>
    <t>LFT</t>
  </si>
  <si>
    <t>Live</t>
  </si>
  <si>
    <t>Test</t>
  </si>
  <si>
    <t>Overall Count</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</si>
  <si>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</si>
  <si>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</si>
  <si>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TS-EB-SB-PRODUCTS-0023: Send Funds via Local Fund Transfer v1.0_Initiate Local Funds Transfer API_Verify Initiation of Local Funds Transfer via EWB to EWRB with Blank Source Account Number</t>
  </si>
  <si>
    <t>Send POST Request of Send Funds via Local Fund Transfer via EWB to EWRB using Blank Source Account Number</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</si>
  <si>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</si>
  <si>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</si>
  <si>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</si>
  <si>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</si>
  <si>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</si>
  <si>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</si>
  <si>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</si>
  <si>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</si>
  <si>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</si>
  <si>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</si>
  <si>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</si>
  <si>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</si>
  <si>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</si>
  <si>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</si>
  <si>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</si>
  <si>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</si>
  <si>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</si>
  <si>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</si>
  <si>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</si>
  <si>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</si>
  <si>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</si>
  <si>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</si>
  <si>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</si>
  <si>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</si>
  <si>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</si>
  <si>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TS-EB-SB-PRODUCTS-0022</t>
  </si>
  <si>
    <t>TS-EB-SB-PRODUCTS-0023</t>
  </si>
  <si>
    <t>TS-EB-SB-PRODUCTS-0024</t>
  </si>
  <si>
    <t>TS-EB-SB-PRODUCTS-0025</t>
  </si>
  <si>
    <t>TS-EB-SB-PRODUCTS-0026</t>
  </si>
  <si>
    <t>TS-EB-SB-PRODUCTS-0027</t>
  </si>
  <si>
    <t>TS-EB-SB-PRODUCTS-0028</t>
  </si>
  <si>
    <t>TS-EB-SB-PRODUCTS-0029</t>
  </si>
  <si>
    <t>TS-EB-SB-PRODUCTS-0030</t>
  </si>
  <si>
    <t>TS-EB-SB-PRODUCTS-0031</t>
  </si>
  <si>
    <t>TS-EB-SB-PRODUCTS-0032</t>
  </si>
  <si>
    <t>TS-EB-SB-PRODUCTS-0033</t>
  </si>
  <si>
    <t>Send POST Request of Send Funds via Local Fund Transfer via Intrabank/InstaPay/PESONet with minimum allowed amount</t>
  </si>
  <si>
    <t>Send POST Request of Send Funds via Local Fund Transfer via Intrabank/InstaPay/PESONet with maximum allowed amount</t>
  </si>
  <si>
    <t>On Transaction Management in API Portal Client Hub,  check the status of Send POST Request of Send Funds via Local Fund Transfer via Intrabank/InstaPay/PESONet.</t>
  </si>
  <si>
    <t>On Check Local Fund Transfer Details , check the status of Send POST Request of Send Funds via Local Fund Transfer via Intrabank/InstaPay/PESONet.</t>
  </si>
  <si>
    <t>The transaction is ready for status checks via Check Local Fund Transfer Details and Status API.
Status = RECEIVED</t>
  </si>
  <si>
    <t>Send POST Request of Send Funds via Local Fund Transfer for Intrabank upon using Inactive EWB Beneficiary Account</t>
  </si>
  <si>
    <t>Send POST Request of Send Funds via Local Fund Transfer using 0 (Zero) amount</t>
  </si>
  <si>
    <t>Send POST Request of Send Funds via Local Fund Transfer using negative amount</t>
  </si>
  <si>
    <t>Send POST Request of Send Funds via Local Fund Transfer using Source Account with Insufficient Balance</t>
  </si>
  <si>
    <t>Send POST Request of Send Funds via Local Fund Transfer using alphanumeric amount</t>
  </si>
  <si>
    <t>Send POST Request of Send Funds via Local Fund Transfer using invalid scope in access token</t>
  </si>
  <si>
    <t>Failed Status 403 Forbidden
Invalid Scope Failure</t>
  </si>
  <si>
    <t>Send POST Request of Send Funds via Local Fund Transfer using invalid Partner ID</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</si>
  <si>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</si>
  <si>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</si>
  <si>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Send POST Request of Send Funds via Local Fund Transfer via EWB to EWRB using Invalid (Pending Closure) Source Account</t>
  </si>
  <si>
    <t>Send POST Request of Send Funds via Local Fund Transfer via EWB to InstaPay using Invalid (Pending Closure) Source Account</t>
  </si>
  <si>
    <t>Send POST Request of Send Funds via Local Fund Transfer via EWB to PESONet using Invalid (Pending Closure) Source Account</t>
  </si>
  <si>
    <t>Send POST Request of Send Funds via Local Fund Transfer via EWB to EWB using Invalid (Closed) Source Account</t>
  </si>
  <si>
    <t>Send POST Request of Send Funds via Local Fund Transfer via EWB to EWRB using Invalid (Closed) Source Account</t>
  </si>
  <si>
    <t>Send POST Request of Send Funds via Local Fund Transfer via InstaPay using Invalid (Closed) Source Account</t>
  </si>
  <si>
    <t>Send POST Request of Send Funds via Local Fund Transfer via PESONet using Invalid (Closed) Source Account</t>
  </si>
  <si>
    <t>Send POST Request of Send Funds via Local Fund Transfer across Intrabank using Invalid (Closed) Source Account</t>
  </si>
  <si>
    <t>Send POST Request of Send Funds via Local Fund Transfer via EWB to EWB using Not Existing Beneficiary Account</t>
  </si>
  <si>
    <t>Send POST Request of Send Funds via Local Fund Transfer via EWB to EWRB using Not Existing Beneficiary Account</t>
  </si>
  <si>
    <t>Send POST Request of Send Funds via Local Fund Transfer via EWB to InstaPay using Not Existing Beneficiary Account</t>
  </si>
  <si>
    <t>Send POST Request of Send Funds via Local Fund Transfer via EWB to PESONet using Not Existing Beneficiary Account</t>
  </si>
  <si>
    <t>Send POST Request of Send Funds via Local Fund Transfer via EWB to EWB using Post No Debit Source Account</t>
  </si>
  <si>
    <t>Send POST Request of Send Funds via Local Fund Transfer via EWB to EWRB using Post No Debit Source Account</t>
  </si>
  <si>
    <t>Send POST Request of Send Funds via Local Fund Transfer via EWB to InstaPay using Post No Debit Source Account</t>
  </si>
  <si>
    <t>Send POST Request of Send Funds via Local Fund Transfer via EWB to PESONet using Post No Debit Source Account</t>
  </si>
  <si>
    <t>Send POST Request of Send Funds via Local Fund Transfer via EWB to EWB using Post No Credit Source Account</t>
  </si>
  <si>
    <t>Send POST Request of Send Funds via Local Fund Transfer via EWB to EWRB using Post No Credit Source Account</t>
  </si>
  <si>
    <t>Send POST Request of Send Funds via Local Fund Transfer via EWB to InstaPay using Post No Credit Source Account</t>
  </si>
  <si>
    <t>Send POST Request of Send Funds via Local Fund Transfer via EWB to PESONet using Post No Credit Source Account</t>
  </si>
  <si>
    <t>Send POST Request of Send Funds via Local Fund Transfer via EWB to EWB using Post No Entries Source Account</t>
  </si>
  <si>
    <t>Send POST Request of Send Funds via Local Fund Transfer via EWB to EWRB using Post No Entries Source Account</t>
  </si>
  <si>
    <t>Send POST Request of Send Funds via Local Fund Transfer via EWB to InstaPay using Post No Entries Source Account</t>
  </si>
  <si>
    <t>Send POST Request of Send Funds via Local Fund Transfer via EWB to PESONet using Post No Entries Source Account</t>
  </si>
  <si>
    <t>Send POST Request of Send Funds via Local Fund Transfer across all channels using Post No Debit Beneficiary Account</t>
  </si>
  <si>
    <t>Send POST Request of Send Funds via Local Fund Transfer across all channels using Post No Credit Beneficiary Account</t>
  </si>
  <si>
    <t>Send POST Request of Send Funds via Local Fund Transfer across all channels using Post No Entries Beneficiary Account</t>
  </si>
  <si>
    <t>Send POST Request of Send Funds via Local Fund Transfer via EWB to EWB using Post No Debit Customer CIF / Customer ID (Source)</t>
  </si>
  <si>
    <t>Send POST Request of Send Funds via Local Fund Transfer via EWB to EWRB using Post No Debit Customer CIF / Customer ID (Source)</t>
  </si>
  <si>
    <t>Send POST Request of Send Funds via Local Fund Transfer via EWB to InstaPay using Post No Debit Customer CIF / Customer ID (Source)</t>
  </si>
  <si>
    <t>Send POST Request of Send Funds via Local Fund Transfer via EWB to PESONet using Post No Debit Customer CIF / Customer ID (Source)</t>
  </si>
  <si>
    <t>Send POST Request of Send Funds via Local Fund Transfer via EWB to EWB using Post No Credit Customer CIF / Customer ID (Source)</t>
  </si>
  <si>
    <t>Send POST Request of Send Funds via Local Fund Transfer via EWB to EWRB using Post No Credit Customer CIF / Customer ID (Source)</t>
  </si>
  <si>
    <t>Send POST Request of Send Funds via Local Fund Transfer via EWB to InstaPay using Post No Credit Customer CIF / Customer ID (Source)</t>
  </si>
  <si>
    <t>Send POST Request of Send Funds via Local Fund Transfer via EWB to PESONet using Post No Credit Customer CIF / Customer ID (Source)</t>
  </si>
  <si>
    <t>Send POST Request of Send Funds via Local Fund Transfer via EWB to EWB using Post No Entries Customer CIF / Customer ID (Source)</t>
  </si>
  <si>
    <t>Send POST Request of Send Funds via Local Fund Transfer via EWB to EWRB using Post No Entries Customer CIF / Customer ID (Source)</t>
  </si>
  <si>
    <t>Send POST Request of Send Funds via Local Fund Transfer via EWB to InstaPay using Post No Entries Customer CIF / Customer ID (Source)</t>
  </si>
  <si>
    <t>Send POST Request of Send Funds via Local Fund Transfer via EWB to PESONet using Post No Entries Customer CIF / Customer ID (Source)</t>
  </si>
  <si>
    <t>Send POST Request of Send Funds via Local Fund Transfer across all channels using Post No Debit Customer CIF / Customer ID (Beneficiary)</t>
  </si>
  <si>
    <t>Send POST Request of Send Funds via Local Fund Transfer across all channels using Post No Credit Customer CIF / Customer ID (Beneficiary)</t>
  </si>
  <si>
    <t>Send POST Request of Send Funds via Local Fund Transfer across all channels using Post No Entries Customer CIF / Customer ID (Beneficiary)</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</si>
  <si>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</si>
  <si>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</si>
  <si>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TS-EB-PRODUCTS-0103: Send Funds via Local Fund Transfer v1.0_Initiate Local Funds Transfer API_Verify Initiation of Local Funds Transfer via EWB to EWRB with Source Account not linked to provided access token</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</si>
  <si>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</si>
  <si>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</si>
  <si>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</si>
  <si>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</si>
  <si>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</si>
  <si>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</si>
  <si>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</si>
  <si>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</si>
  <si>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</si>
  <si>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</si>
  <si>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</si>
  <si>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</si>
  <si>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TS-EB-PRODUCTS-0110: Send Funds via Local Fund Transfer v1.0_Initiate Local Funds Transfer API_Verify Initiation of Local Funds Transfer via EWB to EWB with FDS Receiver Beneficiary Account</t>
  </si>
  <si>
    <t>TS-EB-PRODUCTS-0111: Send Funds via Local Fund Transfer v1.0_Initiate Local Funds Transfer API_Verify Initiation of Local Funds Transfer via EWB to EWRB with FDS Receiver Beneficiary Account</t>
  </si>
  <si>
    <t>TS-EB-PRODUCTS-0112: Send Funds via Local Fund Transfer v1.0_Initiate Local Funds Transfer API_Verify Initiation of Local Funds Transfer via EWB to InstaPay with FDS Receiver Beneficiary Account</t>
  </si>
  <si>
    <t>TS-EB-PRODUCTS-0113: Send Funds via Local Fund Transfer v1.0_Initiate Local Funds Transfer API_Verify Initiation of Local Funds Transfer via EWB to PESONet with FDS Receiver Beneficiary Account</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</si>
  <si>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</si>
  <si>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</si>
  <si>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 Send Funds via Local Fund Transfer v1.0_Initiate Local Funds Transfer API_Validate that all required body parameters are present and correctly formatted as per API specification via EWB to EWRB</t>
  </si>
  <si>
    <t>TS-EB-PRODUCTS-0116: Send Funds via Local Fund Transfer v1.0_Initiate Local Funds Transfer API_Validate that all required body parameters are present and correctly formatted as per API specification via EWB to InstaPay</t>
  </si>
  <si>
    <t>TS-EB-PRODUCTS-0117: Send Funds via Local Fund Transfer v1.0_Initiate Local Funds Transfer API_Validate that all required body parameters are present and correctly formatted as per API specification via EWB to PESONet</t>
  </si>
  <si>
    <t>TS-EB-PRODUCTS-0118: Send Funds via Local Fund Transfer v1.0_Initiate Local Funds Transfer API_Verify if required body parameters validation/notes are enforced as per API specification via EWB to EWB upon using invalid values</t>
  </si>
  <si>
    <t>TS-EB-PRODUCTS-0119: Send Funds via Local Fund Transfer v1.0_Initiate Local Funds Transfer API_Verify if required body parameters validation/notes are enforced as per API specification via EWB to EWRB upon using invalid values</t>
  </si>
  <si>
    <t>TS-EB-PRODUCTS-0120: Send Funds via Local Fund Transfer v1.0_Initiate Local Funds Transfer API_Verify if required body parameters validation/notes are enforced as per API specification via EWB to InstaPay upon using invalid values</t>
  </si>
  <si>
    <t>TS-EB-PRODUCTS-0121: Send Funds via Local Fund Transfer v1.0_Initiate Local Funds Transfer API_Verify if required body parameters validation/notes are enforced as per API specification via EWB to PESONet upon using invalid values</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</si>
  <si>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</si>
  <si>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</si>
  <si>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</si>
  <si>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</si>
  <si>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TS-EB-PRODUCTS-0132: Send Funds via Local Fund Transfer v1.0_Initiate Local Funds Transfer API_Verify Different payload with the same idempotency-key response time / processing time</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</si>
  <si>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</si>
  <si>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</si>
  <si>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</si>
  <si>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</si>
  <si>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</si>
  <si>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</si>
  <si>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</si>
  <si>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</si>
  <si>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</si>
  <si>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</si>
  <si>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</si>
  <si>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</si>
  <si>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</si>
  <si>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</si>
  <si>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</si>
  <si>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</si>
  <si>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</si>
  <si>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</si>
  <si>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</si>
  <si>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</si>
  <si>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</si>
  <si>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</si>
  <si>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</si>
  <si>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</si>
  <si>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TS-EB-PRODUCTS-0143: Send Funds via Local Fund Transfer v1.0_Initiate Local Funds Transfer API_Verify that the request proceeds only when the source account is registered as Client‑Owned in Client Hub and the supplied Access Token is explicitly bound to t</t>
  </si>
  <si>
    <t>The API Portal validates source account registration and confirms the Access Token is bound to the same account before processing the request.
(validation completes within ≤ 300 ms)</t>
  </si>
  <si>
    <t>TS-EB-PRODUCTS-0144: Send Funds via Local Fund Transfer v1.0_Initiate Local Funds Transfer API_Verify that the request does not proceed when the source account is not registered as Client‑Owned in Client Hub.</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</si>
  <si>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</si>
  <si>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</si>
  <si>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TS-EB-PRODUCTS-0145: Send Funds via Local Fund Transfer v1.0_Initiate Local Funds Transfer API_Verify that Transaction ID is generated on successful Intrabank transaction</t>
  </si>
  <si>
    <t>TS-EB-PRODUCTS-0146: Send Funds via Local Fund Transfer v1.0_Initiate Local Funds Transfer API_Verify that Transaction ID is generated on successful Instapay transaction</t>
  </si>
  <si>
    <t>TS-EB-PRODUCTS-0147: Send Funds via Local Fund Transfer v1.0_Initiate Local Funds Transfer API_Verify that Transaction ID is generated on successful PESONet transaction</t>
  </si>
  <si>
    <t>TS-EB-PRODUCTS-0148: Send Funds via Local Fund Transfer v1.0_Initiate Local Funds Transfer API_Verify that apiTxnId format containts 36 BIGINT auto-increment primary key of Intrabank transaction</t>
  </si>
  <si>
    <t>TS-EB-PRODUCTS-0149: Send Funds via Local Fund Transfer v1.0_Initiate Local Funds Transfer API_Verify that apiTxnId format containts 36 BIGINT auto-increment primary key of Instapay transaction</t>
  </si>
  <si>
    <t>TS-EB-PRODUCTS-0150: Send Funds via Local Fund Transfer v1.0_Initiate Local Funds Transfer API_Verify that apiTxnId format containts 36 BIGINT auto-increment primary key of PESONet transaction</t>
  </si>
  <si>
    <t>TS-EB-PRODUCTS-0151: Send Funds via Local Fund Transfer v1.0_Initiate Local Funds Transfer API_Verify that apiTxnRef has correct format of Intrabank transaction</t>
  </si>
  <si>
    <t>TS-EB-PRODUCTS-0152: Send Funds via Local Fund Transfer v1.0_Initiate Local Funds Transfer API_Verify that apiTxnRef has correct format of Instapay transaction</t>
  </si>
  <si>
    <t>TS-EB-PRODUCTS-0153: Send Funds via Local Fund Transfer v1.0_Initiate Local Funds Transfer API_Verify that apiTxnRef has correct format of PESONet transaction</t>
  </si>
  <si>
    <t>TS-EB-PRODUCTS-0154: Send Funds via Local Fund Transfer v1.0_Initiate Local Funds Transfer API_Verify that apiTxnRef has propagated to downstream system upon doing Intrabank transaction</t>
  </si>
  <si>
    <t>TS-EB-PRODUCTS-0155: Send Funds via Local Fund Transfer v1.0_Initiate Local Funds Transfer API_Verify that apiTxnRef has propagated to downstream system Instapay transaction</t>
  </si>
  <si>
    <t>TS-EB-PRODUCTS-0156: Send Funds via Local Fund Transfer v1.0_Initiate Local Funds Transfer API_Verify that apiTxnRef has propagated to downstream system PESONet transaction</t>
  </si>
  <si>
    <t>TS-EB-PRODUCTS-0157: Send Funds via Local Fund Transfer v1.0_Initiate Local Funds Transfer API_Verify Intrabank/InstaPay/PESONETrail Initial Status</t>
  </si>
  <si>
    <t>Status "RECEIVE" in response and database (ready for processing of downstreams)</t>
  </si>
  <si>
    <t>TS-EB-PRODUCTS-0159: Send Funds via Local Fund Transfer v1.0_Initiate Local Funds Transfer API_Verify strict reconciliation between API Portal, Core Banking, and payment rails</t>
  </si>
  <si>
    <t>Status changes are strictly reconciled in real-time between the following: 
- Dedicated External API Portal Database,
- EWB Core Banking System
- Downstream rails 
No floating, pending, unknown, or mismatched status exists</t>
  </si>
  <si>
    <t>TS-EB-PRODUCTS-0162: Send Funds via Local Fund Transfer v1.0_Initiate Local Funds Transfer API_Verify Status progression of created transfer</t>
  </si>
  <si>
    <t>Send POST Request of valid Send Funds Local Fund Transfer via PESONet. Check status progression</t>
  </si>
  <si>
    <t>Subsequent status changes (e.g., COMPLETED, FAILED, RETURNED)</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</si>
  <si>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</si>
  <si>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</si>
  <si>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</si>
  <si>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</si>
  <si>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</si>
  <si>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</si>
  <si>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TS-EB-PRODUCTS-0165: Send Funds via Local Fund Transfer v1.0_Initiate Local Funds Transfer API_Verify handling of mismatch status of transactions existed</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</si>
  <si>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</si>
  <si>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</si>
  <si>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</si>
  <si>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</si>
  <si>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TS-EB-PRODUCTS-0167: Send Funds via Local Fund Transfer v1.0_Initiate Local Funds Transfer API_Verify that a valid intrabank fund transfer request is forwarded to EWB Core and processed immediately</t>
  </si>
  <si>
    <t>Transaction is routed to Intrabank rail and completed immediately
Source Account debited in real-time
apiTxnRef is recorded in core system logs</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</si>
  <si>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</si>
  <si>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</si>
  <si>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</si>
  <si>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</si>
  <si>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</si>
  <si>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TS-EB-PRODUCTS-0171: Send Funds via Local Fund Transfer v1.0_Initiate Local Funds Transfer API_Verify error response status of failed request due to missing or invalid access token</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</si>
  <si>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</si>
  <si>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</si>
  <si>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TS-EB-PRODUCTS-0172: Send Funds via Local Fund Transfer v1.0_Initiate Local Funds Transfer API_Verify error response status of failed request due to unauthorized application access (Correct credentials but no access to the resource)</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</si>
  <si>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</si>
  <si>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</si>
  <si>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</si>
  <si>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</si>
  <si>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</si>
  <si>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</si>
  <si>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</si>
  <si>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</si>
  <si>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TS-EB-PRODUCTS-0176: Send Funds via Local Fund Transfer v1.0_Initiate Local Funds Transfer API_Verify error response structure for failed local funds transfer initiation</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</si>
  <si>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</si>
  <si>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</si>
  <si>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</si>
  <si>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</si>
  <si>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</si>
  <si>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</si>
  <si>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</si>
  <si>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</si>
  <si>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</si>
  <si>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</si>
  <si>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</si>
  <si>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</si>
  <si>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TS-EB-PRODUCTS-0182: Send Funds via Local Fund Transfer v1.0_Initiate Local Funds Transfer API_Verify that successful authentication request of transaction is logged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</si>
  <si>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</si>
  <si>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</si>
  <si>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TS-EB-PRODUCTS-0183: Send Funds via Local Fund Transfer v1.0_Initiate Local Funds Transfer API_Verify that failed authentication request of transaction is logged</t>
  </si>
  <si>
    <t>Send POST Request of Send Funds Local Fund Transfer via Intrabank/Instapay/PESONet with failed authentication. Check DB if transaction created is logged.</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</si>
  <si>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</si>
  <si>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</si>
  <si>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</si>
  <si>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</si>
  <si>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</si>
  <si>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</si>
  <si>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</si>
  <si>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</si>
  <si>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</si>
  <si>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</si>
  <si>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</si>
  <si>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</si>
  <si>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</si>
  <si>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 Send Funds via Local Fund Transfer v1.0_Initiate Local Funds Transfer API_Verify Successful initiation of a Local Funds Transfer via Instapay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</si>
  <si>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</si>
  <si>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</si>
  <si>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</si>
  <si>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</si>
  <si>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</si>
  <si>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</si>
  <si>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</si>
  <si>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</si>
  <si>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</si>
  <si>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</si>
  <si>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</si>
  <si>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</si>
  <si>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</si>
  <si>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</si>
  <si>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 Send Funds via Local Fund Transfer v1.0_Initiate Local Funds Transfer API_Verify Successful initiation of a Local Funds Transfer via PESONet but Failed transaction due to Payment Rail Error, Errors due to EWB,Catch All</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</si>
  <si>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</si>
  <si>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</si>
  <si>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</si>
  <si>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</si>
  <si>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</si>
  <si>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</si>
  <si>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</si>
  <si>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</si>
  <si>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</si>
  <si>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</si>
  <si>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</si>
  <si>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</si>
  <si>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</si>
  <si>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TS-EB-PRODUCTS-0027: Send Funds via Local Fund Transfer v1.0_Initiate Local Funds Transfer API_Verify if Invalid Client Credentials is use in Local Fund Transfer</t>
  </si>
  <si>
    <t>Send POST Request of Send Funds via Local Fund Transfer using invalid Client Credentials</t>
  </si>
  <si>
    <t>TS-EB-PRODUCTS-0030: Send Funds via Local Fund Transfer v1.0_Initiate Local Funds Transfer API_Verify Local Fund Transfer if Source Account is Not Registered as Client Owned Account - Source Account via EWB to EWB</t>
  </si>
  <si>
    <t>TS-EB-PRODUCTS-0031: Send Funds via Local Fund Transfer v1.0_Initiate Local Funds Transfer API_Verify Local Fund Transfer if Source Account is Not Registered as Client Owned Account - Source Account via EWB to EWRB</t>
  </si>
  <si>
    <t>TS-EB-PRODUCTS-0032: Send Funds via Local Fund Transfer v1.0_Initiate Local Funds Transfer API_Verify Local Fund Transfer if Source Account is Not Registered as Client Owned Account - Source Account via EWB to InstaPay</t>
  </si>
  <si>
    <t>TS-EB-PRODUCTS-0033: Send Funds via Local Fund Transfer v1.0_Initiate Local Funds Transfer API_Verify Local Fund Transfer if Source Account is Not Registered as Client Owned Account - Source Account via EWB to PESONet</t>
  </si>
  <si>
    <t>TS-EB-PRODUCTS-0082: Send Funds via Local Fund Transfer v1.0_Initiate Local Funds Transfer API_Verify Initiation of Local Funds Transfer via EWB to EWB with Blank Source Account Number</t>
  </si>
  <si>
    <t>TS-EB-PRODUCTS-0083: Send Funds via Local Fund Transfer v1.0_Initiate Local Funds Transfer API_Verify Initiation of Local Funds Transfer via EWB to EWRB with Blank Source Account Number</t>
  </si>
  <si>
    <t>TS-EB-PRODUCTS-0084: Send Funds via Local Fund Transfer v1.0_Initiate Local Funds Transfer API_Verify Initiation of Local Funds Transfer via EWB to Instapay with Blank Source Account Number</t>
  </si>
  <si>
    <t>TS-EB-PRODUCTS-0085: Send Funds via Local Fund Transfer v1.0_Initiate Local Funds Transfer API_Verify Initiation of Local Funds Transfer via EWB to PESONet with Blank Source Account Number</t>
  </si>
  <si>
    <t>TS-EB-PRODUCTS-0086: Send Funds via Local Fund Transfer v1.0_Initiate Local Funds Transfer API_Verify Initiation of Local Funds Transfer via EWB to EWB with Blank Beneficiary Account Number</t>
  </si>
  <si>
    <t>TS-EB-PRODUCTS-0087: Send Funds via Local Fund Transfer v1.0_Initiate Local Funds Transfer API_Verify Initiation of Local Funds Transfer via EWB to EWRB with Blank Beneficiary Account Number</t>
  </si>
  <si>
    <t>TS-EB-PRODUCTS-0088: Send Funds via Local Fund Transfer v1.0_Initiate Local Funds Transfer API_Verify Initiation of Local Funds Transfer via EWB to InstaPay with Blank Beneficiary Account Number</t>
  </si>
  <si>
    <t>TS-EB-PRODUCTS-0089: Send Funds via Local Fund Transfer v1.0_Initiate Local Funds Transfer API_Verify Initiation of Local Funds Transfervia EWB to PESONet with Blank Beneficiary Account Number</t>
  </si>
  <si>
    <t>TS-EB-PRODUCTS-0090: Send Funds via Local Fund Transfer v1.0_Initiate Local Funds Transfer API_Verify Initiation of Local Funds Transfer via EWB to EWB with Blank Both Source Account and Beneficiary Account Number</t>
  </si>
  <si>
    <t>TS-EB-PRODUCTS-0091: Send Funds via Local Fund Transfer v1.0_Initiate Local Funds Transfer API_Verify Initiation of Local Funds Transfer via EWB to EWRB with Blank Both Source Account and Beneficiary Account Number</t>
  </si>
  <si>
    <t>TS-EB-PRODUCTS-0092: Send Funds via Local Fund Transfer v1.0_Initiate Local Funds Transfer API_Verify Initiation of Local Funds Transfer via EWB to InstaPay with Blank Both Source Account and Beneficiary Account Number</t>
  </si>
  <si>
    <t>TS-EB-PRODUCTS-0093: Send Funds via Local Fund Transfer v1.0_Initiate Local Funds Transfer API_Verify Initiation of Local Funds Transfer via EWB to PESONet with Blank Both Source Account and Beneficiary Account Number</t>
  </si>
  <si>
    <t>TS-EB-PRODUCTS-0094: Send Funds via Local Fund Transfer v1.0_Initiate Local Funds Transfer API_Verify Initiation of Local Funds Transfer via EWB to EWB with Source Account with Exceeding to 20 characters</t>
  </si>
  <si>
    <t>TS-EB-PRODUCTS-0095: Send Funds via Local Fund Transfer v1.0_Initiate Local Funds Transfer API_Verify Initiation of Local Funds Transfer via EWB to EWRB with Source Account with Exceeding to 20 characters</t>
  </si>
  <si>
    <t>TS-EB-PRODUCTS-0096: Send Funds via Local Fund Transfer v1.0_Initiate Local Funds Transfer API_Verify Initiation of Local Funds Transfer via EWB to InstaPaywith Source Account with Exceeding to 20 characters</t>
  </si>
  <si>
    <t>TS-EB-PRODUCTS-0097: Send Funds via Local Fund Transfer v1.0_Initiate Local Funds Transfer API_Verify Initiation of Local Funds Transfer via EWB to PESONet with Source Account with Exceeding to 20 characters</t>
  </si>
  <si>
    <t>TS-EB-PRODUCTS-0098: Send Funds via Local Fund Transfer v1.0_Initiate Local Funds Transfer API_Verify Initiation of Local Funds Transfer via EWB to EWB with Source Account Fewer than 10 characters</t>
  </si>
  <si>
    <t>TS-EB-PRODUCTS-0099: Send Funds via Local Fund Transfer v1.0_Initiate Local Funds Transfer API_Verify Initiation of Local Funds Transfer via EWB to EWRB with Source Account Fewer than 10 characters</t>
  </si>
  <si>
    <t>TS-EB-PRODUCTS-0100: Send Funds via Local Fund Transfer v1.0_Initiate Local Funds Transfer API_Verify Initiation of Local Funds Transfer via EWB to InstaPay with Source Account Fewer than 10 characters</t>
  </si>
  <si>
    <t>TS-EB-PRODUCTS-0101: Send Funds via Local Fund Transfer v1.0_Initiate Local Funds Transfer API_Verify Initiation of Local Funds Transfer via EWB to PESONet with Source Account Fewer than 10 characters</t>
  </si>
  <si>
    <t>TS-EB-PRODUCTS-0122: Send Funds via Local Fund Transfer v1.0_Initiate Local Funds Transfer API_Validate that all Not Required body parameters are present and correctly formatted as per API specification via EWB to EWB</t>
  </si>
  <si>
    <t>TS-EB-PRODUCTS-0123: Send Funds via Local Fund Transfer v1.0_Initiate Local Funds Transfer API_Validate that all optional body parameters are present and correctly formatted as per API specification via EWB to EWRB</t>
  </si>
  <si>
    <t>TS-EB-PRODUCTS-0124: Send Funds via Local Fund Transfer v1.0_Initiate Local Funds Transfer API_Validate that all optional body parameters are present and correctly formatted as per API specification via EWB to InstaPay</t>
  </si>
  <si>
    <t>TS-EB-PRODUCTS-0125: Send Funds via Local Fund Transfer v1.0_Initiate Local Funds Transfer API_Validate that all optional body parameters are present and correctly formatted as per API specification via EWB to PESONet</t>
  </si>
  <si>
    <t>TS-EB-PRODUCTS-0126: Send Funds via Local Fund Transfer v1.0_Initiate Local Funds Transfer API_Validate that all optional body parameters are present and correctly formatted as per API specification via EWB to EWBB</t>
  </si>
  <si>
    <t>TS-EB-PRODUCTS-0138: Send Funds via Local Fund Transfer v1.0_Initiate Local Funds Transfer API_Verify request using missing client-secret</t>
  </si>
  <si>
    <t>Send POST Request of Send Funds Local Fund Transfer via Intrabank/InstaPay/PESONet without/missing client-secret</t>
  </si>
  <si>
    <t>Failed/Rejected 401 Unauthorized
Error message is displayed</t>
  </si>
  <si>
    <t>TS-EB-PRODUCTS-0139: Send Funds via Local Fund Transfer v1.0_Initiate Local Funds Transfer API_Verify request using missing client-id</t>
  </si>
  <si>
    <t>Send POST Request of Send Funds Local Fund Transfer via Intrabank/InstaPay/PESONet without/missing client-id</t>
  </si>
  <si>
    <t>TS-EB-PRODUCTS-0158: Send Funds via Local Fund Transfer v1.0_Initiate Local Funds Transfer API_Verify Intrabank/InstaPay/PESONET rail Initial Status processing time</t>
  </si>
  <si>
    <t>TS-EB-PRODUCTS-0160: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</si>
  <si>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</si>
  <si>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</si>
  <si>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</si>
  <si>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</si>
  <si>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</si>
  <si>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TS-EB-LIVE-PRODUCTS-0082: Send Funds via Local Fund Transfer v1.0_Initiate Local Funds Transfer API_Verify Initiation of Local Funds Transfer via EWB to EWB with Blank Source Account Number</t>
  </si>
  <si>
    <t>TS-EB-LIVE-PRODUCTS-0083: Send Funds via Local Fund Transfer v1.0_Initiate Local Funds Transfer API_Verify Initiation of Local Funds Transfer via EWB to EWRB with Blank Source Account Number</t>
  </si>
  <si>
    <t>TS-EB-LIVE-PRODUCTS-0084: Send Funds via Local Fund Transfer v1.0_Initiate Local Funds Transfer API_Verify Initiation of Local Funds Transfer via EWB to Instapay with Blank Source Account Number</t>
  </si>
  <si>
    <t>TS-EB-LIVE-PRODUCTS-0085: Send Funds via Local Fund Transfer v1.0_Initiate Local Funds Transfer API_Verify Initiation of Local Funds Transfer via EWB to PESONet with Blank Source Account Number</t>
  </si>
  <si>
    <t>TS-EB-LIVE-PRODUCTS-0086: Send Funds via Local Fund Transfer v1.0_Initiate Local Funds Transfer API_Verify Initiation of Local Funds Transfer via EWB to EWB with Blank Beneficiary Account Number</t>
  </si>
  <si>
    <t>TS-EB-LIVE-PRODUCTS-0087: Send Funds via Local Fund Transfer v1.0_Initiate Local Funds Transfer API_Verify Initiation of Local Funds Transfer via EWB to EWRB with Blank Beneficiary Account Number</t>
  </si>
  <si>
    <t>TS-EB-LIVE-PRODUCTS-0088: Send Funds via Local Fund Transfer v1.0_Initiate Local Funds Transfer API_Verify Initiation of Local Funds Transfer via EWB to InstaPay with Blank Beneficiary Account Number</t>
  </si>
  <si>
    <t>TS-EB-LIVE-PRODUCTS-0089: Send Funds via Local Fund Transfer v1.0_Initiate Local Funds Transfer API_Verify Initiation of Local Funds Transfervia EWB to PESONet with Blank Beneficiary Account Number</t>
  </si>
  <si>
    <t>TS-EB-LIVE-PRODUCTS-0090: Send Funds via Local Fund Transfer v1.0_Initiate Local Funds Transfer API_Verify Initiation of Local Funds Transfer via EWB to EWB with Blank Both Source Account and Beneficiary Account Number</t>
  </si>
  <si>
    <t>TS-EB-LIVE-PRODUCTS-0091: Send Funds via Local Fund Transfer v1.0_Initiate Local Funds Transfer API_Verify Initiation of Local Funds Transfer via EWB to EWRB with Blank Both Source Account and Beneficiary Account Number</t>
  </si>
  <si>
    <t>TS-EB-LIVE-PRODUCTS-0092: Send Funds via Local Fund Transfer v1.0_Initiate Local Funds Transfer API_Verify Initiation of Local Funds Transfer via EWB to InstaPay with Blank Both Source Account and Beneficiary Account Number</t>
  </si>
  <si>
    <t>TS-EB-LIVE-PRODUCTS-0093: Send Funds via Local Fund Transfer v1.0_Initiate Local Funds Transfer API_Verify Initiation of Local Funds Transfer via EWB to PESONet with Blank Both Source Account and Beneficiary Account Number</t>
  </si>
  <si>
    <t>TS-EB-LIVE-PRODUCTS-0132: Send Funds via Local Fund Transfer v1.0_Initiate Local Funds Transfer API_Verify Different payload with the same idempotency-key response time / processing time</t>
  </si>
  <si>
    <t>TS-EB-LIVE-PRODUCTS-0158: Send Funds via Local Fund Transfer v1.0_Initiate Local Funds Transfer API_Verify Intrabank/InstaPay/PESONET rail Initial Status processing time</t>
  </si>
  <si>
    <t>TS-EB-LIVE-PRODUCTS-0160: Send Funds via Local Fund Transfer v1.0_Initiate Local Funds Transfer API_Verify status updates processing time for PESONet</t>
  </si>
  <si>
    <t>TS-EB-LIVE-PRODUCTS-0161: Send Funds via Local Fund Transfer v1.0_Initiate Local Funds Transfer API_Verify status updates processing time for real-time rails</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</si>
  <si>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</si>
  <si>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</si>
  <si>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</si>
  <si>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</si>
  <si>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</si>
  <si>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</si>
  <si>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 Send Funds via Local Fund Transfer v1.0_Initiate Local Funds Transfer API_Verify Successful initiation of a local funds transfer via PESONet</t>
  </si>
  <si>
    <t>TS-EB-LIVE-PRODUCTS-0012: Send Funds via Local Fund Transfer v1.0_Initiate Local Funds Transfer API_Transfer with minimum allowed amount</t>
  </si>
  <si>
    <t>Success Status 202 ACCEPTED
Transaction is within Limits</t>
  </si>
  <si>
    <t>TS-EB-LIVE-PRODUCTS-0013: Send Funds via Local Fund Transfer v1.0_Initiate Local Funds Transfer API_Transfer with maximum allowed amount</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</si>
  <si>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</si>
  <si>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</si>
  <si>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 Send Funds via Local Fund Transfer v1.0_Initiate Local Funds Transfer API_Validate Transaction Status via Check Local Funds Transfer Details and Status API</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</si>
  <si>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</si>
  <si>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</si>
  <si>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</si>
  <si>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</si>
  <si>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</si>
  <si>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</si>
  <si>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</si>
  <si>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</si>
  <si>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</si>
  <si>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</si>
  <si>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 Send Funds via Local Fund Transfer v1.0_Initiate Local Funds Transfer API_Transfer with Zero amount</t>
  </si>
  <si>
    <t>TS-EB-LIVE-PRODUCTS-0021: Send Funds via Local Fund Transfer v1.0_Initiate Local Funds Transfer API_Transfer with Negative amount</t>
  </si>
  <si>
    <t>TS-EB-LIVE-PRODUCTS-0022: Send Funds via Local Fund Transfer v1.0_Initiate Local Funds Transfer API_Transfer with Insufficient Balance</t>
  </si>
  <si>
    <t>Status 202 Accept /200 OK</t>
  </si>
  <si>
    <t>TS-EB-LIVE-PRODUCTS-0023: Send Funds via Local Fund Transfer v1.0_Initiate Local Funds Transfer API_Transfer with No Amount</t>
  </si>
  <si>
    <t>TS-EB-LIVE-PRODUCTS-0024: Send Funds via Local Fund Transfer v1.0_Initiate Local Funds Transfer API_Transfer with Alphanumeric amount</t>
  </si>
  <si>
    <t>TS-EB-LIVE-PRODUCTS-0025: Send Funds via Local Fund Transfer v1.0_Initiate Local Funds Transfer API_Verify Invalid Scope in Access Token - Access token does not include sendfunds.initiate</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</si>
  <si>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</si>
  <si>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</si>
  <si>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 Send Funds via Local Fund Transfer v1.0_Initiate Local Funds Transfer API_Verify if Invalid Client Credentials is use in Local Fund Transfer</t>
  </si>
  <si>
    <t>200 OK [Not Mandatory]</t>
  </si>
  <si>
    <t>TS-EB-LIVE-PRODUCTS-0028: Send Funds via Local Fund Transfer v1.0_Initiate Local Funds Transfer API_Verify if Invalid Partner ID is use in Local Fund Transfer</t>
  </si>
  <si>
    <t>Failed Status 403 Forbidden/500 INTERNAL_SERVER_ERROR</t>
  </si>
  <si>
    <t>TS-EB-LIVE-PRODUCTS-0029: Send Funds via Local Fund Transfer v1.0_Initiate Local Funds Transfer API_Verify if Missing Access Token is use in Local Fund Transfer</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</si>
  <si>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</si>
  <si>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</si>
  <si>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</si>
  <si>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</si>
  <si>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</si>
  <si>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</si>
  <si>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TS-EB-LIVE-PRODUCTS-0033: Send Funds via Local Fund Transfer v1.0_Initiate Local Funds Transfer API_Verify Local Fund Transfer if Source Account is Not Registered as Client Owned Account - Source Account via EWB to PESONet</t>
  </si>
  <si>
    <t>TS-EB-LIVE-PRODUCTS-0034: Send Funds via Local Fund Transfer v1.0_Initiate Local Funds Transfer API_Verify Initiation of Local Funds Transfer with Pending Closure Source Account via EWB to EWB</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</si>
  <si>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</si>
  <si>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</si>
  <si>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 Send Funds via Local Fund Transfer v1.0_Initiate Local Funds Transfer API_Verify Initiation of Local Funds Transfer with Pending Closure Source Account via EWB to InstaPay</t>
  </si>
  <si>
    <t>TS-EB-LIVE-PRODUCTS-0037: Send Funds via Local Fund Transfer v1.0_Initiate Local Funds Transfer API_Verify Initiation of Local Funds Transfer with Pending Closure Source Account via EWB to PESONet</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</si>
  <si>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</si>
  <si>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</si>
  <si>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</si>
  <si>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 Send Funds via Local Fund Transfer v1.0_Initiate Local Funds Transfer API_Verify Local Fund Transfer if Source Account is Closed or Inactive via EWB to EWB</t>
  </si>
  <si>
    <t>TS-EB-LIVE-PRODUCTS-0040: Send Funds via Local Fund Transfer v1.0_Initiate Local Funds Transfer API_Verify Local Fund Transfer if Source Account is Closed or Inactive via EWB to EWRB</t>
  </si>
  <si>
    <t>TS-EB-LIVE-PRODUCTS-0041: Send Funds via Local Fund Transfer v1.0_Initiate Local Funds Transfer API_Verify Local Fund Transfer if Source Account is Closed or Inactive via EWB to InstaPay</t>
  </si>
  <si>
    <t>TS-EB-LIVE-PRODUCTS-0042: Send Funds via Local Fund Transfer v1.0_Initiate Local Funds Transfer API_Verify Local Fund Transfer if Source Account is Closed or Inactive via EWB to PESONet</t>
  </si>
  <si>
    <t>TS-EB-LIVE-PRODUCTS-0043: Send Funds via Local Fund Transfer v1.0_Initiate Local Funds Transfer API_Verify Local Fund Transfer if Beneficiary Account is Closed or Inactive via Intrabank</t>
  </si>
  <si>
    <t>TS-EB-LIVE-PRODUCTS-0044: Send Funds via Local Fund Transfer v1.0_Initiate Local Funds Transfer API_Verify Initiation of Local Funds Transfer with Non-Existing Source Account via EWB to EWB</t>
  </si>
  <si>
    <t>TS-EB-LIVE-PRODUCTS-0045: Send Funds via Local Fund Transfer v1.0_Initiate Local Funds Transfer API_Verify Initiation of Local Funds Transfer with Non-Existing Source Account via EWB to EWRB</t>
  </si>
  <si>
    <t>TS-EB-LIVE-PRODUCTS-0046: Send Funds via Local Fund Transfer v1.0_Initiate Local Funds Transfer API_Verify Initiation of Local Funds Transfer with Non-Existing Source Account via EWB to InstaPay</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</si>
  <si>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</si>
  <si>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</si>
  <si>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TS-EB-LIVE-PRODUCTS-0048: Send Funds via Local Fund Transfer v1.0_Initiate Local Funds Transfer API_Verify Initiation of Local Funds Transfer with Non-Existing Beneficiary Account via EWB to EWB</t>
  </si>
  <si>
    <t>TS-EB-LIVE-PRODUCTS-0049: Send Funds via Local Fund Transfer v1.0_Initiate Local Funds Transfer API_Verify Initiation of Local Funds Transfer with Non-Existing Beneficiary Account via EWB to EWRB</t>
  </si>
  <si>
    <t>TS-EB-LIVE-PRODUCTS-0050: Send Funds via Local Fund Transfer v1.0_Initiate Local Funds Transfer API_Verify Initiation of Local Funds Transfer with Non-Existing Beneficiary Account EWB to InstaPay</t>
  </si>
  <si>
    <t>TS-EB-LIVE-PRODUCTS-0051: Send Funds via Local Fund Transfer v1.0_Initiate Local Funds Transfer API_Verify Initiation of Local Funds Transfer with Non-Existing Beneficiary Account EWB to PESONet</t>
  </si>
  <si>
    <t>TS-EB-LIVE-PRODUCTS-0052: Send Funds via Local Fund Transfer v1.0_Initiate Local Funds Transfer API_Verify Initiation of Local Funds Transfer via EWB to EWB with Post No Debit Source Account Number</t>
  </si>
  <si>
    <t>TS-EB-LIVE-PRODUCTS-0053: Send Funds via Local Fund Transfer v1.0_Initiate Local Funds Transfer API_Verify Initiation of Local Funds Transfer across via EWB to EWRB with Post No Debit Source Account Number</t>
  </si>
  <si>
    <t>TS-EB-LIVE-PRODUCTS-0054: Send Funds via Local Fund Transfer v1.0_Initiate Local Funds Transfer API_Verify Initiation of Local Funds Transfer via EWB to InstaPay with Post No Debit Source Account Number</t>
  </si>
  <si>
    <t>TS-EB-LIVE-PRODUCTS-0055: Send Funds via Local Fund Transfer v1.0_Initiate Local Funds Transfer API_Verify Initiation of Local Funds Transfer via EWB to PESONet with Post No Debit Source Account Number</t>
  </si>
  <si>
    <t>TS-EB-LIVE-PRODUCTS-0056: Send Funds via Local Fund Transfer v1.0_Initiate Local Funds Transfer API_Verify Initiation of Local Funds Transfer via EWB to EWB with Post No Credit Source Account Number</t>
  </si>
  <si>
    <t>TS-EB-LIVE-PRODUCTS-0057: Send Funds via Local Fund Transfer v1.0_Initiate Local Funds Transfer API_Verify Initiation of Local Funds Transfer via EWB to EWRB with Post No Credit Source Account Number</t>
  </si>
  <si>
    <t>TS-EB-LIVE-PRODUCTS-0058: Send Funds via Local Fund Transfer v1.0_Initiate Local Funds Transfer API_Verify Initiation of Local Funds Transfer via EWB to InstaPay with Post No Credit Source Account Number</t>
  </si>
  <si>
    <t>TS-EB-LIVE-PRODUCTS-0059: Send Funds via Local Fund Transfer v1.0_Initiate Local Funds Transfer API_Verify Initiation of Local Funds Transfer via EWB to PESONet with Post No Credit Source Account Number</t>
  </si>
  <si>
    <t>TS-EB-LIVE-PRODUCTS-0060: Send Funds via Local Fund Transfer v1.0_Initiate Local Funds Transfer API_Verify Initiation of Local Funds Transfer via EWB to EWB with Post No Entries Source Account Number</t>
  </si>
  <si>
    <t>TS-EB-LIVE-PRODUCTS-0061: Send Funds via Local Fund Transfer v1.0_Initiate Local Funds Transfer API_Verify Initiation of Local Funds Transfer via EWB to EWRB with Post No Entries Source Account Number</t>
  </si>
  <si>
    <t>TS-EB-LIVE-PRODUCTS-0062: Send Funds via Local Fund Transfer v1.0_Initiate Local Funds Transfer API_Verify Initiation of Local Funds Transfer via EWB to InstaPay with Post No Entries Source Account Number</t>
  </si>
  <si>
    <t>TS-EB-LIVE-PRODUCTS-0063: Send Funds via Local Fund Transfer v1.0_Initiate Local Funds Transfer API_Verify Initiation of Local Funds Transfer via EWB to PESONet with Post No Entries Source Account Number</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</si>
  <si>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</si>
  <si>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</si>
  <si>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 Send Funds via Local Fund Transfer v1.0_Initiate Local Funds Transfer API_Verify Initiation of Local Funds Transfer across all Intrabank with Post No Credit Beneficiary Account Number</t>
  </si>
  <si>
    <t>TS-EB-LIVE-PRODUCTS-0066: Send Funds via Local Fund Transfer v1.0_Initiate Local Funds Transfer API_Verify Initiation of Local Funds Transfer across all Intrabank with Post No Entries Beneficiary Account Number</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</si>
  <si>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</si>
  <si>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</si>
  <si>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 Send Funds via Local Fund Transfer v1.0_Initiate Local Funds Transfer API_Verify Initiation of Local Funds Transfer via EWB to EWRB with Post No Debit Customer CIF / Customer ID</t>
  </si>
  <si>
    <t>TS-EB-LIVE-PRODUCTS-0069: Send Funds via Local Fund Transfer v1.0_Initiate Local Funds Transfer API_Verify Initiation of Local Funds Transfer via EWB to Instapay with Post No Debit Customer CIF / Customer ID</t>
  </si>
  <si>
    <t>TS-EB-LIVE-PRODUCTS-0070: Send Funds via Local Fund Transfer v1.0_Initiate Local Funds Transfer API_Verify Initiation of Local Funds Transfer via EWB to PESONet with Post No Debit Customer CIF / Customer ID</t>
  </si>
  <si>
    <t>TS-EB-LIVE-PRODUCTS-0071: Send Funds via Local Fund Transfer v1.0_Initiate Local Funds Transfer API_Verify Initiation of Local Funds Transfer via EWB to EWB with Post No Credit Customer CIF / Customer ID</t>
  </si>
  <si>
    <t>TS-EB-LIVE-PRODUCTS-0072: Send Funds via Local Fund Transfer v1.0_Initiate Local Funds Transfer API_Verify Initiation of Local Funds Transfer via EWB to EWRB with Post No Credit Customer CIF / Customer ID</t>
  </si>
  <si>
    <t>TS-EB-LIVE-PRODUCTS-0073: Send Funds via Local Fund Transfer v1.0_Initiate Local Funds Transfer API_Verify Initiation of Local Funds Transfer via EWB to InstaPay with Post No Credit Customer CIF / Customer ID</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</si>
  <si>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</si>
  <si>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</si>
  <si>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 Send Funds via Local Fund Transfer v1.0_Initiate Local Funds Transfer API_Verify Initiation of Local Funds Transfer via EWB to EWB with Post No Entries Customer CIF / Customer ID</t>
  </si>
  <si>
    <t>TS-EB-LIVE-PRODUCTS-0076: Send Funds via Local Fund Transfer v1.0_Initiate Local Funds Transfer API_Verify Initiation of Local Funds Transfer via EWB to EWRB with Post No Entries Customer CIF / Customer ID</t>
  </si>
  <si>
    <t>TS-EB-LIVE-PRODUCTS-0077: Send Funds via Local Fund Transfer v1.0_Initiate Local Funds Transfer API_Verify Initiation of Local Funds Transfer via EWB to InstaPay with Post No Entries Customer CIF / Customer ID</t>
  </si>
  <si>
    <t>TS-EB-LIVE-PRODUCTS-0078: Send Funds via Local Fund Transfer v1.0_Initiate Local Funds Transfer API_Verify Initiation of Local Funds Transfer via EWB to PESONet with Post No Entries Customer CIF / Customer ID</t>
  </si>
  <si>
    <t>TS-EB-LIVE-PRODUCTS-0079: Send Funds via Local Fund Transfer v1.0_Initiate Local Funds Transfer API_Verify Initiation of Local Funds Transfer across Intrabank with Post No Debit Customer CIF / Customer ID (Destination)</t>
  </si>
  <si>
    <t>TS-EB-LIVE-PRODUCTS-0080: Send Funds via Local Fund Transfer v1.0_Initiate Local Funds Transfer API_Verify Initiation of Local Funds Transfer across Intrabank with Post No Credit Customer CIF / Customer ID / Customer ID (Destination)</t>
  </si>
  <si>
    <t>TS-EB-LIVE-PRODUCTS-0081: Send Funds via Local Fund Transfer v1.0_Initiate Local Funds Transfer API_Verify Initiation of Local Funds Transfer across Intrabank with Post No Entries Customer CIF / Customer ID(Destination)</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</si>
  <si>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</si>
  <si>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</si>
  <si>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</si>
  <si>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</si>
  <si>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 Send Funds via Local Fund Transfer v1.0_Initiate Local Funds Transfer API_Verify Initiation of Local Funds Transfer via EWB to InstaPaywith Source Account with Exceeding to 20 characters</t>
  </si>
  <si>
    <t>TS-EB-LIVE-PRODUCTS-0097: Send Funds via Local Fund Transfer v1.0_Initiate Local Funds Transfer API_Verify Initiation of Local Funds Transfer via EWB to PESONet with Source Account with Exceeding to 20 characters</t>
  </si>
  <si>
    <t>TS-EB-LIVE-PRODUCTS-0098: Send Funds via Local Fund Transfer v1.0_Initiate Local Funds Transfer API_Verify Initiation of Local Funds Transfer via EWB to EWB with Source Account Fewer than 10 characters</t>
  </si>
  <si>
    <t>TS-EB-LIVE-PRODUCTS-0099: Send Funds via Local Fund Transfer v1.0_Initiate Local Funds Transfer API_Verify Initiation of Local Funds Transfer via EWB to EWRB with Source Account Fewer than 10 characters</t>
  </si>
  <si>
    <t>TS-EB-LIVE-PRODUCTS-0100: Send Funds via Local Fund Transfer v1.0_Initiate Local Funds Transfer API_Verify Initiation of Local Funds Transfer via EWB to InstaPay with Source Account Fewer than 10 characters</t>
  </si>
  <si>
    <t>TS-EB-LIVE-PRODUCTS-0101: Send Funds via Local Fund Transfer v1.0_Initiate Local Funds Transfer API_Verify Initiation of Local Funds Transfer via EWB to PESONet with Source Account Fewer than 10 characters</t>
  </si>
  <si>
    <t>TS-EB-LIVE-PRODUCTS-0102: Send Funds via Local Fund Transfer v1.0_Initiate Local Funds Transfer API_Verify Initiation of Local Funds Transfer via EWB to EWB with Source Account not linked to provided access token</t>
  </si>
  <si>
    <t>TS-EB-LIVE-PRODUCTS-0103: Send Funds via Local Fund Transfer v1.0_Initiate Local Funds Transfer API_Verify Initiation of Local Funds Transfer via EWB to EWRB with Source Account not linked to provided access token</t>
  </si>
  <si>
    <t>TS-EB-LIVE-PRODUCTS-0104: Send Funds via Local Fund Transfer v1.0_Initiate Local Funds Transfer API_Verify Initiation of Local Funds Transfer via EWB to InstaPay with Source Account not linked to provided access token</t>
  </si>
  <si>
    <t>TS-EB-LIVE-PRODUCTS-0105: Send Funds via Local Fund Transfer v1.0_Initiate Local Funds Transfer API_Verify Initiation of Local Funds Transfer via EWB to PESONet with Source Account not linked to provided access token</t>
  </si>
  <si>
    <t>TS-EB-LIVE-PRODUCTS-0106: Send Funds via Local Fund Transfer v1.0_Initiate Local Funds Transfer API_Verify Initiation of Local Funds Transfer via EWB to EWB with FDS Sender Source Account</t>
  </si>
  <si>
    <t>TS-EB-LIVE-PRODUCTS-0107: Send Funds via Local Fund Transfer v1.0_Initiate Local Funds Transfer API_Verify Initiation of Local Funds Transfer EWB to EWRB with FDS Sender Source Account</t>
  </si>
  <si>
    <t>TS-EB-LIVE-PRODUCTS-0108: Send Funds via Local Fund Transfer v1.0_Initiate Local Funds Transfer API_Verify Initiation of Local Funds Transfer EWB to InstaPay with FDS Sender Source Account</t>
  </si>
  <si>
    <t>TS-EB-LIVE-PRODUCTS-0109: Send Funds via Local Fund Transfer v1.0_Initiate Local Funds Transfer API_Verify Initiation of Local Funds Transfer EWB to PESONet with FDS Sender Source Account</t>
  </si>
  <si>
    <t>TS-EB-LIVE-PRODUCTS-0110: Send Funds via Local Fund Transfer v1.0_Initiate Local Funds Transfer API_Verify Initiation of Local Funds Transfer via EWB to EWB with FDS Receiver Beneficiary Account</t>
  </si>
  <si>
    <t>TS-EB-LIVE-PRODUCTS-0111: Send Funds via Local Fund Transfer v1.0_Initiate Local Funds Transfer API_Verify Initiation of Local Funds Transfer via EWB to EWRB with FDS Receiver Beneficiary Account</t>
  </si>
  <si>
    <t>TS-EB-LIVE-PRODUCTS-0112: Send Funds via Local Fund Transfer v1.0_Initiate Local Funds Transfer API_Verify Initiation of Local Funds Transfer via EWB to InstaPay with FDS Receiver Beneficiary Account</t>
  </si>
  <si>
    <t>TS-EB-LIVE-PRODUCTS-0113: Send Funds via Local Fund Transfer v1.0_Initiate Local Funds Transfer API_Verify Initiation of Local Funds Transfer via EWB to PESONet with FDS Receiver Beneficiary Account</t>
  </si>
  <si>
    <t>TS-EB-LIVE-PRODUCTS-0114: Send Funds via Local Fund Transfer v1.0_Initiate Local Funds Transfer API_Validate that all required body parameters are present and correctly formatted as per API specification via EWB to EWB</t>
  </si>
  <si>
    <t>TS-EB-LIVE-PRODUCTS-0115: Send Funds via Local Fund Transfer v1.0_Initiate Local Funds Transfer API_Validate that all required body parameters are present and correctly formatted as per API specification via EWB to EWRB</t>
  </si>
  <si>
    <t>TS-EB-LIVE-PRODUCTS-0116: Send Funds via Local Fund Transfer v1.0_Initiate Local Funds Transfer API_Validate that all required body parameters are present and correctly formatted as per API specification via EWB to InstaPay</t>
  </si>
  <si>
    <t>TS-EB-LIVE-PRODUCTS-0117: Send Funds via Local Fund Transfer v1.0_Initiate Local Funds Transfer API_Validate that all required body parameters are present and correctly formatted as per API specification via EWB to PESONet</t>
  </si>
  <si>
    <t>TS-EB-LIVE-PRODUCTS-0118: Send Funds via Local Fund Transfer v1.0_Initiate Local Funds Transfer API_Verify if required body parameters validation/notes are enforced as per API specification via EWB to EWB upon using invalid values</t>
  </si>
  <si>
    <t>TS-EB-LIVE-PRODUCTS-0119: Send Funds via Local Fund Transfer v1.0_Initiate Local Funds Transfer API_Verify if required body parameters validation/notes are enforced as per API specification via EWB to EWRB upon using invalid values</t>
  </si>
  <si>
    <t>TS-EB-LIVE-PRODUCTS-0120: Send Funds via Local Fund Transfer v1.0_Initiate Local Funds Transfer API_Verify if required body parameters validation/notes are enforced as per API specification via EWB to InstaPay upon using invalid values</t>
  </si>
  <si>
    <t>TS-EB-LIVE-PRODUCTS-0121: Send Funds via Local Fund Transfer v1.0_Initiate Local Funds Transfer API_Verify if required body parameters validation/notes are enforced as per API specification via EWB to PESONet upon using invalid values</t>
  </si>
  <si>
    <t>TS-EB-LIVE-PRODUCTS-0122: Send Funds via Local Fund Transfer v1.0_Initiate Local Funds Transfer API_Validate that all Not Required body parameters are present and correctly formatted as per API specification via EWB to EWB</t>
  </si>
  <si>
    <t>TS-EB-LIVE-PRODUCTS-0123: Send Funds via Local Fund Transfer v1.0_Initiate Local Funds Transfer API_Validate that all optional body parameters are present and correctly formatted as per API specification via EWB to EWRB</t>
  </si>
  <si>
    <t>TS-EB-LIVE-PRODUCTS-0124: Send Funds via Local Fund Transfer v1.0_Initiate Local Funds Transfer API_Validate that all optional body parameters are present and correctly formatted as per API specification via EWB to InstaPay</t>
  </si>
  <si>
    <t>TS-EB-LIVE-PRODUCTS-0125: Send Funds via Local Fund Transfer v1.0_Initiate Local Funds Transfer API_Validate that all optional body parameters are present and correctly formatted as per API specification via EWB to PESONet</t>
  </si>
  <si>
    <t>TS-EB-LIVE-PRODUCTS-0126: Send Funds via Local Fund Transfer v1.0_Initiate Local Funds Transfer API_Validate that all optional body parameters are present and correctly formatted as per API specification via EWB to EWRB</t>
  </si>
  <si>
    <t>TS-EB-LIVE-PRODUCTS-0127: Send Funds via Local Fund Transfer v1.0_Initiate Local Funds Transfer API_Verify if not required body parameters validation/notes are enforced as per API specification via EWB to EWRB upon using invalid values</t>
  </si>
  <si>
    <t>TS-EB-LIVE-PRODUCTS-0128: Send Funds via Local Fund Transfer v1.0_Initiate Local Funds Transfer API_Verify if not required body parameters validation/notes are enforced as per API specification via EWB to InstaPay upon using invalid values</t>
  </si>
  <si>
    <t>TS-EB-LIVE-PRODUCTS-0129: Send Funds via Local Fund Transfer v1.0_Initiate Local Funds Transfer API_Verify if not required body parameters validation/notes are enforced as per API specification via EWB to PESONet upon using invalid values</t>
  </si>
  <si>
    <t>TS-EB-LIVE-PRODUCTS-0130: Send Funds via Local Fund Transfer v1.0_Initiate Local Funds Transfer API_Verify that resending the same request with the same 13‑digit idempotency key returns the original response</t>
  </si>
  <si>
    <t>TS-EB-LIVE-PRODUCTS-0131: Send Funds via Local Fund Transfer v1.0_Initiate Local Funds Transfer API_Verify Different payload with the same idempotency-key response</t>
  </si>
  <si>
    <t>TS-EB-LIVE-PRODUCTS-0133: Send Funds via Local Fund Transfer v1.0_Initiate Local Funds Transfer API_Verify that resending the same request with the same 13‑digit idempotency key prevents the duplicate transactions during timeout</t>
  </si>
  <si>
    <t>TS-EB-LIVE-PRODUCTS-0134: Send Funds via Local Fund Transfer v1.0_Initiate Local Funds Transfer API_Verify that the idempotency-key is logged</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</si>
  <si>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</si>
  <si>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</si>
  <si>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 Send Funds via Local Fund Transfer v1.0_Initiate Local Funds Transfer API_Verify that duplicate requests within TTL do not result in additional transactions</t>
  </si>
  <si>
    <t>TS-EB-LIVE-PRODUCTS-0137: Send Funds via Local Fund Transfer v1.0_Initiate Local Funds Transfer API_Verify that a request with valid API credentials, Partner ID, access token, and active product subscription is successfully authenticated.</t>
  </si>
  <si>
    <t>TS-EB-LIVE-PRODUCTS-0138: Send Funds via Local Fund Transfer v1.0_Initiate Local Funds Transfer API_Verify request using missing client-secret</t>
  </si>
  <si>
    <t>Updated: 200 OK
*client-crendentials set as non-mandatory</t>
  </si>
  <si>
    <t>TS-EB-LIVE-PRODUCTS-0139: Send Funds via Local Fund Transfer v1.0_Initiate Local Funds Transfer API_Verify request using missing client-id</t>
  </si>
  <si>
    <t>200 OK
Error message is displayed</t>
  </si>
  <si>
    <t>TS-EB-LIVE-PRODUCTS-0140: Send Funds via Local Fund Transfer v1.0_Initiate Local Funds Transfer API_Verify request when partner-id header is missing.</t>
  </si>
  <si>
    <t>Failed/ Rejected 401 Unauthorized
Error message indicates missing Partner-ID</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</si>
  <si>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</si>
  <si>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</si>
  <si>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 Send Funds via Local Fund Transfer v1.0_Initiate Local Funds Transfer API_Verify behavior when the Application is not subscribed to the Send Funds Via Local Funds Transfer product.</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</si>
  <si>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</si>
  <si>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</si>
  <si>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</si>
  <si>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 Send Funds via Local Fund Transfer v1.0_Initiate Local Funds Transfer API_Verify that Transaction ID is generated on successful Intrabank transaction</t>
  </si>
  <si>
    <t>TS-EB-LIVE-PRODUCTS-0146: Send Funds via Local Fund Transfer v1.0_Initiate Local Funds Transfer API_Verify that Transaction ID is generated on successful Instapay transaction</t>
  </si>
  <si>
    <t>TS-EB-LIVE-PRODUCTS-0147: Send Funds via Local Fund Transfer v1.0_Initiate Local Funds Transfer API_Verify that Transaction ID is generated on successful PESONet transaction</t>
  </si>
  <si>
    <t>TS-EB-LIVE-PRODUCTS-0148: Send Funds via Local Fund Transfer v1.0_Initiate Local Funds Transfer API_Verify that apiTxnId format containts 36 BIGINT auto-increment primary key of Intrabank transaction</t>
  </si>
  <si>
    <t>TS-EB-LIVE-PRODUCTS-0149: Send Funds via Local Fund Transfer v1.0_Initiate Local Funds Transfer API_Verify that apiTxnId format containts 36 BIGINT auto-increment primary key of Instapay transaction</t>
  </si>
  <si>
    <t>TS-EB-LIVE-PRODUCTS-0150: Send Funds via Local Fund Transfer v1.0_Initiate Local Funds Transfer API_Verify that apiTxnId format containts 36 BIGINT auto-increment primary key of PESONet transaction</t>
  </si>
  <si>
    <t>TS-EB-LIVE-PRODUCTS-0151: Send Funds via Local Fund Transfer v1.0_Initiate Local Funds Transfer API_Verify that apiTxnRef has correct format of Intrabank transaction</t>
  </si>
  <si>
    <t>TS-EB-LIVE-PRODUCTS-0152: Send Funds via Local Fund Transfer v1.0_Initiate Local Funds Transfer API_Verify that apiTxnRef has correct format of Instapay transaction</t>
  </si>
  <si>
    <t>TS-EB-LIVE-PRODUCTS-0153: Send Funds via Local Fund Transfer v1.0_Initiate Local Funds Transfer API_Verify that apiTxnRef has correct format of PESONet transaction</t>
  </si>
  <si>
    <t>TS-EB-LIVE-PRODUCTS-0154: Send Funds via Local Fund Transfer v1.0_Initiate Local Funds Transfer API_Verify that apiTxnRef has propagated to downstream system upon doing Intrabank transaction</t>
  </si>
  <si>
    <t>TS-EB-LIVE-PRODUCTS-0155: Send Funds via Local Fund Transfer v1.0_Initiate Local Funds Transfer API_Verify that apiTxnRef has propagated to downstream system Instapay transaction</t>
  </si>
  <si>
    <t>TS-EB-LIVE-PRODUCTS-0156: Send Funds via Local Fund Transfer v1.0_Initiate Local Funds Transfer API_Verify that apiTxnRef has propagated to downstream system PESONet transaction</t>
  </si>
  <si>
    <t>TS-EB-LIVE-PRODUCTS-0157: Send Funds via Local Fund Transfer v1.0_Initiate Local Funds Transfer API_Verify Intrabank/InstaPay/PESONETrail Initial Status</t>
  </si>
  <si>
    <t>TS-EB-LIVE-PRODUCTS-0159: Send Funds via Local Fund Transfer v1.0_Initiate Local Funds Transfer API_Verify strict reconciliation between API Portal, Core Banking, and payment rails</t>
  </si>
  <si>
    <t>TS-EB-LIVE-PRODUCTS-0162: Send Funds via Local Fund Transfer v1.0_Initiate Local Funds Transfer API_Verify Status progression of created transfer</t>
  </si>
  <si>
    <t>TS-EB-LIVE-PRODUCTS-0163: Send Funds via Local Fund Transfer v1.0_Initiate Local Funds Transfer API_Verify mismatch status of transactions in Client Hub -Transaction Management page</t>
  </si>
  <si>
    <t>TS-EB-LIVE-PRODUCTS-0164: Send Funds via Local Fund Transfer v1.0_Initiate Local Funds Transfer API_Verify mismatch status of transactions in Check Local Funds Transfer Details and Status API endpoint</t>
  </si>
  <si>
    <t>TS-EB-LIVE-PRODUCTS-0165: Send Funds via Local Fund Transfer v1.0_Initiate Local Funds Transfer API_Verify handling of mismatch status of transactions existed</t>
  </si>
  <si>
    <t>TS-EB-LIVE-PRODUCTS-0166: Send Funds via Local Fund Transfer v1.0_Initiate Local Funds Transfer API_Verify all transaction status transitions are logged and auditable in the Dedicated External API Portal Database</t>
  </si>
  <si>
    <t>TS-EB-LIVE-PRODUCTS-0167: Send Funds via Local Fund Transfer v1.0_Initiate Local Funds Transfer API_Verify that a valid intrabank fund transfer request is forwarded to EWB Core and processed immediately</t>
  </si>
  <si>
    <t>TS-EB-LIVE-PRODUCTS-0168: Send Funds via Local Fund Transfer v1.0_Initiate Local Funds Transfer API_Verify that a valid Instapay fund transfer request is forwarded to EWB Core and processed via the InstaPay payment rail.</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</si>
  <si>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</si>
  <si>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 Send Funds via Local Fund Transfer v1.0_Initiate Local Funds Transfer API_Verify error response status of failed request due to missing or invalid access token</t>
  </si>
  <si>
    <t>TS-EB-LIVE-PRODUCTS-0172: Send Funds via Local Fund Transfer v1.0_Initiate Local Funds Transfer API_Verify error response status of failed request due to unauthorized application access (Correct credentials but no access to the resource)</t>
  </si>
  <si>
    <t>TS-EB-LIVE-PRODUCTS-0173: Send Funds via Local Fund Transfer v1.0_Initiate Local Funds Transfer API_Verify error response status of failed request due to invalid or incomplete request payload/details</t>
  </si>
  <si>
    <t>TS-EB-LIVE-PRODUCTS-0174: Send Funds via Local Fund Transfer v1.0_Initiate Local Funds Transfer API_Verify error response status of failed request when reusing an Idempotency‑Key with a different payload</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</si>
  <si>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</si>
  <si>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</si>
  <si>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</si>
  <si>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 Send Funds via Local Fund Transfer v1.0_Initiate Local Funds Transfer API_Verify error response structure for failed local funds transfer initiation</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</si>
  <si>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</si>
  <si>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</si>
  <si>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 Send Funds via Local Fund Transfer v1.0_Initiate Local Funds Transfer API_Verify failed retry of a timed‑out local funds transfer request using the same idepotency key with a different payload</t>
  </si>
  <si>
    <t>TS-EB-LIVE-PRODUCTS-0179: Send Funds via Local Fund Transfer v1.0_Initiate Local Funds Transfer API_Verify retry behavior when attempting to resend an already completed local funds transfer request</t>
  </si>
  <si>
    <t>TS-EB-LIVE-PRODUCTS-0180: Send Funds via Local Fund Transfer v1.0_Initiate Local Funds Transfer API_Verify behavior when retrying a timed‑out local funds transfer request using a new idempotency key</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</si>
  <si>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</si>
  <si>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</si>
  <si>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 Send Funds via Local Fund Transfer v1.0_Initiate Local Funds Transfer API_Verify that successful authentication request of transaction is logged</t>
  </si>
  <si>
    <t>TS-EB-LIVE-PRODUCTS-0183: Send Funds via Local Fund Transfer v1.0_Initiate Local Funds Transfer API_Verify that failed authentication request of transaction is logged</t>
  </si>
  <si>
    <t>TS-EB-LIVE-PRODUCTS-0184: Send Funds via Local Fund Transfer v1.0_Initiate Local Funds Transfer API_Verify that successful idempotency handling is logged</t>
  </si>
  <si>
    <t>TS-EB-LIVE-PRODUCTS-0185: Send Funds via Local Fund Transfer v1.0_Initiate Local Funds Transfer API_Verify that status changes of transaction is logged</t>
  </si>
  <si>
    <t>TS-EB-LIVE-PRODUCTS-0186: Send Funds via Local Fund Transfer v1.0_Initiate Local Funds Transfer API_Verify that Transaction ID Generation is logged</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</si>
  <si>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</si>
  <si>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</si>
  <si>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</si>
  <si>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</si>
  <si>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</si>
  <si>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</si>
  <si>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 Send Funds via Local Fund Transfer v1.0_Initiate Local Funds Transfer API_Verify Successful initiation of a Local Funds Transfer via Instapay but Failed transaction due to Payment Rail Timeout</t>
  </si>
  <si>
    <t>TS-EB-LIVE-PRODUCTS-0216: Send Funds via Local Fund Transfer v1.0_Initiate Local Funds Transfer API_Verify Successful initiation of a Local Funds Transfer via PESONet but Failed transaction due to Payment Rail Timeout</t>
  </si>
  <si>
    <t>TS-EB-LIVE-PRODUCTS-0217: Send Funds via Local Fund Transfer v1.0_Initiate Local Funds Transfer API_Verify Successful initiation of a Local Funds Transfer via Instapay but Failed transaction due to Payment Rail Error, Errors due to EWB,Catch All</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</si>
  <si>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</si>
  <si>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</si>
  <si>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 Send Funds via Local Fund Transfer v1.0_Initiate Local Funds Transfer API_Verify Successful initiation of a Local Funds Transfer via Intrabank but Failed due to transaction not push through Catch All</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</si>
  <si>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</si>
  <si>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</si>
  <si>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</si>
  <si>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</si>
  <si>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</si>
  <si>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</si>
  <si>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OUT_RequestHeaders</t>
  </si>
  <si>
    <t>OUT_RequestBody</t>
  </si>
  <si>
    <t>OUT_ResponseHeaders</t>
  </si>
  <si>
    <t>OUT_ResponseBody</t>
  </si>
  <si>
    <t>3B349785460000000000062</t>
  </si>
  <si>
    <t>202,200</t>
  </si>
  <si>
    <t>403, 500</t>
  </si>
  <si>
    <t>202, 200</t>
  </si>
  <si>
    <t>200, 202</t>
  </si>
  <si>
    <t>202, 503</t>
  </si>
  <si>
    <t>1VjIqTcMCJ8tIv8bMpv9l9x01ebYQd89</t>
  </si>
  <si>
    <t>cnfKqb1Q53rmlS8HifRZf7zvtGZOSlUI</t>
  </si>
  <si>
    <t>Core</t>
  </si>
  <si>
    <t xml:space="preserve">Failed/Rejected Status 401 Unauthorized
- clear error message. 
Error: Token does not match client credentials
- Token validation executes in p99 latency &lt; 30 ms. </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</si>
  <si>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</si>
  <si>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</si>
  <si>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</si>
  <si>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</si>
  <si>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</si>
  <si>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</si>
  <si>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</si>
  <si>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</si>
  <si>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</si>
  <si>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</si>
  <si>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</si>
  <si>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TS-EB-PRODUCTS-0297</t>
  </si>
  <si>
    <t>TS-EB-PRODUCTS-0297: Account Authentication via Access Token v1.0_Generate Account Access Token API_Verify send request with missing mandatory parameters.</t>
  </si>
  <si>
    <t>Failed 400 (Bad Request) Error details for missing fields</t>
  </si>
  <si>
    <t>TS-EB-PRODUCTS-0298</t>
  </si>
  <si>
    <t>TS-EB-PRODUCTS-0298: Account Authentication via Access Token v1.0_Generate Account Access Token API_Verify send request from an IP not whitelisted for the application.</t>
  </si>
  <si>
    <t>Failed Request 403 (Forbidden) No token generated</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</si>
  <si>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</si>
  <si>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</si>
  <si>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</si>
  <si>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t>
  </si>
  <si>
    <t>TS-EB-PRODUCTS-0300: Account Authentication via Access Token v1.0_Generate Account Access Token API_Verify status in Database of successful Client Owned Account Authentication</t>
  </si>
  <si>
    <t>TS-EB-PRODUCTS-0300_1</t>
  </si>
  <si>
    <t>TS-EB-PRODUCTS-0300_1: Account Authentication via Access Token v1.0_Generate Account Access Token API_Verify authentication token is usable in the next account-based API call within the expiry window</t>
  </si>
  <si>
    <t>Failed/ Rejected Request 401 Unauthorized No token generated, authid, redirectUrl are returned Invalid credential attempts are rejected within 300 ms.</t>
  </si>
  <si>
    <t>Failed / Rejected Request 400 Bad Request - error code invalid_account - clear errorDescription. No token or redirectUrl is issued. Core banking validation completes and rejects within 300 ms.</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</si>
  <si>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</si>
  <si>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</si>
  <si>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</si>
  <si>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</si>
  <si>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</si>
  <si>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</si>
  <si>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</si>
  <si>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</si>
  <si>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</si>
  <si>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</si>
  <si>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</si>
  <si>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</si>
  <si>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</si>
  <si>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</si>
  <si>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</si>
  <si>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</si>
  <si>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</si>
  <si>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</si>
  <si>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</si>
  <si>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TS-EB-LIVE-PRODUCTS-0296</t>
  </si>
  <si>
    <t>TS-EB-LIVE-PRODUCTS-0296: Account Authentication via Access Token v1.0_Generate Account Access Token API_Verify Token generation for Client-Owned Account</t>
  </si>
  <si>
    <t>TS-EB-LIVE-PRODUCTS-0297</t>
  </si>
  <si>
    <t>TS-EB-LIVE-PRODUCTS-0297: Account Authentication via Access Token v1.0_Generate Account Access Token API_Verify send request with missing mandatory parameters</t>
  </si>
  <si>
    <t>TS-EB-LIVE-PRODUCTS-0298</t>
  </si>
  <si>
    <t>TS-EB-LIVE-PRODUCTS-0298: Account Authentication via Access Token v1.0_Generate Account Access Token API_Verify send request from an IP not whitelisted for the application</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</si>
  <si>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</si>
  <si>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</si>
  <si>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t>
  </si>
  <si>
    <t>TS-EB-LIVE-PRODUCTS-0300: Account Authentication via Access Token v1.0_Generate Account Access Token API_Verify status in Database of successful Client Owned Account Authentication</t>
  </si>
  <si>
    <t>TS-EB-LIVE-PRODUCTS-0300_1</t>
  </si>
  <si>
    <t>TS-EB-LIVE-PRODUCTS-0300_1: Account Authentication via Access Token v1.0_Generate Account Access Token API_Verify authentication token is usable in the next account-based API call within the expiry window</t>
  </si>
  <si>
    <t>TS-EB-LIVE-PRODUCTS-0301</t>
  </si>
  <si>
    <t>TS-EB-LIVE-PRODUCTS-0301: Account Authentication via Access Token v1.0_Generate Account Access Token API_Verify POST request using Invalid client credentials</t>
  </si>
  <si>
    <t>TS-EB-LIVE-PRODUCTS-0302</t>
  </si>
  <si>
    <t>TS-EB-LIVE-PRODUCTS-0302: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</si>
  <si>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</si>
  <si>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</si>
  <si>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</si>
  <si>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</si>
  <si>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</si>
  <si>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</si>
  <si>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</si>
  <si>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</si>
  <si>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TS-EB-PRODUCTS-0009: Send Funds via Local Fund Transfer v1.0_Initiate Local Funds Transfer API_Verify Successful initiation of a Local funds transfer via Intrabank (EWB to EWRB)</t>
  </si>
  <si>
    <t>TS-EB-PRODUCTS-0011: Send Funds via Local Fund Transfer v1.0_Initiate Local Funds Transfer API_Verify Successful initiation of a local funds transfer via PESONet</t>
  </si>
  <si>
    <t>TS-EB-PRODUCTS-0014: Send Funds via Local Fund Transfer v1.0_Initiate Local Funds Transfer API_Validate Status via Transaction Management page in Client Hub</t>
  </si>
  <si>
    <t>TS-EB-PRODUCTS-0015: Send Funds via Local Fund Transfer v1.0_Initiate Local Funds Transfer API_Validate Transaction Status via Check Local Funds Transfer Details and Status API</t>
  </si>
  <si>
    <t>TS-EB-PRODUCTS-0016: Send Funds via Local Fund Transfer v1.0_Initiate Local Funds Transfer API_Verify Successful initiation of a local funds transfer via Intrabank but Failed transaction upon using Inactive EWB Beneficiary Account</t>
  </si>
  <si>
    <t>TS-EB-PRODUCTS-0017: Send Funds via Local Fund Transfer v1.0_Initiate Local Funds Transfer API_Verify Successful initiation of a local funds transfer via Instapay but Failed transaction upon rejected by Instapay</t>
  </si>
  <si>
    <t>TS-EB-PRODUCTS-0018: Send Funds via Local Fund Transfer v1.0_Initiate Local Funds Transfer API_Verify Successful initiation of a local funds transfer via PESONet but Failed transaction upon rejected by PESONet</t>
  </si>
  <si>
    <t>TS-EB-PRODUCTS-0020: Send Funds via Local Fund Transfer v1.0_Initiate Local Funds Transfer API_Transfer with Zero amount</t>
  </si>
  <si>
    <t>TS-EB-PRODUCTS-0021: Send Funds via Local Fund Transfer v1.0_Initiate Local Funds Transfer API_Transfer with Negative amount</t>
  </si>
  <si>
    <t>TS-EB-PRODUCTS-0022: Send Funds via Local Fund Transfer v1.0_Initiate Local Funds Transfer API_Transfer with Insufficient Balance</t>
  </si>
  <si>
    <t>TS-EB-PRODUCTS-0023: Send Funds via Local Fund Transfer v1.0_Initiate Local Funds Transfer API_Transfer with No Amount</t>
  </si>
  <si>
    <t>TS-EB-PRODUCTS-0024: Send Funds via Local Fund Transfer v1.0_Initiate Local Funds Transfer API_Transfer with Alphanumeric amount</t>
  </si>
  <si>
    <t>TS-EB-PRODUCTS-0028: Send Funds via Local Fund Transfer v1.0_Initiate Local Funds Transfer API_Verify if Invalid Partner ID is use in Local Fund Transfer</t>
  </si>
  <si>
    <t>TS-EB-PRODUCTS-0034: Send Funds via Local Fund Transfer v1.0_Initiate Local Funds Transfer API_Verify Initiation of Local Funds Transfer with Pending Closure Source Account via EWB to EWB</t>
  </si>
  <si>
    <t>TS-EB-PRODUCTS-0035: Send Funds via Local Fund Transfer v1.0_Initiate Local Funds Transfer API_Verify Initiation of Local Funds Transfer with Pending Closure Source Account via EWB to EWRB</t>
  </si>
  <si>
    <t>TS-EB-PRODUCTS-0036: Send Funds via Local Fund Transfer v1.0_Initiate Local Funds Transfer API_Verify Initiation of Local Funds Transfer with Pending Closure Source Account via EWB to InstaPay</t>
  </si>
  <si>
    <t>TS-EB-PRODUCTS-0037: Send Funds via Local Fund Transfer v1.0_Initiate Local Funds Transfer API_Verify Initiation of Local Funds Transfer with Pending Closure Source Account via EWB to PESONet</t>
  </si>
  <si>
    <t>TS-EB-PRODUCTS-0043: Send Funds via Local Fund Transfer v1.0_Initiate Local Funds Transfer API_Verify Local Fund Transfer if Beneficiary Account is Closed or Inactive via Intrabank</t>
  </si>
  <si>
    <t>TS-EB-PRODUCTS-0044: Send Funds via Local Fund Transfer v1.0_Initiate Local Funds Transfer API_Verify Initiation of Local Funds Transfer with Non-Existing Source Account via EWB to EWB</t>
  </si>
  <si>
    <t>TS-EB-PRODUCTS-0045: Send Funds via Local Fund Transfer v1.0_Initiate Local Funds Transfer API_Verify Initiation of Local Funds Transfer with Non-Existing Source Account via EWB to EWRB</t>
  </si>
  <si>
    <t>TS-EB-PRODUCTS-0046: Send Funds via Local Fund Transfer v1.0_Initiate Local Funds Transfer API_Verify Initiation of Local Funds Transfer with Non-Existing Source Account via EWB to InstaPay</t>
  </si>
  <si>
    <t>TS-EB-PRODUCTS-0047: Send Funds via Local Fund Transfer v1.0_Initiate Local Funds Transfer API_Verify Initiation of Local Funds Transfer with Non-Existing Source Account via EWB to PESONet</t>
  </si>
  <si>
    <t>TS-EB-PRODUCTS-0048: Send Funds via Local Fund Transfer v1.0_Initiate Local Funds Transfer API_Verify Initiation of Local Funds Transfer with Non-Existing Beneficiary Account via EWB to EWB</t>
  </si>
  <si>
    <t>TS-EB-PRODUCTS-0049: Send Funds via Local Fund Transfer v1.0_Initiate Local Funds Transfer API_Verify Initiation of Local Funds Transfer with Non-Existing Beneficiary Account via EWB to EWRB</t>
  </si>
  <si>
    <t>TS-EB-PRODUCTS-0050: Send Funds via Local Fund Transfer v1.0_Initiate Local Funds Transfer API_Verify Initiation of Local Funds Transfer with Non-Existing Beneficiary Account EWB to InstaPay</t>
  </si>
  <si>
    <t>TS-EB-PRODUCTS-0051: Send Funds via Local Fund Transfer v1.0_Initiate Local Funds Transfer API_Verify Initiation of Local Funds Transfer with Non-Existing Beneficiary Account EWB to PESONet</t>
  </si>
  <si>
    <t>TS-EB-PRODUCTS-0052: Send Funds via Local Fund Transfer v1.0_Initiate Local Funds Transfer API_Verify Initiation of Local Funds Transfer via EWB to EWB with Post No Debit Source Account Number</t>
  </si>
  <si>
    <t>TS-EB-PRODUCTS-0053: Send Funds via Local Fund Transfer v1.0_Initiate Local Funds Transfer API_Verify Initiation of Local Funds Transfer across via EWB to EWRB with Post No Debit Source Account Number</t>
  </si>
  <si>
    <t>TS-EB-PRODUCTS-0054: Send Funds via Local Fund Transfer v1.0_Initiate Local Funds Transfer API_Verify Initiation of Local Funds Transfer via EWB to InstaPay with Post No Debit Source Account Number</t>
  </si>
  <si>
    <t>TS-EB-PRODUCTS-0055: Send Funds via Local Fund Transfer v1.0_Initiate Local Funds Transfer API_Verify Initiation of Local Funds Transfer via EWB to PESONet with Post No Debit Source Account Number</t>
  </si>
  <si>
    <t>TS-EB-PRODUCTS-0056: Send Funds via Local Fund Transfer v1.0_Initiate Local Funds Transfer API_Verify Initiation of Local Funds Transfer via EWB to EWB with Post No Credit Source Account Number</t>
  </si>
  <si>
    <t>TS-EB-PRODUCTS-0057: Send Funds via Local Fund Transfer v1.0_Initiate Local Funds Transfer API_Verify Initiation of Local Funds Transfer via EWB to EWRB with Post No Credit Source Account Number</t>
  </si>
  <si>
    <t>TS-EB-PRODUCTS-0058: Send Funds via Local Fund Transfer v1.0_Initiate Local Funds Transfer API_Verify Initiation of Local Funds Transfer via EWB to InstaPay with Post No Credit Source Account Number</t>
  </si>
  <si>
    <t>TS-EB-PRODUCTS-0059: Send Funds via Local Fund Transfer v1.0_Initiate Local Funds Transfer API_Verify Initiation of Local Funds Transfer via EWB to PESONet with Post No Credit Source Account Number</t>
  </si>
  <si>
    <t>TS-EB-PRODUCTS-0060: Send Funds via Local Fund Transfer v1.0_Initiate Local Funds Transfer API_Verify Initiation of Local Funds Transfer via EWB to EWB with Post No Entries Source Account Number</t>
  </si>
  <si>
    <t>TS-EB-PRODUCTS-0061: Send Funds via Local Fund Transfer v1.0_Initiate Local Funds Transfer API_Verify Initiation of Local Funds Transfer via EWB to EWRB with Post No Entries Source Account Number</t>
  </si>
  <si>
    <t>TS-EB-PRODUCTS-0062: Send Funds via Local Fund Transfer v1.0_Initiate Local Funds Transfer API_Verify Initiation of Local Funds Transfer via EWB to InstaPay with Post No Entries Source Account Number</t>
  </si>
  <si>
    <t>TS-EB-PRODUCTS-0063: Send Funds via Local Fund Transfer v1.0_Initiate Local Funds Transfer API_Verify Initiation of Local Funds Transfer via EWB to PESONet with Post No Entries Source Account Number</t>
  </si>
  <si>
    <t>TS-EB-PRODUCTS-0064: Send Funds via Local Fund Transfer v1.0_Initiate Local Funds Transfer API_Verify Initiation of Local Funds Transfer across Intrabank with Post No Debit Beneficiary Account Number</t>
  </si>
  <si>
    <t>TS-EB-PRODUCTS-0065: Send Funds via Local Fund Transfer v1.0_Initiate Local Funds Transfer API_Verify Initiation of Local Funds Transfer across all Intrabank with Post No Credit Beneficiary Account Number</t>
  </si>
  <si>
    <t>TS-EB-PRODUCTS-0066: Send Funds via Local Fund Transfer v1.0_Initiate Local Funds Transfer API_Verify Initiation of Local Funds Transfer across all Intrabank with Post No Entries Beneficiary Account Number</t>
  </si>
  <si>
    <t>TS-EB-PRODUCTS-0067: Send Funds via Local Fund Transfer v1.0_Initiate Local Funds Transfer API_Verify Initiation of Local Funds Transfer via EWB to EWB with Post No Debit Customer CIF / Customer ID</t>
  </si>
  <si>
    <t>TS-EB-PRODUCTS-0068: Send Funds via Local Fund Transfer v1.0_Initiate Local Funds Transfer API_Verify Initiation of Local Funds Transfer via EWB to EWRB with Post No Debit Customer CIF / Customer ID</t>
  </si>
  <si>
    <t>TS-EB-PRODUCTS-0069: Send Funds via Local Fund Transfer v1.0_Initiate Local Funds Transfer API_Verify Initiation of Local Funds Transfer via EWB to Instapay with Post No Debit Customer CIF / Customer ID</t>
  </si>
  <si>
    <t>TS-EB-PRODUCTS-0070: Send Funds via Local Fund Transfer v1.0_Initiate Local Funds Transfer API_Verify Initiation of Local Funds Transfer via EWB to PESONet with Post No Debit Customer CIF / Customer ID</t>
  </si>
  <si>
    <t>TS-EB-PRODUCTS-0071: Send Funds via Local Fund Transfer v1.0_Initiate Local Funds Transfer API_Verify Initiation of Local Funds Transfer via EWB to EWB with Post No Credit Customer CIF / Customer ID</t>
  </si>
  <si>
    <t>TS-EB-PRODUCTS-0072: Send Funds via Local Fund Transfer v1.0_Initiate Local Funds Transfer API_Verify Initiation of Local Funds Transfer via EWB to EWRB with Post No Credit Customer CIF / Customer ID</t>
  </si>
  <si>
    <t>TS-EB-PRODUCTS-0073: Send Funds via Local Fund Transfer v1.0_Initiate Local Funds Transfer API_Verify Initiation of Local Funds Transfer via EWB to InstaPay with Post No Credit Customer CIF / Customer ID</t>
  </si>
  <si>
    <t>TS-EB-PRODUCTS-0074: Send Funds via Local Fund Transfer v1.0_Initiate Local Funds Transfer API_Verify Initiation of Local Funds Transfer via EWB to PESONet with Post No Credit Customer CIF / Customer ID</t>
  </si>
  <si>
    <t>TS-EB-PRODUCTS-0075: Send Funds via Local Fund Transfer v1.0_Initiate Local Funds Transfer API_Verify Initiation of Local Funds Transfer via EWB to EWB with Post No Entries Customer CIF / Customer ID</t>
  </si>
  <si>
    <t>TS-EB-PRODUCTS-0076: Send Funds via Local Fund Transfer v1.0_Initiate Local Funds Transfer API_Verify Initiation of Local Funds Transfer via EWB to EWRB with Post No Entries Customer CIF / Customer ID</t>
  </si>
  <si>
    <t>TS-EB-PRODUCTS-0077: Send Funds via Local Fund Transfer v1.0_Initiate Local Funds Transfer API_Verify Initiation of Local Funds Transfer via EWB to InstaPay with Post No Entries Customer CIF / Customer ID</t>
  </si>
  <si>
    <t>TS-EB-PRODUCTS-0078: Send Funds via Local Fund Transfer v1.0_Initiate Local Funds Transfer API_Verify Initiation of Local Funds Transfer via EWB to PESONet with Post No Entries Customer CIF / Customer ID</t>
  </si>
  <si>
    <t>TS-EB-PRODUCTS-0079: Send Funds via Local Fund Transfer v1.0_Initiate Local Funds Transfer API_Verify Initiation of Local Funds Transfer across Intrabank with Post No Debit Customer CIF / Customer ID (Destination)</t>
  </si>
  <si>
    <t>TS-EB-PRODUCTS-0080: Send Funds via Local Fund Transfer v1.0_Initiate Local Funds Transfer API_Verify Initiation of Local Funds Transfer across Intrabank with Post No Credit Customer CIF / Customer ID / Customer ID (Destination)</t>
  </si>
  <si>
    <t>TS-EB-PRODUCTS-0081: Send Funds via Local Fund Transfer v1.0_Initiate Local Funds Transfer API_Verify Initiation of Local Funds Transfer across Intrabank with Post No Entries Customer CIF / Customer ID(Destination)</t>
  </si>
  <si>
    <t>TS-EB-PRODUCTS-0010: Send Funds via Local Fund Transfer v1.0_Initiate Local Funds Transfer API_Verify Successful initiation of a local funds transfer via InstaPay</t>
  </si>
  <si>
    <t>TS-EB-PRODUCTS-0012: Send Funds via Local Fund Transfer v1.0_Initiate Local Funds Transfer API_Transfer with minimum allowed amount</t>
  </si>
  <si>
    <t>TS-EB-PRODUCTS-0025: Send Funds via Local Fund Transfer v1.0_Initiate Local Funds Transfer API_Verify Invalid Scope in Access Token - Access token does not include sendfunds.initiate</t>
  </si>
  <si>
    <t>TS-EB-PRODUCTS-0026: Send Funds via Local Fund Transfer v1.0_Initiate Local Funds Transfer API_Verify if Expired Access Token is use in Local Fund Transfer</t>
  </si>
  <si>
    <t>TS-EB-PRODUCTS-0029: Send Funds via Local Fund Transfer v1.0_Initiate Local Funds Transfer API_Verify if Missing Access Token is use in Local Fund Transfer</t>
  </si>
  <si>
    <t>TS-EB-PRODUCTS-0038: Send Funds via Local Fund Transfer v1.0_Initiate Local Funds Transfer API_Verify Initiation of Local Funds Transfer with Pending Closure Beneficiary Account via Intrabank</t>
  </si>
  <si>
    <t>TS-EB-PRODUCTS-0039: Send Funds via Local Fund Transfer v1.0_Initiate Local Funds Transfer API_Verify Local Fund Transfer if Source Account is Closed or Inactive via EWB to EWB</t>
  </si>
  <si>
    <t>TS-EB-PRODUCTS-0040: Send Funds via Local Fund Transfer v1.0_Initiate Local Funds Transfer API_Verify Local Fund Transfer if Source Account is Closed or Inactive via EWB to EWRB</t>
  </si>
  <si>
    <t>TS-EB-PRODUCTS-0041: Send Funds via Local Fund Transfer v1.0_Initiate Local Funds Transfer API_Verify Local Fund Transfer if Source Account is Closed or Inactive via EWB to InstaPay</t>
  </si>
  <si>
    <t>TS-EB-PRODUCTS-0042: Send Funds via Local Fund Transfer v1.0_Initiate Local Funds Transfer API_Verify Local Fund Transfer if Source Account is Closed or Inactive via EWB to PESONet</t>
  </si>
  <si>
    <t>TS-EB-PRODUCTS-0013: Send Funds via Local Fund Transfer v1.0_Initiate Local Funds Transfer API_Transfer with maximum allowed amount</t>
  </si>
  <si>
    <t>TS-EB-PRODUCTS-0019: Send Funds via Local Fund Transfer v1.0_Initiate Local Funds Transfer API_Verify Successful initiation of a local funds transfer but Failed transaction upon rejected by receiving bank/E-Wallet</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</si>
  <si>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</si>
  <si>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</si>
  <si>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The transaction is ready for status checks via Client Hub Transaction Management Page.
Status = RECEIVED</t>
  </si>
  <si>
    <t>Send POST Request of Send Funds via Local Fund Transfer for Instapay but Failed due to InstaPay rejection</t>
  </si>
  <si>
    <t>Success 202 ACCEPTED 
Status = RECEIVED
Complete rejection code and description must be included into the API response and API Portal Database (for Client Hub viewing and Transaction Inquiry APIs)</t>
  </si>
  <si>
    <t>Send POST Request of Send Funds via Local Fund Transfer for PESONet but Failed due to PEOSNet rejection</t>
  </si>
  <si>
    <t>Failed Status 403 Forbidden</t>
  </si>
  <si>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</si>
  <si>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</si>
  <si>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</si>
  <si>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</si>
  <si>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</si>
  <si>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</si>
  <si>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</si>
  <si>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</si>
  <si>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Success 202 ACCEPTED 
Transaction is within Limits</t>
  </si>
  <si>
    <t>Send POST Request of Send Funds via Local Fund Transfer using expired access in Authorization</t>
  </si>
  <si>
    <t>Send POST Request of Send Funds via Local Fund Transfer without/missing Access Token on Authorization</t>
  </si>
  <si>
    <t>Send POST Request of Send Funds via Local Fund Transfer across Intrabank using Invalid (Pending Closure) Beneficiary Account</t>
  </si>
  <si>
    <t>Send POST Request of Send Funds via Local Fund Transfer but Failed due to E-Wallet/Receiving Bank rejection</t>
  </si>
  <si>
    <t>TS-EB-PRODUCTS-0252: Send Funds via Local Fund Transfer v1.0_Initiate Local Funds Transfer API_Verify Successful initiation of a Local Funds Transfer via PESONet but Failed transaction upon rejected by PESONet due to target Bank/Wallet Account cannot acc</t>
  </si>
  <si>
    <t>Success 200 OK 
Status = RECEIVED
Complete rejection code and description must be included into the API response and API Portal Database (for Client Hub viewing and Transaction Inquiry APIs)</t>
  </si>
  <si>
    <t>Status 200 OK</t>
  </si>
  <si>
    <t>TS-EB-PRODUCTS-0008</t>
  </si>
  <si>
    <t>TS-EB-PRODUCTS-0009</t>
  </si>
  <si>
    <t>TS-EB-PRODUCTS-0011</t>
  </si>
  <si>
    <t>TS-EB-EB-PRODUCTS-0008</t>
  </si>
  <si>
    <t>TS-EB-PRODUCTS-0014</t>
  </si>
  <si>
    <t>TS-EB-PRODUCTS-0015</t>
  </si>
  <si>
    <t>TS-EB-PRODUCTS-0016</t>
  </si>
  <si>
    <t>TS-EB-PRODUCTS-0017</t>
  </si>
  <si>
    <t>TS-EB-PRODUCTS-0018</t>
  </si>
  <si>
    <t>TS-EB-PRODUCTS-0020</t>
  </si>
  <si>
    <t>TS-EB-PRODUCTS-0021</t>
  </si>
  <si>
    <t>TS-EB-PRODUCTS-0022</t>
  </si>
  <si>
    <t>TS-EB-PRODUCTS-0023</t>
  </si>
  <si>
    <t>TS-EB-PRODUCTS-0024</t>
  </si>
  <si>
    <t>TS-EB-PRODUCTS-0028</t>
  </si>
  <si>
    <t>TS-EB-PRODUCTS-0034</t>
  </si>
  <si>
    <t>TS-EB-PRODUCTS-0035</t>
  </si>
  <si>
    <t>TS-EB-PRODUCTS-0036</t>
  </si>
  <si>
    <t>TS-EB-PRODUCTS-0037</t>
  </si>
  <si>
    <t>TS-EB-PRODUCTS-0043</t>
  </si>
  <si>
    <t>TS-EB-PRODUCTS-0044</t>
  </si>
  <si>
    <t>TS-EB-PRODUCTS-0045</t>
  </si>
  <si>
    <t>TS-EB-PRODUCTS-0046</t>
  </si>
  <si>
    <t>TS-EB-PRODUCTS-0047</t>
  </si>
  <si>
    <t>TS-EB-PRODUCTS-0048</t>
  </si>
  <si>
    <t>TS-EB-PRODUCTS-0049</t>
  </si>
  <si>
    <t>TS-EB-PRODUCTS-0050</t>
  </si>
  <si>
    <t>TS-EB-PRODUCTS-0051</t>
  </si>
  <si>
    <t>TS-EB-PRODUCTS-0052</t>
  </si>
  <si>
    <t>TS-EB-PRODUCTS-0053</t>
  </si>
  <si>
    <t>TS-EB-PRODUCTS-0054</t>
  </si>
  <si>
    <t>TS-EB-PRODUCTS-0055</t>
  </si>
  <si>
    <t>TS-EB-PRODUCTS-0056</t>
  </si>
  <si>
    <t>TS-EB-PRODUCTS-0057</t>
  </si>
  <si>
    <t>TS-EB-PRODUCTS-0058</t>
  </si>
  <si>
    <t>TS-EB-PRODUCTS-0059</t>
  </si>
  <si>
    <t>TS-EB-PRODUCTS-0060</t>
  </si>
  <si>
    <t>TS-EB-PRODUCTS-0061</t>
  </si>
  <si>
    <t>TS-EB-PRODUCTS-0062</t>
  </si>
  <si>
    <t>TS-EB-PRODUCTS-0063</t>
  </si>
  <si>
    <t>TS-EB-PRODUCTS-0064</t>
  </si>
  <si>
    <t>TS-EB-PRODUCTS-0065</t>
  </si>
  <si>
    <t>TS-EB-PRODUCTS-0066</t>
  </si>
  <si>
    <t>TS-EB-PRODUCTS-0067</t>
  </si>
  <si>
    <t>TS-EB-PRODUCTS-0068</t>
  </si>
  <si>
    <t>TS-EB-PRODUCTS-0069</t>
  </si>
  <si>
    <t>TS-EB-PRODUCTS-0070</t>
  </si>
  <si>
    <t>TS-EB-PRODUCTS-0071</t>
  </si>
  <si>
    <t>TS-EB-PRODUCTS-0072</t>
  </si>
  <si>
    <t>TS-EB-PRODUCTS-0073</t>
  </si>
  <si>
    <t>TS-EB-PRODUCTS-0074</t>
  </si>
  <si>
    <t>TS-EB-PRODUCTS-0075</t>
  </si>
  <si>
    <t>TS-EB-PRODUCTS-0076</t>
  </si>
  <si>
    <t>TS-EB-PRODUCTS-0077</t>
  </si>
  <si>
    <t>TS-EB-PRODUCTS-0078</t>
  </si>
  <si>
    <t>TS-EB-PRODUCTS-0079</t>
  </si>
  <si>
    <t>TS-EB-PRODUCTS-0080</t>
  </si>
  <si>
    <t>TS-EB-PRODUCTS-0081</t>
  </si>
  <si>
    <t>TS-EB-PRODUCTS-0102</t>
  </si>
  <si>
    <t>TS-EB-PRODUCTS-0103</t>
  </si>
  <si>
    <t>TS-EB-PRODUCTS-0104</t>
  </si>
  <si>
    <t>TS-EB-PRODUCTS-0105</t>
  </si>
  <si>
    <t>TS-EB-PRODUCTS-0106</t>
  </si>
  <si>
    <t>TS-EB-PRODUCTS-0107</t>
  </si>
  <si>
    <t>TS-EB-PRODUCTS-0108</t>
  </si>
  <si>
    <t>TS-EB-PRODUCTS-0109</t>
  </si>
  <si>
    <t>TS-EB-PRODUCTS-0110</t>
  </si>
  <si>
    <t>TS-EB-PRODUCTS-0111</t>
  </si>
  <si>
    <t>TS-EB-PRODUCTS-0112</t>
  </si>
  <si>
    <t>TS-EB-PRODUCTS-0113</t>
  </si>
  <si>
    <t>TS-EB-PRODUCTS-0114</t>
  </si>
  <si>
    <t>TS-EB-PRODUCTS-0115</t>
  </si>
  <si>
    <t>TS-EB-PRODUCTS-0116</t>
  </si>
  <si>
    <t>TS-EB-PRODUCTS-0117</t>
  </si>
  <si>
    <t>TS-EB-PRODUCTS-0118</t>
  </si>
  <si>
    <t>TS-EB-PRODUCTS-0119</t>
  </si>
  <si>
    <t>TS-EB-PRODUCTS-0120</t>
  </si>
  <si>
    <t>TS-EB-PRODUCTS-0121</t>
  </si>
  <si>
    <t>TS-EB-PRODUCTS-0131</t>
  </si>
  <si>
    <t>TS-EB-PRODUCTS-0132</t>
  </si>
  <si>
    <t>TS-EB-PRODUCTS-0134</t>
  </si>
  <si>
    <t>TS-EB-PRODUCTS-0135</t>
  </si>
  <si>
    <t>TS-EB-PRODUCTS-0137</t>
  </si>
  <si>
    <t>TS-EB-PRODUCTS-0140</t>
  </si>
  <si>
    <t>TS-EB-PRODUCTS-0142</t>
  </si>
  <si>
    <t>TS-EB-PRODUCTS-0144</t>
  </si>
  <si>
    <t>TS-EB-PRODUCTS-0145</t>
  </si>
  <si>
    <t>TS-EB-PRODUCTS-0146</t>
  </si>
  <si>
    <t>TS-EB-PRODUCTS-0147</t>
  </si>
  <si>
    <t>TS-EB-PRODUCTS-0148</t>
  </si>
  <si>
    <t>TS-EB-PRODUCTS-0149</t>
  </si>
  <si>
    <t>TS-EB-PRODUCTS-0150</t>
  </si>
  <si>
    <t>TS-EB-PRODUCTS-0157</t>
  </si>
  <si>
    <t>TS-EB-PRODUCTS-0159</t>
  </si>
  <si>
    <t>TS-EB-PRODUCTS-0174</t>
  </si>
  <si>
    <t>TS-EB-PRODUCTS-0184</t>
  </si>
  <si>
    <t>TS-EB-PRODUCTS-0318</t>
  </si>
  <si>
    <t>TS-EB-PRODUCTS-0010</t>
  </si>
  <si>
    <t>TS-EB-PRODUCTS-0012</t>
  </si>
  <si>
    <t>TS-EB-PRODUCTS-0025</t>
  </si>
  <si>
    <t>TS-EB-PRODUCTS-0026</t>
  </si>
  <si>
    <t>TS-EB-PRODUCTS-0029</t>
  </si>
  <si>
    <t>TS-EB-PRODUCTS-0038</t>
  </si>
  <si>
    <t>TS-EB-PRODUCTS-0039</t>
  </si>
  <si>
    <t>TS-EB-PRODUCTS-0040</t>
  </si>
  <si>
    <t>TS-EB-PRODUCTS-0041</t>
  </si>
  <si>
    <t>TS-EB-PRODUCTS-0042</t>
  </si>
  <si>
    <t>TS-EB-PRODUCTS-0130</t>
  </si>
  <si>
    <t>TS-EB-PRODUCTS-0133</t>
  </si>
  <si>
    <t>TS-EB-PRODUCTS-0136</t>
  </si>
  <si>
    <t>TS-EB-PRODUCTS-0141</t>
  </si>
  <si>
    <t>TS-EB-PRODUCTS-0143</t>
  </si>
  <si>
    <t>TS-EB-PRODUCTS-0151</t>
  </si>
  <si>
    <t>TS-EB-PRODUCTS-0152</t>
  </si>
  <si>
    <t>TS-EB-PRODUCTS-0153</t>
  </si>
  <si>
    <t>TS-EB-PRODUCTS-0162</t>
  </si>
  <si>
    <t>TS-EB-PRODUCTS-0164</t>
  </si>
  <si>
    <t>TS-EB-PRODUCTS-0166</t>
  </si>
  <si>
    <t>TS-EB-PRODUCTS-0167</t>
  </si>
  <si>
    <t>TS-EB-PRODUCTS-0168</t>
  </si>
  <si>
    <t>TS-EB-PRODUCTS-0169</t>
  </si>
  <si>
    <t>TS-EB-PRODUCTS-0171</t>
  </si>
  <si>
    <t>TS-EB-PRODUCTS-0172</t>
  </si>
  <si>
    <t>TS-EB-PRODUCTS-0173</t>
  </si>
  <si>
    <t>TS-EB-PRODUCTS-0176</t>
  </si>
  <si>
    <t>TS-EB-PRODUCTS-0178</t>
  </si>
  <si>
    <t>TS-EB-PRODUCTS-0179</t>
  </si>
  <si>
    <t>TS-EB-PRODUCTS-0180</t>
  </si>
  <si>
    <t>TS-EB-PRODUCTS-0181</t>
  </si>
  <si>
    <t>TS-EB-PRODUCTS-0182</t>
  </si>
  <si>
    <t>TS-EB-PRODUCTS-0183</t>
  </si>
  <si>
    <t>TS-EB-PRODUCTS-0186</t>
  </si>
  <si>
    <t>TS-EB-PRODUCTS-0250</t>
  </si>
  <si>
    <t>TS-EB-PRODUCTS-0251</t>
  </si>
  <si>
    <t>TS-EB-PRODUCTS-0319</t>
  </si>
  <si>
    <t>TS-EB-PRODUCTS-0013</t>
  </si>
  <si>
    <t>TS-EB-PRODUCTS-0019</t>
  </si>
  <si>
    <t>TS-EB-PRODUCTS-0154</t>
  </si>
  <si>
    <t>TS-EB-PRODUCTS-0155</t>
  </si>
  <si>
    <t>TS-EB-PRODUCTS-0156</t>
  </si>
  <si>
    <t>TS-EB-PRODUCTS-0163</t>
  </si>
  <si>
    <t>TS-EB-PRODUCTS-0165</t>
  </si>
  <si>
    <t>TS-EB-PRODUCTS-0185</t>
  </si>
  <si>
    <t>TS-EB-PRODUCTS-0252</t>
  </si>
  <si>
    <t>TS-EB-PRODUCTS-0253</t>
  </si>
  <si>
    <t>TS-EB-PRODUCTS-0254</t>
  </si>
  <si>
    <t>TS-EB-PRODUCTS-0255</t>
  </si>
  <si>
    <t>TS-EB-PRODUCTS-0256</t>
  </si>
  <si>
    <t>TS-EB-PRODUCTS-0257</t>
  </si>
  <si>
    <t>TS-EB-PRODUCTS-0258</t>
  </si>
  <si>
    <t>TS-EB-PRODUCTS-0259</t>
  </si>
  <si>
    <t>TS-EB-PRODUCTS-0260</t>
  </si>
  <si>
    <t>TS-EB-PRODUCTS-0261</t>
  </si>
  <si>
    <t>TS-EB-PRODUCTS-0008: Send Funds via Local Fund Transfer v1.0_Initiate Local Funds Transfer API_Verify Successful initiation of a Local funds transfer via Intrabank (EWB to EWB)</t>
  </si>
  <si>
    <t>WYZwCR3YdPiXGyUKLOnbsOzVUhN9h2dE</t>
  </si>
  <si>
    <t>Van Dolphh</t>
  </si>
  <si>
    <t>PHVBPHMMXXX</t>
  </si>
  <si>
    <t/>
  </si>
  <si>
    <t>999999999999</t>
  </si>
  <si>
    <t>send-funds.invalid</t>
  </si>
  <si>
    <t>TS-EB-PRODUCTS-0006_1</t>
  </si>
  <si>
    <t>TS-EB-PRODUCTS-0006_2</t>
  </si>
  <si>
    <t>TS-EB-PRODUCTS-0006_1: Account Authentication via Access Token v1.0_Generate Account Access Token API_Verify API Call using Token used with different client credentials</t>
  </si>
  <si>
    <t>TS-EB-PRODUCTS-0006_2: Account Authentication via Access Token v1.0_Generate Account Access Token API_Verify API Call using Token used with different client credentials</t>
  </si>
  <si>
    <t>263847df68</t>
  </si>
  <si>
    <t>TS-EB-PRODUCTS-0301_1: Account Authentication via Access Token v1.0_Generate Account Access Token API_Verify POST request using Invalid client credentials</t>
  </si>
  <si>
    <t>TS-EB-PRODUCTS-0301_2: Account Authentication via Access Token v1.0_Generate Account Access Token API_Verify POST request using Invalid client credentials</t>
  </si>
  <si>
    <t>TS-EB-PRODUCTS-0301_3: Account Authentication via Access Token v1.0_Generate Account Access Token API_Verify POST request using Invalid client credentials</t>
  </si>
  <si>
    <t>TS-EB-PRODUCTS-0301_4: Account Authentication via Access Token v1.0_Generate Account Access Token API_Verify POST request using Invalid client credentials</t>
  </si>
  <si>
    <t>3TaenF9h5d9FCEEUYZRVPc4AxdFggPaxA</t>
  </si>
  <si>
    <t>wE4n0CYiVOdJ9m8EfILMhxm0m4kOaUOr</t>
  </si>
  <si>
    <t>TS-EB-PRODUCTS-0301_1</t>
  </si>
  <si>
    <t>TS-EB-PRODUCTS-0301_2</t>
  </si>
  <si>
    <t>TS-EB-PRODUCTS-0301_3</t>
  </si>
  <si>
    <t>TS-EB-PRODUCTS-0301_4</t>
  </si>
  <si>
    <t>TS-EB-PRODUCTS-0302_2</t>
  </si>
  <si>
    <t>TS-EB-PRODUCTS-0302_1: Account Authentication via Access Token v1.0_Generate Account Access Token API_Verify Send Request using Invalid Account Number</t>
  </si>
  <si>
    <t>TS-EB-PRODUCTS-0302_2: Account Authentication via Access Token v1.0_Generate Account Access Token API_Verify Send Request using Invalid Account Number</t>
  </si>
  <si>
    <t>TS-EB-PRODUCTS-0302_1</t>
  </si>
  <si>
    <t>200P6181781S</t>
  </si>
  <si>
    <t>TS-EB-PRODUCTS-0297_2: Account Authentication via Access Token v1.0_Generate Account Access Token API_Verify send request with missing mandatory parameters.</t>
  </si>
  <si>
    <t xml:space="preserve">1042346954 </t>
  </si>
  <si>
    <t xml:space="preserve">GsG5c0UhuhXUPj4XlY8G1kcjKioiFrqI </t>
  </si>
  <si>
    <t>TS-EB-SB-PRODUCTS-0103_1</t>
  </si>
  <si>
    <t>TS-EB-SB-PRODUCTS-0103_2</t>
  </si>
  <si>
    <t>TS-EB-SB-PRODUCTS-0103_1: Account Authentication via Access Token v1.0_Generate Account Access Token API_Verify send request with missing mandatory parameters.</t>
  </si>
  <si>
    <t>TS-EB-SB-PRODUCTS-0103_2: Account Authentication via Access Token v1.0_Generate Account Access Token API_Verify send request with missing mandatory parameters.</t>
  </si>
  <si>
    <t>hemPVxAxU8QC6QlJuS5GQoPiP0dFdBzP</t>
  </si>
  <si>
    <t>pLRFPZKifoRD00dj761QToHciekWqbbh</t>
  </si>
  <si>
    <t>400,401,403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</si>
</sst>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sz val="8"/>
      <name val="Aptos Narrow"/>
      <family val="2"/>
      <scheme val="minor"/>
    </font>
    <font>
      <b/>
      <sz val="11"/>
      <name val="Aptos Narrow"/>
      <family val="2"/>
    </font>
    <font>
      <i/>
      <sz val="11"/>
      <color rgb="FF586E75"/>
      <name val="Consolas"/>
      <family val="3"/>
    </font>
    <font>
      <sz val="11"/>
      <color rgb="FF000000"/>
      <name val="Aptos Narrow"/>
      <family val="2"/>
    </font>
    <font>
      <sz val="11"/>
      <color rgb="FF242424"/>
      <name val="Aptos Narrow"/>
      <family val="2"/>
    </font>
    <font>
      <sz val="11"/>
      <color rgb="FF000000"/>
      <name val="Aptos Narrow"/>
      <family val="2"/>
      <scheme val="minor"/>
    </font>
    <font>
      <sz val="10"/>
      <color theme="1"/>
      <name val="Aptos Narrow"/>
      <family val="2"/>
      <scheme val="minor"/>
    </font>
    <font>
      <b/>
      <sz val="11"/>
      <color theme="1"/>
      <name val="Aptos Narrow"/>
      <family val="2"/>
      <scheme val="minor"/>
    </font>
    <font>
      <sz val="11"/>
      <color theme="1"/>
      <name val="Aptos Narrow"/>
      <family val="2"/>
      <scheme val="minor"/>
    </font>
    <font>
      <sz val="10"/>
      <color theme="1"/>
      <name val="Aptos Narrow"/>
      <family val="2"/>
      <scheme val="minor"/>
    </font>
    <font>
      <sz val="11"/>
      <color rgb="FF000000"/>
      <name val="Aptos Narrow"/>
      <scheme val="minor"/>
    </font>
    <font>
      <sz val="10"/>
      <color theme="1"/>
      <name val="Calibri Light"/>
    </font>
  </fonts>
  <fills count="12">
    <fill>
      <patternFill patternType="none"/>
    </fill>
    <fill>
      <patternFill patternType="gray125"/>
    </fill>
    <fill>
      <patternFill patternType="solid">
        <fgColor rgb="FF00B0F0"/>
        <bgColor indexed="64"/>
      </patternFill>
    </fill>
    <fill>
      <patternFill patternType="solid">
        <fgColor rgb="FFFFC000"/>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5">
    <xf numFmtId="0" fontId="0" fillId="0" borderId="0" xfId="0"/>
    <xf numFmtId="0" fontId="0" fillId="0" borderId="0" xfId="0"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1" fontId="0" fillId="0" borderId="0" xfId="0" applyNumberFormat="1" applyAlignment="1">
      <alignment horizontal="center" vertical="center" wrapText="1"/>
    </xf>
    <xf numFmtId="49" fontId="0" fillId="0" borderId="0" xfId="0" applyNumberFormat="1" applyAlignment="1">
      <alignment horizontal="center" vertical="center" wrapText="1"/>
    </xf>
    <xf numFmtId="0" fontId="0" fillId="0" borderId="0" xfId="0" quotePrefix="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1" fontId="0" fillId="0" borderId="0" xfId="0" quotePrefix="1" applyNumberFormat="1" applyAlignment="1">
      <alignment horizontal="center" vertical="center" wrapText="1"/>
    </xf>
    <xf numFmtId="0" fontId="0" fillId="0" borderId="0" xfId="0" applyAlignment="1">
      <alignment horizontal="left" vertical="top"/>
    </xf>
    <xf numFmtId="0" fontId="1" fillId="4" borderId="0" xfId="0" applyFont="1" applyFill="1" applyAlignment="1">
      <alignment horizontal="center" vertical="center" wrapText="1"/>
    </xf>
    <xf numFmtId="0" fontId="1" fillId="5" borderId="0" xfId="0" applyFont="1" applyFill="1" applyAlignment="1">
      <alignment horizontal="center" vertical="center" wrapText="1"/>
    </xf>
    <xf numFmtId="0" fontId="4" fillId="0" borderId="0" xfId="0" applyFont="1" applyAlignment="1">
      <alignment vertical="center"/>
    </xf>
    <xf numFmtId="3" fontId="0" fillId="0" borderId="0" xfId="0" applyNumberFormat="1" applyAlignment="1">
      <alignment horizontal="center" vertical="center" wrapText="1"/>
    </xf>
    <xf numFmtId="0" fontId="1" fillId="3" borderId="0" xfId="0" applyFont="1" applyFill="1" applyAlignment="1">
      <alignment horizontal="center" vertical="center"/>
    </xf>
    <xf numFmtId="1" fontId="0" fillId="0" borderId="0" xfId="0" applyNumberFormat="1" applyAlignment="1">
      <alignment horizontal="center" vertical="center"/>
    </xf>
    <xf numFmtId="1" fontId="1" fillId="2" borderId="0" xfId="0" applyNumberFormat="1" applyFont="1" applyFill="1" applyAlignment="1">
      <alignment horizontal="center" vertical="center" wrapText="1"/>
    </xf>
    <xf numFmtId="1" fontId="0" fillId="0" borderId="0" xfId="0" quotePrefix="1" applyNumberFormat="1" applyAlignment="1">
      <alignment horizontal="center" vertical="center"/>
    </xf>
    <xf numFmtId="0" fontId="6" fillId="0" borderId="0" xfId="0" applyFont="1" applyAlignment="1">
      <alignment horizontal="center" vertical="center" wrapText="1"/>
    </xf>
    <xf numFmtId="0" fontId="0" fillId="0" borderId="0" xfId="0" applyAlignment="1">
      <alignment horizontal="left" vertical="top" wrapText="1"/>
    </xf>
    <xf numFmtId="0" fontId="0" fillId="0" borderId="0" xfId="0" quotePrefix="1" applyAlignment="1">
      <alignment horizontal="center" vertical="center"/>
    </xf>
    <xf numFmtId="0" fontId="1" fillId="0" borderId="0" xfId="0" quotePrefix="1" applyFont="1" applyAlignment="1">
      <alignment horizontal="center" vertical="center" wrapText="1"/>
    </xf>
    <xf numFmtId="0" fontId="0" fillId="0" borderId="0" xfId="0" applyAlignment="1">
      <alignment wrapText="1"/>
    </xf>
    <xf numFmtId="0" fontId="1" fillId="6" borderId="0" xfId="0" applyFont="1" applyFill="1" applyAlignment="1">
      <alignment horizontal="center" vertical="center" wrapText="1"/>
    </xf>
    <xf numFmtId="0" fontId="0" fillId="7" borderId="0" xfId="0" applyFill="1"/>
    <xf numFmtId="0" fontId="1" fillId="7" borderId="0" xfId="0" applyFont="1" applyFill="1"/>
    <xf numFmtId="0" fontId="1" fillId="0" borderId="0" xfId="0" applyFont="1" applyAlignment="1">
      <alignment horizontal="left" vertical="top" wrapText="1"/>
    </xf>
    <xf numFmtId="0" fontId="5" fillId="0" borderId="0" xfId="0" applyFont="1" applyAlignment="1">
      <alignment horizontal="left" vertical="top" wrapText="1"/>
    </xf>
    <xf numFmtId="0" fontId="0" fillId="3" borderId="0" xfId="0" applyFill="1" applyAlignment="1">
      <alignment wrapText="1"/>
    </xf>
    <xf numFmtId="0" fontId="0" fillId="3" borderId="0" xfId="0" applyFill="1" applyAlignment="1">
      <alignment horizontal="left" vertical="top" wrapText="1"/>
    </xf>
    <xf numFmtId="0" fontId="0" fillId="3" borderId="0" xfId="0" applyFill="1" applyAlignment="1">
      <alignment horizontal="center" vertical="center" wrapText="1"/>
    </xf>
    <xf numFmtId="0" fontId="1" fillId="8" borderId="0" xfId="0" applyFont="1" applyFill="1" applyAlignment="1">
      <alignment horizontal="center" vertical="center" wrapText="1"/>
    </xf>
    <xf numFmtId="1" fontId="1" fillId="8" borderId="0" xfId="0" applyNumberFormat="1" applyFont="1" applyFill="1" applyAlignment="1">
      <alignment horizontal="center" vertical="center" wrapText="1"/>
    </xf>
    <xf numFmtId="0" fontId="0" fillId="0" borderId="0" xfId="0" quotePrefix="1"/>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quotePrefix="1" applyBorder="1" applyAlignment="1">
      <alignment horizontal="center" vertical="center" wrapText="1"/>
    </xf>
    <xf numFmtId="0" fontId="7" fillId="0" borderId="1" xfId="0" applyFont="1" applyBorder="1" applyAlignment="1">
      <alignment horizontal="center" vertical="center" wrapText="1"/>
    </xf>
    <xf numFmtId="0" fontId="9" fillId="0" borderId="1" xfId="0" applyFont="1" applyBorder="1" applyAlignment="1">
      <alignment horizontal="center" vertical="center"/>
    </xf>
    <xf numFmtId="0" fontId="9" fillId="0" borderId="1" xfId="0" applyFont="1" applyBorder="1" applyAlignment="1">
      <alignment horizontal="center" vertical="center" wrapText="1"/>
    </xf>
    <xf numFmtId="0" fontId="9" fillId="4"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 fontId="10" fillId="0" borderId="1" xfId="0" applyNumberFormat="1" applyFont="1" applyBorder="1" applyAlignment="1">
      <alignment horizontal="center" vertical="center" wrapText="1"/>
    </xf>
    <xf numFmtId="49" fontId="10" fillId="0" borderId="1" xfId="0" applyNumberFormat="1" applyFont="1" applyBorder="1" applyAlignment="1">
      <alignment horizontal="center" vertical="center" wrapText="1"/>
    </xf>
    <xf numFmtId="1" fontId="10" fillId="0" borderId="1" xfId="0" quotePrefix="1" applyNumberFormat="1" applyFont="1" applyBorder="1"/>
    <xf numFmtId="0" fontId="11" fillId="0" borderId="1" xfId="0" applyFont="1" applyBorder="1" applyAlignment="1">
      <alignment horizontal="center" vertical="center" wrapText="1"/>
    </xf>
    <xf numFmtId="0" fontId="10" fillId="0" borderId="1" xfId="0" applyFont="1" applyBorder="1" applyAlignment="1">
      <alignment horizontal="center" wrapText="1"/>
    </xf>
    <xf numFmtId="0" fontId="7" fillId="0" borderId="1" xfId="0" applyFont="1" applyBorder="1" applyAlignment="1">
      <alignment horizontal="center" vertical="center"/>
    </xf>
    <xf numFmtId="0" fontId="0" fillId="0" borderId="1" xfId="0" applyBorder="1" applyAlignment="1">
      <alignment horizontal="center" wrapText="1"/>
    </xf>
    <xf numFmtId="0" fontId="0" fillId="6" borderId="0" xfId="0" applyFill="1"/>
    <xf numFmtId="0" fontId="0" fillId="6" borderId="0" xfId="0" applyFill="1" applyAlignment="1">
      <alignment horizontal="center" vertical="center" wrapText="1"/>
    </xf>
    <xf numFmtId="0" fontId="0" fillId="6" borderId="0" xfId="0" applyFill="1" applyAlignment="1">
      <alignment horizontal="left" vertical="top" wrapText="1"/>
    </xf>
    <xf numFmtId="0" fontId="0" fillId="9" borderId="0" xfId="0" applyFill="1" applyAlignment="1">
      <alignment horizontal="center" vertical="center" wrapText="1"/>
    </xf>
    <xf numFmtId="0" fontId="0" fillId="10" borderId="1" xfId="0" applyFill="1" applyBorder="1" applyAlignment="1">
      <alignment horizontal="center" vertical="center" wrapText="1"/>
    </xf>
    <xf numFmtId="0" fontId="12" fillId="0" borderId="1" xfId="0" applyFont="1" applyBorder="1" applyAlignment="1">
      <alignment horizontal="center" vertical="center" wrapText="1"/>
    </xf>
    <xf numFmtId="0" fontId="13" fillId="0" borderId="1" xfId="0" applyFont="1" applyBorder="1" applyAlignment="1">
      <alignment horizontal="center" vertical="center" wrapText="1"/>
    </xf>
    <xf numFmtId="49" fontId="0" fillId="0" borderId="1" xfId="0" quotePrefix="1" applyNumberFormat="1" applyBorder="1" applyAlignment="1">
      <alignment horizontal="center" vertical="center" wrapText="1"/>
    </xf>
    <xf numFmtId="1" fontId="0" fillId="0" borderId="1" xfId="0" quotePrefix="1" applyNumberFormat="1" applyBorder="1"/>
    <xf numFmtId="0" fontId="0" fillId="11" borderId="1" xfId="0" applyFill="1" applyBorder="1" applyAlignment="1">
      <alignment horizontal="center" vertical="center" wrapText="1"/>
    </xf>
    <xf numFmtId="0" fontId="0" fillId="11" borderId="1" xfId="0" quotePrefix="1" applyFill="1" applyBorder="1" applyAlignment="1">
      <alignment horizontal="center" vertical="center" wrapText="1"/>
    </xf>
    <xf numFmtId="49" fontId="0" fillId="11" borderId="1" xfId="0" quotePrefix="1" applyNumberFormat="1" applyFill="1" applyBorder="1" applyAlignment="1">
      <alignment horizontal="center" vertical="center" wrapText="1"/>
    </xf>
    <xf numFmtId="0" fontId="0" fillId="11" borderId="0" xfId="0" quotePrefix="1" applyFill="1" applyAlignment="1">
      <alignment horizontal="center" vertical="center" wrapText="1"/>
    </xf>
    <xf numFmtId="1" fontId="0" fillId="11" borderId="1" xfId="0" quotePrefix="1" applyNumberFormat="1" applyFill="1" applyBorder="1"/>
    <xf numFmtId="0" fontId="0" fillId="10" borderId="1" xfId="0" applyFill="1" applyBorder="1" applyAlignment="1">
      <alignment horizontal="center" vertical="center"/>
    </xf>
    <xf numFmtId="1" fontId="0" fillId="10" borderId="1" xfId="0" applyNumberFormat="1" applyFill="1" applyBorder="1" applyAlignment="1">
      <alignment horizontal="center" vertical="center" wrapText="1"/>
    </xf>
    <xf numFmtId="49" fontId="0" fillId="10" borderId="1" xfId="0" applyNumberFormat="1" applyFill="1" applyBorder="1" applyAlignment="1">
      <alignment horizontal="center" vertical="center" wrapText="1"/>
    </xf>
    <xf numFmtId="0" fontId="0" fillId="10" borderId="0" xfId="0" quotePrefix="1" applyFill="1" applyAlignment="1">
      <alignment horizontal="center" vertical="center" wrapText="1"/>
    </xf>
    <xf numFmtId="1" fontId="0" fillId="10" borderId="1" xfId="0" quotePrefix="1" applyNumberFormat="1" applyFill="1" applyBorder="1"/>
    <xf numFmtId="0" fontId="8" fillId="10" borderId="1" xfId="0" applyFont="1" applyFill="1" applyBorder="1" applyAlignment="1">
      <alignment horizontal="center" vertical="center" wrapText="1"/>
    </xf>
    <xf numFmtId="0" fontId="0" fillId="10" borderId="1" xfId="0" quotePrefix="1" applyFill="1" applyBorder="1" applyAlignment="1">
      <alignment horizontal="center" vertical="center" wrapText="1"/>
    </xf>
    <xf numFmtId="49" fontId="0" fillId="10" borderId="1" xfId="0" quotePrefix="1" applyNumberFormat="1" applyFill="1" applyBorder="1" applyAlignment="1">
      <alignment horizontal="center" vertical="center" wrapText="1"/>
    </xf>
    <xf numFmtId="1" fontId="0" fillId="2" borderId="1" xfId="0" quotePrefix="1" applyNumberFormat="1" applyFill="1" applyBorder="1"/>
    <xf numFmtId="0" fontId="0" fillId="3" borderId="1" xfId="0" quotePrefix="1" applyFill="1" applyBorder="1" applyAlignment="1">
      <alignment horizontal="center" vertical="center" wrapText="1"/>
    </xf>
    <xf numFmtId="49" fontId="0" fillId="3" borderId="1" xfId="0" quotePrefix="1" applyNumberFormat="1" applyFill="1" applyBorder="1" applyAlignment="1">
      <alignment horizontal="center" vertical="center" wrapText="1"/>
    </xf>
    <xf numFmtId="0" fontId="0" fillId="2" borderId="1" xfId="0" applyFill="1" applyBorder="1" applyAlignment="1">
      <alignment horizontal="center" vertical="center" wrapText="1"/>
    </xf>
    <xf numFmtId="0" fontId="0" fillId="10" borderId="0" xfId="0" applyFill="1"/>
    <xf numFmtId="0" fontId="0" fillId="10" borderId="0" xfId="0" applyFill="1" applyAlignment="1">
      <alignment horizontal="center" vertical="center" wrapText="1"/>
    </xf>
    <xf numFmtId="1" fontId="0" fillId="10" borderId="0" xfId="0" applyNumberFormat="1" applyFill="1" applyAlignment="1">
      <alignment horizontal="center" vertical="center" wrapText="1"/>
    </xf>
    <xf numFmtId="49" fontId="0" fillId="10" borderId="0" xfId="0" applyNumberFormat="1" applyFill="1" applyAlignment="1">
      <alignment horizontal="center" vertical="center" wrapText="1"/>
    </xf>
    <xf numFmtId="0" fontId="0" fillId="10" borderId="0" xfId="0" applyFill="1" applyAlignment="1">
      <alignment wrapText="1"/>
    </xf>
    <xf numFmtId="1" fontId="0" fillId="10" borderId="0" xfId="0" quotePrefix="1" applyNumberFormat="1" applyFill="1"/>
    <xf numFmtId="1" fontId="0" fillId="0" borderId="0" xfId="0" quotePrefix="1" applyNumberFormat="1"/>
    <xf numFmtId="3" fontId="0" fillId="0" borderId="0" xfId="0" quotePrefix="1" applyNumberFormat="1" applyAlignment="1">
      <alignment horizontal="center" vertical="center" wrapText="1"/>
    </xf>
    <xf numFmtId="3" fontId="0" fillId="0" borderId="0" xfId="0" applyNumberForma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282F298A-31A9-445D-9A7F-E4B21AB7B9FC}"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 dT="2026-07-24T09:02:47.16" personId="{282F298A-31A9-445D-9A7F-E4B21AB7B9FC}" id="{B613C371-1884-43AC-87FD-CBC696336E66}">
    <text>Non-Core</text>
  </threadedComment>
  <threadedComment ref="C3" dT="2026-07-24T09:02:47.16" personId="{282F298A-31A9-445D-9A7F-E4B21AB7B9FC}" id="{F600E0C7-AAC6-46A1-B9B2-9A2B72FEE0F3}">
    <text>Non-Core</text>
  </threadedComment>
  <threadedComment ref="C4" dT="2026-07-24T09:02:47.16" personId="{282F298A-31A9-445D-9A7F-E4B21AB7B9FC}" id="{AE298331-5F92-4345-B8A7-1B63CF88FF89}">
    <text>Non-Core</text>
  </threadedComment>
  <threadedComment ref="C5" dT="2026-07-24T09:02:47.16" personId="{282F298A-31A9-445D-9A7F-E4B21AB7B9FC}" id="{5B2A6DAD-291E-4665-AA1A-1D25EED3D7AA}">
    <text>Non-Core</text>
  </threadedComment>
  <threadedComment ref="C6" dT="2026-07-24T09:02:47.16" personId="{282F298A-31A9-445D-9A7F-E4B21AB7B9FC}" id="{EC525707-CDEB-4525-B3B4-3C86F033BF61}">
    <text>Non-Core</text>
  </threadedComment>
  <threadedComment ref="C7" dT="2026-07-24T09:02:47.16" personId="{282F298A-31A9-445D-9A7F-E4B21AB7B9FC}" id="{FBEBAB63-6AE8-4EAE-8921-7FA124AECFFF}">
    <text>Non-Core</text>
  </threadedComment>
  <threadedComment ref="C8" dT="2026-07-24T09:02:47.16" personId="{282F298A-31A9-445D-9A7F-E4B21AB7B9FC}" id="{29EB05C0-E100-4705-A46B-2932525B0E70}">
    <text>Non-Core</text>
  </threadedComment>
  <threadedComment ref="C9" dT="2026-07-24T09:02:47.16" personId="{282F298A-31A9-445D-9A7F-E4B21AB7B9FC}" id="{E0BEE362-C8CD-42DF-BF13-D2560AC1BE5D}">
    <text>Non-Core</text>
  </threadedComment>
  <threadedComment ref="C10" dT="2026-07-24T09:02:47.16" personId="{282F298A-31A9-445D-9A7F-E4B21AB7B9FC}" id="{4C3C9DBC-237A-4294-B3FF-A0FA1DC0CBDF}">
    <text>Non-Core</text>
  </threadedComment>
  <threadedComment ref="C11" dT="2026-07-24T09:02:47.16" personId="{282F298A-31A9-445D-9A7F-E4B21AB7B9FC}" id="{5348164E-DE22-4FF7-BF58-D6E4CF424866}">
    <text>Non-Core</text>
  </threadedComment>
  <threadedComment ref="C12" dT="2026-07-24T09:02:47.16" personId="{282F298A-31A9-445D-9A7F-E4B21AB7B9FC}" id="{5C051A22-F4E5-4A2B-9B1E-76461B4581EA}">
    <text>Non-Core</text>
  </threadedComment>
  <threadedComment ref="C13" dT="2026-07-24T09:02:47.16" personId="{282F298A-31A9-445D-9A7F-E4B21AB7B9FC}" id="{05E16A5D-1983-4487-81B0-4DA05047F893}">
    <text>Non-Core</text>
  </threadedComment>
  <threadedComment ref="C14" dT="2026-07-24T09:02:47.16" personId="{282F298A-31A9-445D-9A7F-E4B21AB7B9FC}" id="{62457F63-977F-4587-9410-6E48B24E1449}">
    <text>Non-Core</text>
  </threadedComment>
  <threadedComment ref="C15" dT="2026-07-24T09:02:47.16" personId="{282F298A-31A9-445D-9A7F-E4B21AB7B9FC}" id="{261B1FC5-6232-44E9-BEB6-A68F2D42ECBE}">
    <text>Non-Core</text>
  </threadedComment>
  <threadedComment ref="C16" dT="2026-07-24T09:02:47.16" personId="{282F298A-31A9-445D-9A7F-E4B21AB7B9FC}" id="{5EB98E0B-6EA8-4E63-AEB5-BB2089CE3932}">
    <text>Non-Core</text>
  </threadedComment>
  <threadedComment ref="C17" dT="2026-07-24T09:02:47.16" personId="{282F298A-31A9-445D-9A7F-E4B21AB7B9FC}" id="{7BFE1258-EA3C-40AE-A4D2-4B147178F0E4}">
    <text>Non-Core</text>
  </threadedComment>
  <threadedComment ref="C18" dT="2026-07-24T09:02:47.16" personId="{282F298A-31A9-445D-9A7F-E4B21AB7B9FC}" id="{1BA2F9FD-BEF6-454A-858D-08044384E6FB}">
    <text>Non-Core</text>
  </threadedComment>
  <threadedComment ref="C19" dT="2026-07-24T09:02:47.16" personId="{282F298A-31A9-445D-9A7F-E4B21AB7B9FC}" id="{650DF1C3-3627-449F-947D-350E2FF4605D}">
    <text>Non-Core</text>
  </threadedComment>
  <threadedComment ref="C20" dT="2026-07-24T09:02:47.16" personId="{282F298A-31A9-445D-9A7F-E4B21AB7B9FC}" id="{2FCA0262-E95D-4A68-90E5-5183B9C40AD6}">
    <text>Non-Core</text>
  </threadedComment>
  <threadedComment ref="C21" dT="2026-07-24T09:02:47.16" personId="{282F298A-31A9-445D-9A7F-E4B21AB7B9FC}" id="{9904F5E2-62B3-45BD-92CE-5D868C0E05F9}">
    <text>Non-Core</text>
  </threadedComment>
  <threadedComment ref="C22" dT="2026-07-24T09:02:47.16" personId="{282F298A-31A9-445D-9A7F-E4B21AB7B9FC}" id="{BA99F3B7-9CB4-4727-BE98-7D4E79D730B4}">
    <text>Non-Core</text>
  </threadedComment>
  <threadedComment ref="C23" dT="2026-07-24T09:02:47.16" personId="{282F298A-31A9-445D-9A7F-E4B21AB7B9FC}" id="{91055B47-1C90-43D1-882A-AB00AF5357BB}">
    <text>Non-Core</text>
  </threadedComment>
  <threadedComment ref="C24" dT="2026-07-24T09:02:47.16" personId="{282F298A-31A9-445D-9A7F-E4B21AB7B9FC}" id="{74A3A7F2-0727-4B40-B4FE-E791E918FD33}">
    <text>Non-Core</text>
  </threadedComment>
  <threadedComment ref="C25" dT="2026-07-24T09:02:47.16" personId="{282F298A-31A9-445D-9A7F-E4B21AB7B9FC}" id="{5420D019-E0B5-4BB1-8205-FC72E8AAFB4C}">
    <text>Non-Core</text>
  </threadedComment>
  <threadedComment ref="C26" dT="2026-07-24T09:02:47.16" personId="{282F298A-31A9-445D-9A7F-E4B21AB7B9FC}" id="{D6AABBDA-3E32-4B3C-88FC-F7BAE9747E52}">
    <text>Non-Core</text>
  </threadedComment>
  <threadedComment ref="C47" dT="2026-07-24T09:02:47.16" personId="{282F298A-31A9-445D-9A7F-E4B21AB7B9FC}" id="{DD4F5FCA-8A72-4CCD-B4C9-C4425B8681CA}">
    <text>Non-Core</text>
  </threadedComment>
  <threadedComment ref="C48" dT="2026-07-24T09:02:47.16" personId="{282F298A-31A9-445D-9A7F-E4B21AB7B9FC}" id="{47EFA323-751B-40C2-BCF1-022518DB5235}">
    <text>Non-Core</text>
  </threadedComment>
  <threadedComment ref="C49" dT="2026-07-24T09:02:47.16" personId="{282F298A-31A9-445D-9A7F-E4B21AB7B9FC}" id="{AA0AB137-8361-4B28-B61D-13673827C368}">
    <text>Non-Core</text>
  </threadedComment>
  <threadedComment ref="C50" dT="2026-07-24T09:02:47.16" personId="{282F298A-31A9-445D-9A7F-E4B21AB7B9FC}" id="{FF19C899-4429-4DB1-87D7-D6C68B9D8570}">
    <text>Non-Core</text>
  </threadedComment>
  <threadedComment ref="C51" dT="2026-07-24T09:02:47.16" personId="{282F298A-31A9-445D-9A7F-E4B21AB7B9FC}" id="{A5E8A8F4-FE29-43D0-9F30-0CDD987CFD7A}">
    <text>Non-Core</text>
  </threadedComment>
  <threadedComment ref="C60" dT="2026-07-24T09:02:47.16" personId="{282F298A-31A9-445D-9A7F-E4B21AB7B9FC}" id="{E5B7F633-5477-4863-AEFE-D1AFE5858D09}">
    <text>Non-Core</text>
  </threadedComment>
  <threadedComment ref="C61" dT="2026-07-24T09:02:47.16" personId="{282F298A-31A9-445D-9A7F-E4B21AB7B9FC}" id="{E949CFAD-A658-4FAF-BB6C-42D82D09AB67}">
    <text>Non-Core</text>
  </threadedComment>
  <threadedComment ref="C80" dT="2026-07-24T09:02:47.16" personId="{282F298A-31A9-445D-9A7F-E4B21AB7B9FC}" id="{947A151A-6E03-483B-9B4D-13B49785D508}">
    <text>Non-Core</text>
  </threadedComment>
  <threadedComment ref="C82" dT="2026-07-24T09:02:47.16" personId="{282F298A-31A9-445D-9A7F-E4B21AB7B9FC}" id="{DC0499D3-26B8-44DC-A49B-F877D7EF3AA9}">
    <text>Non-Core</text>
  </threadedComment>
  <threadedComment ref="C83" dT="2026-07-24T09:02:47.16" personId="{282F298A-31A9-445D-9A7F-E4B21AB7B9FC}" id="{8C25AEF3-5CC1-4427-B172-C199C6558471}">
    <text>Non-Core</text>
  </threadedComment>
</ThreadedComments>
</file>

<file path=xl/threadedComments/threadedComment2.xml><?xml version="1.0" encoding="utf-8"?>
<ThreadedComments xmlns="http://schemas.microsoft.com/office/spreadsheetml/2018/threadedcomments" xmlns:x="http://schemas.openxmlformats.org/spreadsheetml/2006/main">
  <threadedComment ref="C22" dT="2026-07-24T08:55:40.10" personId="{282F298A-31A9-445D-9A7F-E4B21AB7B9FC}" id="{B5A249B4-42FE-4883-8628-56B5C65E1CAA}">
    <text>Non-Core</text>
  </threadedComment>
  <threadedComment ref="C23" dT="2026-07-24T08:55:40.10" personId="{282F298A-31A9-445D-9A7F-E4B21AB7B9FC}" id="{451919F6-F39D-4FEF-A274-A6293C5D3C9F}">
    <text>Non-Core</text>
  </threadedComment>
  <threadedComment ref="C24" dT="2026-07-24T08:55:40.10" personId="{282F298A-31A9-445D-9A7F-E4B21AB7B9FC}" id="{D777E566-FC57-496C-9173-3604830A94F2}">
    <text>Non-Core</text>
  </threadedComment>
  <threadedComment ref="C25" dT="2026-07-24T08:55:40.10" personId="{282F298A-31A9-445D-9A7F-E4B21AB7B9FC}" id="{485846D0-B6C8-440D-ACA3-4BDB83956522}">
    <text>Non-Core</text>
  </threadedComment>
  <threadedComment ref="C26" dT="2026-07-24T08:55:40.10" personId="{282F298A-31A9-445D-9A7F-E4B21AB7B9FC}" id="{602D43B4-1E5B-4129-9ECE-C00B2FBDC2FA}">
    <text>Non-Core</text>
  </threadedComment>
  <threadedComment ref="C27" dT="2026-07-24T08:55:40.10" personId="{282F298A-31A9-445D-9A7F-E4B21AB7B9FC}" id="{93913568-E381-4805-8EEF-820971A5FDEA}">
    <text>Non-Core</text>
  </threadedComment>
  <threadedComment ref="C28" dT="2026-07-24T08:55:40.10" personId="{282F298A-31A9-445D-9A7F-E4B21AB7B9FC}" id="{9813299D-B342-4F13-AFA1-6E61601F2AB4}">
    <text>Non-Core</text>
  </threadedComment>
  <threadedComment ref="C29" dT="2026-07-24T08:55:40.10" personId="{282F298A-31A9-445D-9A7F-E4B21AB7B9FC}" id="{3AA8A912-20B2-490E-9169-A4679AFD4D49}">
    <text>Non-Core</text>
  </threadedComment>
  <threadedComment ref="C30" dT="2026-07-24T08:55:40.10" personId="{282F298A-31A9-445D-9A7F-E4B21AB7B9FC}" id="{397BD02A-81C3-4C5C-A28D-00EAE453CAB1}">
    <text>Non-Core</text>
  </threadedComment>
  <threadedComment ref="C31" dT="2026-07-24T08:55:40.10" personId="{282F298A-31A9-445D-9A7F-E4B21AB7B9FC}" id="{114EDD20-6E6C-48A3-A7B6-9EE534A02982}">
    <text>Non-Core</text>
  </threadedComment>
  <threadedComment ref="C32" dT="2026-07-24T08:55:40.10" personId="{282F298A-31A9-445D-9A7F-E4B21AB7B9FC}" id="{AE8E9020-1626-4CE5-B4BC-99F3CA950ED1}">
    <text>Non-Core</text>
  </threadedComment>
  <threadedComment ref="C33" dT="2026-07-24T08:55:40.10" personId="{282F298A-31A9-445D-9A7F-E4B21AB7B9FC}" id="{7ADCC647-3E10-4751-8720-6CB64EECC0E9}">
    <text>Non-Core</text>
  </threadedComment>
  <threadedComment ref="C74" dT="2026-07-24T08:55:40.10" personId="{282F298A-31A9-445D-9A7F-E4B21AB7B9FC}" id="{97F88878-6C03-4CFA-A2B2-D40AC419B6F2}">
    <text>Non-Core</text>
  </threadedComment>
  <threadedComment ref="C95" dT="2026-07-24T08:55:40.10" personId="{282F298A-31A9-445D-9A7F-E4B21AB7B9FC}" id="{D4D19B71-B8C2-4339-9E14-0B11383BD586}">
    <text>Non-Core</text>
  </threadedComment>
</ThreadedComments>
</file>

<file path=xl/threadedComments/threadedComment3.xml><?xml version="1.0" encoding="utf-8"?>
<ThreadedComments xmlns="http://schemas.microsoft.com/office/spreadsheetml/2018/threadedcomments" xmlns:x="http://schemas.openxmlformats.org/spreadsheetml/2006/main">
  <threadedComment ref="C76" dT="2026-07-24T09:12:48.41" personId="{282F298A-31A9-445D-9A7F-E4B21AB7B9FC}" id="{C5BF37AD-3E95-4418-95C5-FB03435B9DEF}">
    <text>Non-Core</text>
  </threadedComment>
  <threadedComment ref="C77" dT="2026-07-24T09:12:48.41" personId="{282F298A-31A9-445D-9A7F-E4B21AB7B9FC}" id="{E1196394-B596-44A8-8431-DBB4D432D063}">
    <text>Non-Core</text>
  </threadedComment>
  <threadedComment ref="C78" dT="2026-07-24T09:12:48.41" personId="{282F298A-31A9-445D-9A7F-E4B21AB7B9FC}" id="{F5B312C9-B3BD-4611-9E49-6E26844FFE63}">
    <text>Non-Core</text>
  </threadedComment>
  <threadedComment ref="C79" dT="2026-07-24T09:12:48.41" personId="{282F298A-31A9-445D-9A7F-E4B21AB7B9FC}" id="{C581BF89-E035-4FEF-B6E8-8DF747A59515}">
    <text>Non-Core</text>
  </threadedComment>
  <threadedComment ref="C80" dT="2026-07-24T09:12:48.41" personId="{282F298A-31A9-445D-9A7F-E4B21AB7B9FC}" id="{284FBAE3-B048-410D-BBAC-3E95CA7EDC2E}">
    <text>Non-Core</text>
  </threadedComment>
  <threadedComment ref="C81" dT="2026-07-24T09:12:48.41" personId="{282F298A-31A9-445D-9A7F-E4B21AB7B9FC}" id="{28E93124-91CE-41F9-AB30-2938DC3D0AA8}">
    <text>Non-Core</text>
  </threadedComment>
  <threadedComment ref="C82" dT="2026-07-24T09:12:48.41" personId="{282F298A-31A9-445D-9A7F-E4B21AB7B9FC}" id="{A2AE38E7-4C36-4298-864D-9D898B39BE8E}">
    <text>Non-Core</text>
  </threadedComment>
  <threadedComment ref="C83" dT="2026-07-24T09:12:48.41" personId="{282F298A-31A9-445D-9A7F-E4B21AB7B9FC}" id="{63BA31B7-6C39-4810-8C87-3FEF3A2CD523}">
    <text>Non-Core</text>
  </threadedComment>
  <threadedComment ref="C84" dT="2026-07-24T09:12:48.41" personId="{282F298A-31A9-445D-9A7F-E4B21AB7B9FC}" id="{C7017D41-1975-40EF-8557-F3306CB5BBD3}">
    <text>Non-Core</text>
  </threadedComment>
  <threadedComment ref="C85" dT="2026-07-24T09:12:48.41" personId="{282F298A-31A9-445D-9A7F-E4B21AB7B9FC}" id="{1DCD84E6-A78E-4801-925F-4A18719696EB}">
    <text>Non-Core</text>
  </threadedComment>
  <threadedComment ref="C86" dT="2026-07-24T09:12:48.41" personId="{282F298A-31A9-445D-9A7F-E4B21AB7B9FC}" id="{BBE1376A-91F6-4C7E-B091-F07A9B26246C}">
    <text>Non-Core</text>
  </threadedComment>
  <threadedComment ref="C87" dT="2026-07-24T09:12:48.41" personId="{282F298A-31A9-445D-9A7F-E4B21AB7B9FC}" id="{64301852-54E7-40DC-8387-E4DA3C02899A}">
    <text>Non-Core</text>
  </threadedComment>
  <threadedComment ref="C126" dT="2026-07-24T09:12:48.41" personId="{282F298A-31A9-445D-9A7F-E4B21AB7B9FC}" id="{EAACF529-9D78-4CE9-B678-611A3DC26C4F}">
    <text>Non-Core</text>
  </threadedComment>
  <threadedComment ref="C152" dT="2026-07-24T09:12:48.41" personId="{282F298A-31A9-445D-9A7F-E4B21AB7B9FC}" id="{CCFE933D-4EF1-4F30-AABB-8AE47908A6A2}">
    <text>Non-Core</text>
  </threadedComment>
  <threadedComment ref="C154" dT="2026-07-24T09:12:48.41" personId="{282F298A-31A9-445D-9A7F-E4B21AB7B9FC}" id="{1A385A9E-AA08-4C61-9226-97F5EB38C005}">
    <text>Non-Core</text>
  </threadedComment>
  <threadedComment ref="C155" dT="2026-07-24T09:12:48.41" personId="{282F298A-31A9-445D-9A7F-E4B21AB7B9FC}" id="{BA46F8FA-707E-4770-858C-B9764803CE5C}">
    <text>Non-Core</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333DD-3D0E-4E87-A173-EE13F3E2C257}">
  <dimension ref="B2:D22"/>
  <sheetViews>
    <sheetView zoomScale="130" zoomScaleNormal="130" workbookViewId="0">
      <selection activeCell="J11" sqref="J11"/>
    </sheetView>
  </sheetViews>
  <sheetFormatPr defaultColWidth="9.140625" defaultRowHeight="15" x14ac:dyDescent="0.25"/>
  <cols>
    <col min="1" max="1" width="2.5703125" style="27" customWidth="1"/>
    <col min="2" max="2" width="9.140625" style="27"/>
    <col min="3" max="3" width="12.85546875" style="27" bestFit="1" customWidth="1"/>
    <col min="4" max="16384" width="9.140625" style="27"/>
  </cols>
  <sheetData>
    <row r="2" spans="2:4" x14ac:dyDescent="0.25">
      <c r="B2" s="28" t="s">
        <v>931</v>
      </c>
    </row>
    <row r="3" spans="2:4" x14ac:dyDescent="0.25">
      <c r="C3" s="27" t="s">
        <v>932</v>
      </c>
      <c r="D3" s="27">
        <f>COUNTA(SBAuthAPI!E:E)-1</f>
        <v>22</v>
      </c>
    </row>
    <row r="4" spans="2:4" x14ac:dyDescent="0.25">
      <c r="C4" s="27" t="s">
        <v>933</v>
      </c>
      <c r="D4" s="27">
        <f>COUNTA(SBBankList!E:E)-1</f>
        <v>14</v>
      </c>
    </row>
    <row r="5" spans="2:4" x14ac:dyDescent="0.25">
      <c r="C5" s="27" t="s">
        <v>934</v>
      </c>
      <c r="D5" s="27">
        <f>COUNTA(SBCheckStatus!E:E)-1</f>
        <v>59</v>
      </c>
    </row>
    <row r="6" spans="2:4" x14ac:dyDescent="0.25">
      <c r="C6" s="27" t="s">
        <v>935</v>
      </c>
      <c r="D6" s="27">
        <f>COUNTA(SBSendFunds!E:E)-1</f>
        <v>114</v>
      </c>
    </row>
    <row r="7" spans="2:4" x14ac:dyDescent="0.25">
      <c r="D7" s="28">
        <f>SUM(D3:D6)</f>
        <v>209</v>
      </c>
    </row>
    <row r="8" spans="2:4" x14ac:dyDescent="0.25">
      <c r="B8" s="28" t="s">
        <v>937</v>
      </c>
    </row>
    <row r="9" spans="2:4" x14ac:dyDescent="0.25">
      <c r="C9" s="27" t="s">
        <v>932</v>
      </c>
      <c r="D9" s="27">
        <f>COUNTA(PTTAuthAPI!E:E)-1</f>
        <v>27</v>
      </c>
    </row>
    <row r="10" spans="2:4" x14ac:dyDescent="0.25">
      <c r="C10" s="27" t="s">
        <v>933</v>
      </c>
      <c r="D10" s="27">
        <f>COUNTA(PTTBankList!E:E)-1</f>
        <v>14</v>
      </c>
    </row>
    <row r="11" spans="2:4" x14ac:dyDescent="0.25">
      <c r="C11" s="27" t="s">
        <v>934</v>
      </c>
      <c r="D11" s="27">
        <f>COUNTA(PTTCheckStatus!E:E)-1</f>
        <v>59</v>
      </c>
    </row>
    <row r="12" spans="2:4" x14ac:dyDescent="0.25">
      <c r="C12" s="27" t="s">
        <v>935</v>
      </c>
      <c r="D12" s="27">
        <f>COUNTA(PTTSendFunds!E:E)-1</f>
        <v>152</v>
      </c>
    </row>
    <row r="13" spans="2:4" x14ac:dyDescent="0.25">
      <c r="D13" s="28">
        <f>SUM(D9:D12)</f>
        <v>252</v>
      </c>
    </row>
    <row r="14" spans="2:4" x14ac:dyDescent="0.25">
      <c r="B14" s="28" t="s">
        <v>936</v>
      </c>
    </row>
    <row r="15" spans="2:4" x14ac:dyDescent="0.25">
      <c r="C15" s="27" t="s">
        <v>932</v>
      </c>
      <c r="D15" s="27">
        <f>COUNTA(PTLAuthAPI!E:E)-1</f>
        <v>21</v>
      </c>
    </row>
    <row r="16" spans="2:4" x14ac:dyDescent="0.25">
      <c r="C16" s="27" t="s">
        <v>933</v>
      </c>
      <c r="D16" s="27">
        <f>COUNTA(PTLBankList!E:E)-1</f>
        <v>14</v>
      </c>
    </row>
    <row r="17" spans="3:4" x14ac:dyDescent="0.25">
      <c r="C17" s="27" t="s">
        <v>934</v>
      </c>
      <c r="D17" s="27">
        <f>COUNTA(PTLCheckStatus!E:E)-1</f>
        <v>56</v>
      </c>
    </row>
    <row r="18" spans="3:4" x14ac:dyDescent="0.25">
      <c r="C18" s="27" t="s">
        <v>935</v>
      </c>
      <c r="D18" s="27">
        <f>COUNTA(PTLSendFunds!E:E)-1</f>
        <v>190</v>
      </c>
    </row>
    <row r="19" spans="3:4" x14ac:dyDescent="0.25">
      <c r="D19" s="28">
        <f>SUM(D15:D18)</f>
        <v>281</v>
      </c>
    </row>
    <row r="22" spans="3:4" x14ac:dyDescent="0.25">
      <c r="C22" s="28" t="s">
        <v>938</v>
      </c>
      <c r="D22" s="28">
        <f>SUM(D7,D13,D19)</f>
        <v>742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6F61C-D1DC-44ED-A8EA-B18341DF146D}">
  <sheetPr>
    <tabColor rgb="FF00B0F0"/>
  </sheetPr>
  <dimension ref="A1:AN271"/>
  <sheetViews>
    <sheetView zoomScale="85" zoomScaleNormal="85" workbookViewId="0">
      <pane ySplit="1" topLeftCell="A2" activePane="bottomLeft" state="frozen"/>
      <selection pane="bottomLeft" activeCell="E3" sqref="E3"/>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style="1" customWidth="1"/>
    <col min="6" max="6" width="34.42578125" style="1" customWidth="1"/>
    <col min="7" max="7" width="48.85546875" style="22"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8"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29" t="s">
        <v>6</v>
      </c>
      <c r="H1" s="2" t="s">
        <v>7</v>
      </c>
      <c r="I1" s="13" t="s">
        <v>812</v>
      </c>
      <c r="J1" s="13" t="s">
        <v>8</v>
      </c>
      <c r="K1" s="9" t="s">
        <v>9</v>
      </c>
      <c r="L1" s="9" t="s">
        <v>11</v>
      </c>
      <c r="M1" s="9" t="s">
        <v>10</v>
      </c>
      <c r="N1" s="9" t="s">
        <v>12</v>
      </c>
      <c r="O1" s="17" t="s">
        <v>13</v>
      </c>
      <c r="P1" s="9" t="s">
        <v>104</v>
      </c>
      <c r="Q1" s="9" t="s">
        <v>14</v>
      </c>
      <c r="R1" s="9" t="s">
        <v>930</v>
      </c>
      <c r="S1" s="10" t="s">
        <v>103</v>
      </c>
      <c r="T1" s="10" t="s">
        <v>16</v>
      </c>
      <c r="U1" s="34" t="s">
        <v>381</v>
      </c>
      <c r="V1" s="10" t="s">
        <v>382</v>
      </c>
      <c r="W1" s="10" t="s">
        <v>383</v>
      </c>
      <c r="X1" s="35" t="s">
        <v>384</v>
      </c>
      <c r="Y1" s="10" t="s">
        <v>385</v>
      </c>
      <c r="Z1" s="10" t="s">
        <v>386</v>
      </c>
      <c r="AA1" s="10" t="s">
        <v>387</v>
      </c>
      <c r="AB1" s="10" t="s">
        <v>388</v>
      </c>
      <c r="AC1" s="10" t="s">
        <v>389</v>
      </c>
      <c r="AD1" s="10" t="s">
        <v>390</v>
      </c>
      <c r="AE1" s="10" t="s">
        <v>391</v>
      </c>
      <c r="AF1" s="10" t="s">
        <v>392</v>
      </c>
      <c r="AG1" s="10" t="s">
        <v>393</v>
      </c>
      <c r="AH1" s="10" t="s">
        <v>394</v>
      </c>
      <c r="AI1" s="26" t="s">
        <v>928</v>
      </c>
      <c r="AJ1" s="26" t="s">
        <v>929</v>
      </c>
      <c r="AK1" s="26" t="s">
        <v>1484</v>
      </c>
      <c r="AL1" s="26" t="s">
        <v>1485</v>
      </c>
      <c r="AM1" s="26" t="s">
        <v>1486</v>
      </c>
      <c r="AN1" s="26" t="s">
        <v>1487</v>
      </c>
    </row>
    <row r="2" spans="1:40" ht="131.25" customHeight="1" x14ac:dyDescent="0.25">
      <c r="B2" s="1" t="s">
        <v>915</v>
      </c>
      <c r="C2" s="4" t="s">
        <v>915</v>
      </c>
      <c r="E2" s="33" t="s">
        <v>1208</v>
      </c>
      <c r="F2" s="33" t="s">
        <v>1209</v>
      </c>
      <c r="G2" s="32" t="s">
        <v>433</v>
      </c>
      <c r="H2">
        <v>401</v>
      </c>
    </row>
    <row r="3" spans="1:40" ht="210" x14ac:dyDescent="0.25">
      <c r="B3" s="1" t="s">
        <v>915</v>
      </c>
      <c r="C3" s="4" t="s">
        <v>915</v>
      </c>
      <c r="E3" s="33" t="s">
        <v>1210</v>
      </c>
      <c r="F3" s="33" t="s">
        <v>438</v>
      </c>
      <c r="G3" s="32" t="s">
        <v>994</v>
      </c>
      <c r="H3">
        <v>202</v>
      </c>
    </row>
    <row r="4" spans="1:40" ht="210" x14ac:dyDescent="0.25">
      <c r="B4" s="1" t="s">
        <v>915</v>
      </c>
      <c r="C4" s="4" t="s">
        <v>915</v>
      </c>
      <c r="E4" s="33" t="s">
        <v>1211</v>
      </c>
      <c r="F4" s="33" t="s">
        <v>441</v>
      </c>
      <c r="G4" s="32" t="s">
        <v>994</v>
      </c>
      <c r="H4">
        <v>202</v>
      </c>
    </row>
    <row r="5" spans="1:40" ht="210" x14ac:dyDescent="0.25">
      <c r="B5" s="1" t="s">
        <v>915</v>
      </c>
      <c r="C5" s="4" t="s">
        <v>915</v>
      </c>
      <c r="E5" s="33" t="s">
        <v>1212</v>
      </c>
      <c r="F5" s="33" t="s">
        <v>444</v>
      </c>
      <c r="G5" s="32" t="s">
        <v>994</v>
      </c>
      <c r="H5">
        <v>202</v>
      </c>
    </row>
    <row r="6" spans="1:40" ht="210" x14ac:dyDescent="0.25">
      <c r="B6" s="1" t="s">
        <v>915</v>
      </c>
      <c r="C6" s="4" t="s">
        <v>915</v>
      </c>
      <c r="E6" s="33" t="s">
        <v>1213</v>
      </c>
      <c r="F6" s="33" t="s">
        <v>447</v>
      </c>
      <c r="G6" s="32" t="s">
        <v>994</v>
      </c>
      <c r="H6">
        <v>200</v>
      </c>
    </row>
    <row r="7" spans="1:40" ht="45" x14ac:dyDescent="0.25">
      <c r="B7" s="1" t="s">
        <v>915</v>
      </c>
      <c r="C7" s="4" t="s">
        <v>915</v>
      </c>
      <c r="E7" s="33" t="s">
        <v>1214</v>
      </c>
      <c r="F7" s="33" t="s">
        <v>940</v>
      </c>
      <c r="G7" s="32" t="s">
        <v>459</v>
      </c>
    </row>
    <row r="8" spans="1:40" ht="45" x14ac:dyDescent="0.25">
      <c r="B8" s="1" t="s">
        <v>915</v>
      </c>
      <c r="C8" s="4" t="s">
        <v>915</v>
      </c>
      <c r="E8" s="33" t="s">
        <v>1215</v>
      </c>
      <c r="F8" s="33" t="s">
        <v>942</v>
      </c>
      <c r="G8" s="32" t="s">
        <v>459</v>
      </c>
    </row>
    <row r="9" spans="1:40" ht="60" x14ac:dyDescent="0.25">
      <c r="B9" s="1" t="s">
        <v>915</v>
      </c>
      <c r="C9" s="4" t="s">
        <v>915</v>
      </c>
      <c r="E9" s="33" t="s">
        <v>1216</v>
      </c>
      <c r="F9" s="33" t="s">
        <v>944</v>
      </c>
      <c r="G9" s="32" t="s">
        <v>459</v>
      </c>
    </row>
    <row r="10" spans="1:40" ht="60" x14ac:dyDescent="0.25">
      <c r="B10" s="1" t="s">
        <v>915</v>
      </c>
      <c r="C10" s="4" t="s">
        <v>915</v>
      </c>
      <c r="E10" s="33" t="s">
        <v>1217</v>
      </c>
      <c r="F10" s="33" t="s">
        <v>946</v>
      </c>
      <c r="G10" s="32" t="s">
        <v>459</v>
      </c>
    </row>
    <row r="11" spans="1:40" ht="60" x14ac:dyDescent="0.25">
      <c r="B11" s="1" t="s">
        <v>915</v>
      </c>
      <c r="C11" s="4" t="s">
        <v>915</v>
      </c>
      <c r="E11" s="33" t="s">
        <v>1218</v>
      </c>
      <c r="F11" s="33" t="s">
        <v>948</v>
      </c>
      <c r="G11" s="32" t="s">
        <v>459</v>
      </c>
    </row>
    <row r="12" spans="1:40" ht="60" x14ac:dyDescent="0.25">
      <c r="B12" s="1" t="s">
        <v>915</v>
      </c>
      <c r="C12" s="4" t="s">
        <v>915</v>
      </c>
      <c r="E12" s="33" t="s">
        <v>1219</v>
      </c>
      <c r="F12" s="33" t="s">
        <v>950</v>
      </c>
      <c r="G12" s="32" t="s">
        <v>459</v>
      </c>
    </row>
    <row r="13" spans="1:40" ht="60" x14ac:dyDescent="0.25">
      <c r="B13" s="1" t="s">
        <v>915</v>
      </c>
      <c r="C13" s="4" t="s">
        <v>915</v>
      </c>
      <c r="E13" s="33" t="s">
        <v>1220</v>
      </c>
      <c r="F13" s="33" t="s">
        <v>952</v>
      </c>
      <c r="G13" s="32" t="s">
        <v>459</v>
      </c>
    </row>
    <row r="14" spans="1:40" ht="60" x14ac:dyDescent="0.25">
      <c r="B14" s="1" t="s">
        <v>915</v>
      </c>
      <c r="C14" s="4" t="s">
        <v>915</v>
      </c>
      <c r="E14" s="33" t="s">
        <v>1221</v>
      </c>
      <c r="F14" s="33" t="s">
        <v>954</v>
      </c>
      <c r="G14" s="32" t="s">
        <v>459</v>
      </c>
    </row>
    <row r="15" spans="1:40" ht="60" x14ac:dyDescent="0.25">
      <c r="B15" s="1" t="s">
        <v>915</v>
      </c>
      <c r="C15" s="4" t="s">
        <v>915</v>
      </c>
      <c r="E15" s="33" t="s">
        <v>1222</v>
      </c>
      <c r="F15" s="33" t="s">
        <v>956</v>
      </c>
      <c r="G15" s="32" t="s">
        <v>459</v>
      </c>
    </row>
    <row r="16" spans="1:40" ht="60" x14ac:dyDescent="0.25">
      <c r="B16" s="1" t="s">
        <v>915</v>
      </c>
      <c r="C16" s="4" t="s">
        <v>915</v>
      </c>
      <c r="E16" s="33" t="s">
        <v>1223</v>
      </c>
      <c r="F16" s="33" t="s">
        <v>958</v>
      </c>
      <c r="G16" s="32" t="s">
        <v>459</v>
      </c>
    </row>
    <row r="17" spans="2:7" ht="60" x14ac:dyDescent="0.25">
      <c r="B17" s="1" t="s">
        <v>915</v>
      </c>
      <c r="C17" s="4" t="s">
        <v>915</v>
      </c>
      <c r="E17" s="33" t="s">
        <v>1224</v>
      </c>
      <c r="F17" s="33" t="s">
        <v>960</v>
      </c>
      <c r="G17" s="32" t="s">
        <v>459</v>
      </c>
    </row>
    <row r="18" spans="2:7" ht="60" x14ac:dyDescent="0.25">
      <c r="B18" s="1" t="s">
        <v>915</v>
      </c>
      <c r="C18" s="4" t="s">
        <v>915</v>
      </c>
      <c r="E18" s="33" t="s">
        <v>1225</v>
      </c>
      <c r="F18" s="33" t="s">
        <v>962</v>
      </c>
      <c r="G18" s="32" t="s">
        <v>459</v>
      </c>
    </row>
    <row r="19" spans="2:7" ht="60" x14ac:dyDescent="0.25">
      <c r="B19" s="1" t="s">
        <v>915</v>
      </c>
      <c r="C19" s="4" t="s">
        <v>915</v>
      </c>
      <c r="E19" s="33" t="s">
        <v>1226</v>
      </c>
      <c r="F19" s="33" t="s">
        <v>458</v>
      </c>
      <c r="G19" s="32" t="s">
        <v>459</v>
      </c>
    </row>
    <row r="20" spans="2:7" ht="60" x14ac:dyDescent="0.25">
      <c r="B20" s="1" t="s">
        <v>915</v>
      </c>
      <c r="C20" s="4" t="s">
        <v>915</v>
      </c>
      <c r="E20" s="33" t="s">
        <v>1227</v>
      </c>
      <c r="F20" s="33" t="s">
        <v>462</v>
      </c>
      <c r="G20" s="32" t="s">
        <v>459</v>
      </c>
    </row>
    <row r="21" spans="2:7" ht="75" x14ac:dyDescent="0.25">
      <c r="B21" s="1" t="s">
        <v>915</v>
      </c>
      <c r="C21" s="4" t="s">
        <v>915</v>
      </c>
      <c r="E21" s="33" t="s">
        <v>1228</v>
      </c>
      <c r="F21" s="33" t="s">
        <v>464</v>
      </c>
      <c r="G21" s="32" t="s">
        <v>459</v>
      </c>
    </row>
    <row r="22" spans="2:7" ht="36.75" customHeight="1" x14ac:dyDescent="0.25">
      <c r="B22" s="1" t="s">
        <v>915</v>
      </c>
      <c r="C22" s="4" t="s">
        <v>915</v>
      </c>
      <c r="E22" s="33" t="s">
        <v>1229</v>
      </c>
      <c r="F22" s="33" t="s">
        <v>466</v>
      </c>
      <c r="G22" s="32" t="s">
        <v>459</v>
      </c>
    </row>
    <row r="23" spans="2:7" ht="60" x14ac:dyDescent="0.25">
      <c r="B23" s="1" t="s">
        <v>915</v>
      </c>
      <c r="C23" s="4" t="s">
        <v>915</v>
      </c>
      <c r="E23" s="33" t="s">
        <v>1230</v>
      </c>
      <c r="F23" s="33" t="s">
        <v>468</v>
      </c>
      <c r="G23" s="32" t="s">
        <v>459</v>
      </c>
    </row>
    <row r="24" spans="2:7" ht="60" x14ac:dyDescent="0.25">
      <c r="B24" s="1" t="s">
        <v>915</v>
      </c>
      <c r="C24" s="4" t="s">
        <v>915</v>
      </c>
      <c r="E24" s="33" t="s">
        <v>1231</v>
      </c>
      <c r="F24" s="33" t="s">
        <v>470</v>
      </c>
      <c r="G24" s="32" t="s">
        <v>459</v>
      </c>
    </row>
    <row r="25" spans="2:7" ht="60" x14ac:dyDescent="0.25">
      <c r="B25" s="1" t="s">
        <v>915</v>
      </c>
      <c r="C25" s="4" t="s">
        <v>915</v>
      </c>
      <c r="E25" s="33" t="s">
        <v>1232</v>
      </c>
      <c r="F25" s="33" t="s">
        <v>472</v>
      </c>
      <c r="G25" s="32" t="s">
        <v>459</v>
      </c>
    </row>
    <row r="26" spans="2:7" ht="60" x14ac:dyDescent="0.25">
      <c r="B26" s="1" t="s">
        <v>915</v>
      </c>
      <c r="C26" s="4" t="s">
        <v>915</v>
      </c>
      <c r="E26" s="33" t="s">
        <v>1233</v>
      </c>
      <c r="F26" s="33" t="s">
        <v>474</v>
      </c>
      <c r="G26" s="32" t="s">
        <v>459</v>
      </c>
    </row>
    <row r="27" spans="2:7" ht="60" x14ac:dyDescent="0.25">
      <c r="B27" s="1" t="s">
        <v>915</v>
      </c>
      <c r="C27" s="1" t="s">
        <v>17</v>
      </c>
      <c r="E27" s="1" t="s">
        <v>1037</v>
      </c>
      <c r="F27" s="1" t="s">
        <v>1038</v>
      </c>
      <c r="G27" s="22" t="s">
        <v>459</v>
      </c>
    </row>
    <row r="28" spans="2:7" ht="60" x14ac:dyDescent="0.25">
      <c r="B28" s="1" t="s">
        <v>915</v>
      </c>
      <c r="C28" s="1" t="s">
        <v>17</v>
      </c>
      <c r="E28" s="1" t="s">
        <v>1039</v>
      </c>
      <c r="F28" s="1" t="s">
        <v>478</v>
      </c>
      <c r="G28" s="22" t="s">
        <v>459</v>
      </c>
    </row>
    <row r="29" spans="2:7" ht="75" x14ac:dyDescent="0.25">
      <c r="B29" s="1" t="s">
        <v>915</v>
      </c>
      <c r="C29" s="1" t="s">
        <v>17</v>
      </c>
      <c r="E29" s="1" t="s">
        <v>1040</v>
      </c>
      <c r="F29" s="1" t="s">
        <v>480</v>
      </c>
      <c r="G29" s="22" t="s">
        <v>1041</v>
      </c>
    </row>
    <row r="30" spans="2:7" ht="75" x14ac:dyDescent="0.25">
      <c r="B30" s="1" t="s">
        <v>915</v>
      </c>
      <c r="C30" s="1" t="s">
        <v>17</v>
      </c>
      <c r="E30" s="1" t="s">
        <v>1042</v>
      </c>
      <c r="F30" s="1" t="s">
        <v>482</v>
      </c>
      <c r="G30" s="22" t="s">
        <v>1043</v>
      </c>
    </row>
    <row r="31" spans="2:7" ht="210" x14ac:dyDescent="0.25">
      <c r="B31" s="1" t="s">
        <v>915</v>
      </c>
      <c r="C31" s="1" t="s">
        <v>17</v>
      </c>
      <c r="E31" s="1" t="s">
        <v>1044</v>
      </c>
      <c r="F31" s="1" t="s">
        <v>1045</v>
      </c>
      <c r="G31" s="22" t="s">
        <v>994</v>
      </c>
    </row>
    <row r="32" spans="2:7" ht="210" x14ac:dyDescent="0.25">
      <c r="B32" s="1" t="s">
        <v>915</v>
      </c>
      <c r="C32" s="1" t="s">
        <v>17</v>
      </c>
      <c r="E32" s="1" t="s">
        <v>1046</v>
      </c>
      <c r="F32" s="1" t="s">
        <v>1047</v>
      </c>
      <c r="G32" s="22" t="s">
        <v>994</v>
      </c>
    </row>
    <row r="33" spans="2:7" ht="210" x14ac:dyDescent="0.25">
      <c r="B33" s="1" t="s">
        <v>915</v>
      </c>
      <c r="C33" s="1" t="s">
        <v>17</v>
      </c>
      <c r="E33" s="1" t="s">
        <v>1048</v>
      </c>
      <c r="F33" s="1" t="s">
        <v>1049</v>
      </c>
      <c r="G33" s="22" t="s">
        <v>994</v>
      </c>
    </row>
    <row r="34" spans="2:7" ht="42" customHeight="1" x14ac:dyDescent="0.25">
      <c r="B34" s="1" t="s">
        <v>915</v>
      </c>
      <c r="C34" s="1" t="s">
        <v>17</v>
      </c>
      <c r="E34" s="1" t="s">
        <v>1050</v>
      </c>
      <c r="F34" s="1" t="s">
        <v>1051</v>
      </c>
      <c r="G34" s="22" t="s">
        <v>994</v>
      </c>
    </row>
    <row r="35" spans="2:7" ht="210" x14ac:dyDescent="0.25">
      <c r="B35" s="1" t="s">
        <v>915</v>
      </c>
      <c r="C35" s="1" t="s">
        <v>17</v>
      </c>
      <c r="E35" s="1" t="s">
        <v>1052</v>
      </c>
      <c r="F35" s="1" t="s">
        <v>484</v>
      </c>
      <c r="G35" s="22" t="s">
        <v>994</v>
      </c>
    </row>
    <row r="36" spans="2:7" ht="210" x14ac:dyDescent="0.25">
      <c r="B36" s="1" t="s">
        <v>915</v>
      </c>
      <c r="C36" s="1" t="s">
        <v>17</v>
      </c>
      <c r="E36" s="1" t="s">
        <v>1053</v>
      </c>
      <c r="F36" s="1" t="s">
        <v>486</v>
      </c>
      <c r="G36" s="22" t="s">
        <v>994</v>
      </c>
    </row>
    <row r="37" spans="2:7" ht="210" x14ac:dyDescent="0.25">
      <c r="B37" s="1" t="s">
        <v>915</v>
      </c>
      <c r="C37" s="1" t="s">
        <v>17</v>
      </c>
      <c r="E37" s="1" t="s">
        <v>1054</v>
      </c>
      <c r="F37" s="1" t="s">
        <v>488</v>
      </c>
      <c r="G37" s="22" t="s">
        <v>994</v>
      </c>
    </row>
    <row r="38" spans="2:7" ht="210" x14ac:dyDescent="0.25">
      <c r="B38" s="1" t="s">
        <v>915</v>
      </c>
      <c r="C38" s="1" t="s">
        <v>17</v>
      </c>
      <c r="E38" s="1" t="s">
        <v>1055</v>
      </c>
      <c r="F38" s="1" t="s">
        <v>490</v>
      </c>
      <c r="G38" s="22" t="s">
        <v>994</v>
      </c>
    </row>
    <row r="39" spans="2:7" ht="60" x14ac:dyDescent="0.25">
      <c r="B39" s="1" t="s">
        <v>915</v>
      </c>
      <c r="C39" s="1" t="s">
        <v>17</v>
      </c>
      <c r="E39" s="1" t="s">
        <v>1056</v>
      </c>
      <c r="F39" s="1" t="s">
        <v>493</v>
      </c>
      <c r="G39" s="22" t="s">
        <v>1057</v>
      </c>
    </row>
    <row r="40" spans="2:7" ht="60" x14ac:dyDescent="0.25">
      <c r="B40" s="1" t="s">
        <v>915</v>
      </c>
      <c r="C40" s="1" t="s">
        <v>17</v>
      </c>
      <c r="E40" s="1" t="s">
        <v>1058</v>
      </c>
      <c r="F40" s="1" t="s">
        <v>496</v>
      </c>
      <c r="G40" s="22" t="s">
        <v>1057</v>
      </c>
    </row>
    <row r="41" spans="2:7" ht="60" x14ac:dyDescent="0.25">
      <c r="B41" s="1" t="s">
        <v>915</v>
      </c>
      <c r="C41" s="1" t="s">
        <v>17</v>
      </c>
      <c r="E41" s="1" t="s">
        <v>1059</v>
      </c>
      <c r="F41" s="1" t="s">
        <v>498</v>
      </c>
      <c r="G41" s="22" t="s">
        <v>1057</v>
      </c>
    </row>
    <row r="42" spans="2:7" ht="60" x14ac:dyDescent="0.25">
      <c r="B42" s="1" t="s">
        <v>915</v>
      </c>
      <c r="C42" s="1" t="s">
        <v>17</v>
      </c>
      <c r="E42" s="1" t="s">
        <v>1060</v>
      </c>
      <c r="F42" s="1" t="s">
        <v>500</v>
      </c>
      <c r="G42" s="22" t="s">
        <v>1057</v>
      </c>
    </row>
    <row r="43" spans="2:7" ht="60" x14ac:dyDescent="0.25">
      <c r="B43" s="1" t="s">
        <v>915</v>
      </c>
      <c r="C43" s="1" t="s">
        <v>17</v>
      </c>
      <c r="E43" s="1" t="s">
        <v>1061</v>
      </c>
      <c r="F43" s="1" t="s">
        <v>502</v>
      </c>
      <c r="G43" s="22" t="s">
        <v>459</v>
      </c>
    </row>
    <row r="44" spans="2:7" ht="60" x14ac:dyDescent="0.25">
      <c r="B44" s="1" t="s">
        <v>915</v>
      </c>
      <c r="C44" s="1" t="s">
        <v>17</v>
      </c>
      <c r="E44" s="1" t="s">
        <v>1062</v>
      </c>
      <c r="F44" s="1" t="s">
        <v>504</v>
      </c>
      <c r="G44" s="22" t="s">
        <v>459</v>
      </c>
    </row>
    <row r="45" spans="2:7" ht="60" x14ac:dyDescent="0.25">
      <c r="B45" s="1" t="s">
        <v>915</v>
      </c>
      <c r="C45" s="1" t="s">
        <v>17</v>
      </c>
      <c r="E45" s="1" t="s">
        <v>1063</v>
      </c>
      <c r="F45" s="1" t="s">
        <v>506</v>
      </c>
      <c r="G45" s="22" t="s">
        <v>459</v>
      </c>
    </row>
    <row r="46" spans="2:7" ht="60" x14ac:dyDescent="0.25">
      <c r="B46" s="1" t="s">
        <v>915</v>
      </c>
      <c r="C46" s="1" t="s">
        <v>17</v>
      </c>
      <c r="E46" s="1" t="s">
        <v>1064</v>
      </c>
      <c r="F46" s="1" t="s">
        <v>508</v>
      </c>
      <c r="G46" s="22" t="s">
        <v>459</v>
      </c>
    </row>
    <row r="47" spans="2:7" ht="60" x14ac:dyDescent="0.25">
      <c r="B47" s="1" t="s">
        <v>915</v>
      </c>
      <c r="C47" s="4" t="s">
        <v>915</v>
      </c>
      <c r="E47" s="33" t="s">
        <v>1234</v>
      </c>
      <c r="F47" s="33" t="s">
        <v>510</v>
      </c>
      <c r="G47" s="32" t="s">
        <v>1057</v>
      </c>
    </row>
    <row r="48" spans="2:7" ht="60" x14ac:dyDescent="0.25">
      <c r="B48" s="1" t="s">
        <v>915</v>
      </c>
      <c r="C48" s="4" t="s">
        <v>915</v>
      </c>
      <c r="E48" s="33" t="s">
        <v>1235</v>
      </c>
      <c r="F48" s="33" t="s">
        <v>512</v>
      </c>
      <c r="G48" s="32" t="s">
        <v>1057</v>
      </c>
    </row>
    <row r="49" spans="2:7" ht="60" x14ac:dyDescent="0.25">
      <c r="B49" s="1" t="s">
        <v>915</v>
      </c>
      <c r="C49" s="4" t="s">
        <v>915</v>
      </c>
      <c r="E49" s="33" t="s">
        <v>1236</v>
      </c>
      <c r="F49" s="33" t="s">
        <v>514</v>
      </c>
      <c r="G49" s="32" t="s">
        <v>1057</v>
      </c>
    </row>
    <row r="50" spans="2:7" ht="60" x14ac:dyDescent="0.25">
      <c r="B50" s="1" t="s">
        <v>915</v>
      </c>
      <c r="C50" s="4" t="s">
        <v>915</v>
      </c>
      <c r="E50" s="33" t="s">
        <v>1237</v>
      </c>
      <c r="F50" s="33" t="s">
        <v>516</v>
      </c>
      <c r="G50" s="32" t="s">
        <v>1057</v>
      </c>
    </row>
    <row r="51" spans="2:7" ht="60" x14ac:dyDescent="0.25">
      <c r="B51" s="1" t="s">
        <v>915</v>
      </c>
      <c r="C51" s="4" t="s">
        <v>915</v>
      </c>
      <c r="E51" s="33" t="s">
        <v>1238</v>
      </c>
      <c r="F51" s="33" t="s">
        <v>518</v>
      </c>
      <c r="G51" s="32" t="s">
        <v>459</v>
      </c>
    </row>
    <row r="52" spans="2:7" ht="180" x14ac:dyDescent="0.25">
      <c r="B52" s="1" t="s">
        <v>915</v>
      </c>
      <c r="C52" s="1" t="s">
        <v>17</v>
      </c>
      <c r="E52" s="1" t="s">
        <v>1065</v>
      </c>
      <c r="F52" s="1" t="s">
        <v>526</v>
      </c>
      <c r="G52" s="22" t="s">
        <v>1066</v>
      </c>
    </row>
    <row r="53" spans="2:7" ht="105" x14ac:dyDescent="0.25">
      <c r="B53" s="1" t="s">
        <v>915</v>
      </c>
      <c r="C53" s="1" t="s">
        <v>17</v>
      </c>
      <c r="E53" s="1" t="s">
        <v>1067</v>
      </c>
      <c r="F53" s="1" t="s">
        <v>532</v>
      </c>
      <c r="G53" s="22" t="s">
        <v>1068</v>
      </c>
    </row>
    <row r="54" spans="2:7" ht="75" x14ac:dyDescent="0.25">
      <c r="B54" s="1" t="s">
        <v>915</v>
      </c>
      <c r="C54" s="1" t="s">
        <v>17</v>
      </c>
      <c r="E54" s="1" t="s">
        <v>1069</v>
      </c>
      <c r="F54" s="1" t="s">
        <v>964</v>
      </c>
      <c r="G54" s="22" t="s">
        <v>965</v>
      </c>
    </row>
    <row r="55" spans="2:7" ht="75" x14ac:dyDescent="0.25">
      <c r="B55" s="1" t="s">
        <v>915</v>
      </c>
      <c r="C55" s="1" t="s">
        <v>17</v>
      </c>
      <c r="E55" s="1" t="s">
        <v>1070</v>
      </c>
      <c r="F55" s="1" t="s">
        <v>1071</v>
      </c>
      <c r="G55" s="22" t="s">
        <v>1072</v>
      </c>
    </row>
    <row r="56" spans="2:7" ht="60" x14ac:dyDescent="0.25">
      <c r="B56" s="1" t="s">
        <v>915</v>
      </c>
      <c r="C56" s="1" t="s">
        <v>17</v>
      </c>
      <c r="E56" s="1" t="s">
        <v>1073</v>
      </c>
      <c r="F56" s="1" t="s">
        <v>1074</v>
      </c>
      <c r="G56" s="22" t="s">
        <v>1075</v>
      </c>
    </row>
    <row r="57" spans="2:7" ht="75" x14ac:dyDescent="0.25">
      <c r="B57" s="1" t="s">
        <v>915</v>
      </c>
      <c r="C57" s="1" t="s">
        <v>17</v>
      </c>
      <c r="E57" s="1" t="s">
        <v>1076</v>
      </c>
      <c r="F57" s="1" t="s">
        <v>1077</v>
      </c>
      <c r="G57" s="22" t="s">
        <v>1078</v>
      </c>
    </row>
    <row r="58" spans="2:7" ht="60" x14ac:dyDescent="0.25">
      <c r="B58" s="1" t="s">
        <v>915</v>
      </c>
      <c r="C58" s="1" t="s">
        <v>17</v>
      </c>
      <c r="E58" s="1" t="s">
        <v>1079</v>
      </c>
      <c r="F58" s="1" t="s">
        <v>1080</v>
      </c>
      <c r="G58" s="22" t="s">
        <v>1081</v>
      </c>
    </row>
    <row r="59" spans="2:7" ht="90" x14ac:dyDescent="0.25">
      <c r="B59" s="1" t="s">
        <v>915</v>
      </c>
      <c r="C59" s="1" t="s">
        <v>17</v>
      </c>
      <c r="E59" s="1" t="s">
        <v>1082</v>
      </c>
      <c r="F59" s="1" t="s">
        <v>1083</v>
      </c>
      <c r="G59" s="22" t="s">
        <v>1084</v>
      </c>
    </row>
    <row r="60" spans="2:7" ht="60" x14ac:dyDescent="0.25">
      <c r="B60" s="1" t="s">
        <v>915</v>
      </c>
      <c r="C60" s="4" t="s">
        <v>915</v>
      </c>
      <c r="E60" s="33" t="s">
        <v>1239</v>
      </c>
      <c r="F60" s="33" t="s">
        <v>1240</v>
      </c>
      <c r="G60" s="32" t="s">
        <v>1241</v>
      </c>
    </row>
    <row r="61" spans="2:7" ht="60" x14ac:dyDescent="0.25">
      <c r="B61" s="1" t="s">
        <v>915</v>
      </c>
      <c r="C61" s="4" t="s">
        <v>915</v>
      </c>
      <c r="E61" s="33" t="s">
        <v>1242</v>
      </c>
      <c r="F61" s="33" t="s">
        <v>1243</v>
      </c>
      <c r="G61" s="32" t="s">
        <v>1241</v>
      </c>
    </row>
    <row r="62" spans="2:7" ht="60" x14ac:dyDescent="0.25">
      <c r="B62" s="1" t="s">
        <v>915</v>
      </c>
      <c r="C62" s="1" t="s">
        <v>17</v>
      </c>
      <c r="E62" s="1" t="s">
        <v>1085</v>
      </c>
      <c r="F62" s="1" t="s">
        <v>1086</v>
      </c>
      <c r="G62" s="22" t="s">
        <v>1087</v>
      </c>
    </row>
    <row r="63" spans="2:7" ht="75" x14ac:dyDescent="0.25">
      <c r="B63" s="1" t="s">
        <v>915</v>
      </c>
      <c r="C63" s="1" t="s">
        <v>17</v>
      </c>
      <c r="E63" s="1" t="s">
        <v>1088</v>
      </c>
      <c r="F63" s="1" t="s">
        <v>1089</v>
      </c>
      <c r="G63" s="22" t="s">
        <v>1090</v>
      </c>
    </row>
    <row r="64" spans="2:7" ht="75" x14ac:dyDescent="0.25">
      <c r="B64" s="1" t="s">
        <v>915</v>
      </c>
      <c r="C64" s="1" t="s">
        <v>17</v>
      </c>
      <c r="E64" s="1" t="s">
        <v>1091</v>
      </c>
      <c r="F64" s="1" t="s">
        <v>1092</v>
      </c>
      <c r="G64" s="22" t="s">
        <v>1093</v>
      </c>
    </row>
    <row r="65" spans="2:7" ht="75" x14ac:dyDescent="0.25">
      <c r="B65" s="1" t="s">
        <v>915</v>
      </c>
      <c r="C65" s="1" t="s">
        <v>17</v>
      </c>
      <c r="E65" s="1" t="s">
        <v>1094</v>
      </c>
      <c r="F65" s="1" t="s">
        <v>561</v>
      </c>
      <c r="G65" s="22" t="s">
        <v>1095</v>
      </c>
    </row>
    <row r="66" spans="2:7" ht="75" x14ac:dyDescent="0.25">
      <c r="B66" s="1" t="s">
        <v>915</v>
      </c>
      <c r="C66" s="1" t="s">
        <v>17</v>
      </c>
      <c r="E66" s="1" t="s">
        <v>1096</v>
      </c>
      <c r="F66" s="1" t="s">
        <v>1097</v>
      </c>
      <c r="G66" s="22" t="s">
        <v>1098</v>
      </c>
    </row>
    <row r="67" spans="2:7" ht="45" x14ac:dyDescent="0.25">
      <c r="B67" s="1" t="s">
        <v>915</v>
      </c>
      <c r="C67" s="1" t="s">
        <v>17</v>
      </c>
      <c r="E67" s="1" t="s">
        <v>1099</v>
      </c>
      <c r="F67" s="1" t="s">
        <v>538</v>
      </c>
      <c r="G67" s="22" t="s">
        <v>539</v>
      </c>
    </row>
    <row r="68" spans="2:7" ht="45" x14ac:dyDescent="0.25">
      <c r="B68" s="1" t="s">
        <v>915</v>
      </c>
      <c r="C68" s="1" t="s">
        <v>17</v>
      </c>
      <c r="E68" s="1" t="s">
        <v>1100</v>
      </c>
      <c r="F68" s="1" t="s">
        <v>542</v>
      </c>
      <c r="G68" s="22" t="s">
        <v>539</v>
      </c>
    </row>
    <row r="69" spans="2:7" ht="45" x14ac:dyDescent="0.25">
      <c r="B69" s="1" t="s">
        <v>915</v>
      </c>
      <c r="C69" s="1" t="s">
        <v>17</v>
      </c>
      <c r="E69" s="1" t="s">
        <v>1101</v>
      </c>
      <c r="F69" s="1" t="s">
        <v>544</v>
      </c>
      <c r="G69" s="22" t="s">
        <v>539</v>
      </c>
    </row>
    <row r="70" spans="2:7" ht="45" x14ac:dyDescent="0.25">
      <c r="B70" s="1" t="s">
        <v>915</v>
      </c>
      <c r="C70" s="1" t="s">
        <v>17</v>
      </c>
      <c r="E70" s="1" t="s">
        <v>1102</v>
      </c>
      <c r="F70" s="1" t="s">
        <v>538</v>
      </c>
      <c r="G70" s="22" t="s">
        <v>547</v>
      </c>
    </row>
    <row r="71" spans="2:7" ht="45" x14ac:dyDescent="0.25">
      <c r="B71" s="1" t="s">
        <v>915</v>
      </c>
      <c r="C71" s="1" t="s">
        <v>17</v>
      </c>
      <c r="E71" s="1" t="s">
        <v>1103</v>
      </c>
      <c r="F71" s="1" t="s">
        <v>542</v>
      </c>
      <c r="G71" s="22" t="s">
        <v>547</v>
      </c>
    </row>
    <row r="72" spans="2:7" ht="35.25" customHeight="1" x14ac:dyDescent="0.25">
      <c r="B72" s="1" t="s">
        <v>915</v>
      </c>
      <c r="C72" s="1" t="s">
        <v>17</v>
      </c>
      <c r="E72" s="1" t="s">
        <v>1104</v>
      </c>
      <c r="F72" s="1" t="s">
        <v>544</v>
      </c>
      <c r="G72" s="22" t="s">
        <v>547</v>
      </c>
    </row>
    <row r="73" spans="2:7" ht="45" x14ac:dyDescent="0.25">
      <c r="B73" s="1" t="s">
        <v>915</v>
      </c>
      <c r="C73" s="1" t="s">
        <v>17</v>
      </c>
      <c r="E73" s="1" t="s">
        <v>1105</v>
      </c>
      <c r="F73" s="1" t="s">
        <v>538</v>
      </c>
      <c r="G73" s="22" t="s">
        <v>551</v>
      </c>
    </row>
    <row r="74" spans="2:7" ht="45" x14ac:dyDescent="0.25">
      <c r="B74" s="1" t="s">
        <v>915</v>
      </c>
      <c r="C74" s="1" t="s">
        <v>17</v>
      </c>
      <c r="E74" s="1" t="s">
        <v>1106</v>
      </c>
      <c r="F74" s="1" t="s">
        <v>542</v>
      </c>
      <c r="G74" s="22" t="s">
        <v>551</v>
      </c>
    </row>
    <row r="75" spans="2:7" ht="45" x14ac:dyDescent="0.25">
      <c r="B75" s="1" t="s">
        <v>915</v>
      </c>
      <c r="C75" s="1" t="s">
        <v>17</v>
      </c>
      <c r="E75" s="1" t="s">
        <v>1107</v>
      </c>
      <c r="F75" s="1" t="s">
        <v>544</v>
      </c>
      <c r="G75" s="22" t="s">
        <v>551</v>
      </c>
    </row>
    <row r="76" spans="2:7" ht="45" x14ac:dyDescent="0.25">
      <c r="B76" s="1" t="s">
        <v>915</v>
      </c>
      <c r="C76" s="1" t="s">
        <v>17</v>
      </c>
      <c r="E76" s="1" t="s">
        <v>1108</v>
      </c>
      <c r="F76" s="1" t="s">
        <v>538</v>
      </c>
      <c r="G76" s="22" t="s">
        <v>556</v>
      </c>
    </row>
    <row r="77" spans="2:7" ht="45" x14ac:dyDescent="0.25">
      <c r="B77" s="1" t="s">
        <v>915</v>
      </c>
      <c r="C77" s="1" t="s">
        <v>17</v>
      </c>
      <c r="E77" s="1" t="s">
        <v>1109</v>
      </c>
      <c r="F77" s="1" t="s">
        <v>542</v>
      </c>
      <c r="G77" s="22" t="s">
        <v>556</v>
      </c>
    </row>
    <row r="78" spans="2:7" ht="45" x14ac:dyDescent="0.25">
      <c r="B78" s="1" t="s">
        <v>915</v>
      </c>
      <c r="C78" s="1" t="s">
        <v>17</v>
      </c>
      <c r="E78" s="1" t="s">
        <v>1110</v>
      </c>
      <c r="F78" s="1" t="s">
        <v>544</v>
      </c>
      <c r="G78" s="22" t="s">
        <v>556</v>
      </c>
    </row>
    <row r="79" spans="2:7" ht="45" x14ac:dyDescent="0.25">
      <c r="B79" s="1" t="s">
        <v>915</v>
      </c>
      <c r="C79" s="1" t="s">
        <v>17</v>
      </c>
      <c r="E79" s="1" t="s">
        <v>1111</v>
      </c>
      <c r="F79" s="1" t="s">
        <v>561</v>
      </c>
      <c r="G79" s="22" t="s">
        <v>1112</v>
      </c>
    </row>
    <row r="80" spans="2:7" ht="45" x14ac:dyDescent="0.25">
      <c r="B80" s="1" t="s">
        <v>915</v>
      </c>
      <c r="C80" s="4" t="s">
        <v>915</v>
      </c>
      <c r="E80" s="33" t="s">
        <v>1244</v>
      </c>
      <c r="F80" s="33" t="s">
        <v>561</v>
      </c>
      <c r="G80" s="32" t="s">
        <v>967</v>
      </c>
    </row>
    <row r="81" spans="2:7" ht="120" x14ac:dyDescent="0.25">
      <c r="B81" s="1" t="s">
        <v>915</v>
      </c>
      <c r="C81" s="1" t="s">
        <v>17</v>
      </c>
      <c r="E81" s="1" t="s">
        <v>1113</v>
      </c>
      <c r="F81" s="1" t="s">
        <v>561</v>
      </c>
      <c r="G81" s="22" t="s">
        <v>1114</v>
      </c>
    </row>
    <row r="82" spans="2:7" ht="45" x14ac:dyDescent="0.25">
      <c r="B82" s="1" t="s">
        <v>915</v>
      </c>
      <c r="C82" s="4" t="s">
        <v>915</v>
      </c>
      <c r="E82" s="33" t="s">
        <v>1245</v>
      </c>
      <c r="F82" s="33" t="s">
        <v>1246</v>
      </c>
      <c r="G82" s="32" t="s">
        <v>1247</v>
      </c>
    </row>
    <row r="83" spans="2:7" ht="60" x14ac:dyDescent="0.25">
      <c r="B83" s="1" t="s">
        <v>915</v>
      </c>
      <c r="C83" s="4" t="s">
        <v>915</v>
      </c>
      <c r="E83" s="33" t="s">
        <v>1248</v>
      </c>
      <c r="F83" s="33" t="s">
        <v>1249</v>
      </c>
      <c r="G83" s="32" t="s">
        <v>1250</v>
      </c>
    </row>
    <row r="84" spans="2:7" ht="45" x14ac:dyDescent="0.25">
      <c r="B84" s="1" t="s">
        <v>915</v>
      </c>
      <c r="C84" s="1" t="s">
        <v>17</v>
      </c>
      <c r="E84" s="1" t="s">
        <v>1115</v>
      </c>
      <c r="F84" s="1" t="s">
        <v>1116</v>
      </c>
      <c r="G84" s="22" t="s">
        <v>1117</v>
      </c>
    </row>
    <row r="85" spans="2:7" ht="75" x14ac:dyDescent="0.25">
      <c r="B85" s="1" t="s">
        <v>915</v>
      </c>
      <c r="C85" s="1" t="s">
        <v>17</v>
      </c>
      <c r="E85" s="1" t="s">
        <v>1118</v>
      </c>
      <c r="F85" s="1" t="s">
        <v>1119</v>
      </c>
      <c r="G85" s="22" t="s">
        <v>1120</v>
      </c>
    </row>
    <row r="86" spans="2:7" ht="90" x14ac:dyDescent="0.25">
      <c r="B86" s="1" t="s">
        <v>915</v>
      </c>
      <c r="C86" s="1" t="s">
        <v>17</v>
      </c>
      <c r="E86" s="1" t="s">
        <v>1121</v>
      </c>
      <c r="F86" s="1" t="s">
        <v>1122</v>
      </c>
      <c r="G86" s="22" t="s">
        <v>1123</v>
      </c>
    </row>
    <row r="87" spans="2:7" ht="75" x14ac:dyDescent="0.25">
      <c r="B87" s="1" t="s">
        <v>915</v>
      </c>
      <c r="C87" s="1" t="s">
        <v>17</v>
      </c>
      <c r="E87" s="1" t="s">
        <v>1124</v>
      </c>
      <c r="F87" s="1" t="s">
        <v>1125</v>
      </c>
      <c r="G87" s="22" t="s">
        <v>1126</v>
      </c>
    </row>
    <row r="88" spans="2:7" ht="45" x14ac:dyDescent="0.25">
      <c r="B88" s="1" t="s">
        <v>915</v>
      </c>
      <c r="C88" s="1" t="s">
        <v>17</v>
      </c>
      <c r="E88" s="1" t="s">
        <v>1127</v>
      </c>
      <c r="F88" s="1" t="s">
        <v>570</v>
      </c>
      <c r="G88" s="22" t="s">
        <v>1128</v>
      </c>
    </row>
    <row r="89" spans="2:7" ht="60" x14ac:dyDescent="0.25">
      <c r="B89" s="1" t="s">
        <v>915</v>
      </c>
      <c r="C89" s="1" t="s">
        <v>17</v>
      </c>
      <c r="E89" s="1" t="s">
        <v>1129</v>
      </c>
      <c r="F89" s="1" t="s">
        <v>538</v>
      </c>
      <c r="G89" s="22" t="s">
        <v>1130</v>
      </c>
    </row>
    <row r="90" spans="2:7" ht="45" x14ac:dyDescent="0.25">
      <c r="B90" s="1" t="s">
        <v>915</v>
      </c>
      <c r="C90" s="1" t="s">
        <v>17</v>
      </c>
      <c r="E90" s="1" t="s">
        <v>1131</v>
      </c>
      <c r="F90" s="1" t="s">
        <v>1132</v>
      </c>
      <c r="G90" s="22" t="s">
        <v>1133</v>
      </c>
    </row>
    <row r="91" spans="2:7" ht="60" x14ac:dyDescent="0.25">
      <c r="B91" s="1" t="s">
        <v>915</v>
      </c>
      <c r="C91" s="1" t="s">
        <v>17</v>
      </c>
      <c r="E91" s="1" t="s">
        <v>1134</v>
      </c>
      <c r="F91" s="1" t="s">
        <v>544</v>
      </c>
      <c r="G91" s="22" t="s">
        <v>1135</v>
      </c>
    </row>
    <row r="92" spans="2:7" ht="105" x14ac:dyDescent="0.25">
      <c r="B92" s="1" t="s">
        <v>915</v>
      </c>
      <c r="C92" s="1" t="s">
        <v>17</v>
      </c>
      <c r="E92" s="1" t="s">
        <v>1136</v>
      </c>
      <c r="F92" s="1" t="s">
        <v>1137</v>
      </c>
      <c r="G92" s="22" t="s">
        <v>1138</v>
      </c>
    </row>
    <row r="93" spans="2:7" ht="75" x14ac:dyDescent="0.25">
      <c r="B93" s="1" t="s">
        <v>915</v>
      </c>
      <c r="C93" s="1" t="s">
        <v>17</v>
      </c>
      <c r="E93" s="1" t="s">
        <v>1139</v>
      </c>
      <c r="F93" s="1" t="s">
        <v>1140</v>
      </c>
      <c r="G93" s="22" t="s">
        <v>1141</v>
      </c>
    </row>
    <row r="94" spans="2:7" ht="75" x14ac:dyDescent="0.25">
      <c r="B94" s="1" t="s">
        <v>915</v>
      </c>
      <c r="C94" s="1" t="s">
        <v>17</v>
      </c>
      <c r="E94" s="1" t="s">
        <v>1142</v>
      </c>
      <c r="F94" s="1" t="s">
        <v>1143</v>
      </c>
      <c r="G94" s="22" t="s">
        <v>1144</v>
      </c>
    </row>
    <row r="95" spans="2:7" ht="75" x14ac:dyDescent="0.25">
      <c r="B95" s="1" t="s">
        <v>915</v>
      </c>
      <c r="C95" s="1" t="s">
        <v>17</v>
      </c>
      <c r="E95" s="1" t="s">
        <v>1145</v>
      </c>
      <c r="F95" s="1" t="s">
        <v>1146</v>
      </c>
      <c r="G95" s="22" t="s">
        <v>1147</v>
      </c>
    </row>
    <row r="96" spans="2:7" ht="60" x14ac:dyDescent="0.25">
      <c r="B96" s="1" t="s">
        <v>915</v>
      </c>
      <c r="C96" s="1" t="s">
        <v>17</v>
      </c>
      <c r="E96" s="1" t="s">
        <v>1148</v>
      </c>
      <c r="F96" s="1" t="s">
        <v>1149</v>
      </c>
      <c r="G96" s="22" t="s">
        <v>1150</v>
      </c>
    </row>
    <row r="97" spans="2:7" ht="75" x14ac:dyDescent="0.25">
      <c r="B97" s="1" t="s">
        <v>915</v>
      </c>
      <c r="C97" s="1" t="s">
        <v>17</v>
      </c>
      <c r="E97" s="1" t="s">
        <v>1151</v>
      </c>
      <c r="F97" s="1" t="s">
        <v>580</v>
      </c>
      <c r="G97" s="22" t="s">
        <v>1152</v>
      </c>
    </row>
    <row r="98" spans="2:7" ht="75" x14ac:dyDescent="0.25">
      <c r="B98" s="1" t="s">
        <v>915</v>
      </c>
      <c r="C98" s="1" t="s">
        <v>17</v>
      </c>
      <c r="E98" s="1" t="s">
        <v>1153</v>
      </c>
      <c r="F98" s="1" t="s">
        <v>585</v>
      </c>
      <c r="G98" s="22" t="s">
        <v>1154</v>
      </c>
    </row>
    <row r="99" spans="2:7" ht="60" x14ac:dyDescent="0.25">
      <c r="B99" s="1" t="s">
        <v>915</v>
      </c>
      <c r="C99" s="1" t="s">
        <v>17</v>
      </c>
      <c r="E99" s="1" t="s">
        <v>1155</v>
      </c>
      <c r="F99" s="1" t="s">
        <v>1156</v>
      </c>
      <c r="G99" s="22" t="s">
        <v>1157</v>
      </c>
    </row>
    <row r="100" spans="2:7" ht="75" x14ac:dyDescent="0.25">
      <c r="B100" s="1" t="s">
        <v>915</v>
      </c>
      <c r="C100" s="1" t="s">
        <v>17</v>
      </c>
      <c r="E100" s="1" t="s">
        <v>1158</v>
      </c>
      <c r="F100" s="1" t="s">
        <v>1159</v>
      </c>
      <c r="G100" s="22" t="s">
        <v>1160</v>
      </c>
    </row>
    <row r="101" spans="2:7" ht="75" x14ac:dyDescent="0.25">
      <c r="B101" s="1" t="s">
        <v>915</v>
      </c>
      <c r="C101" s="1" t="s">
        <v>17</v>
      </c>
      <c r="E101" s="1" t="s">
        <v>1161</v>
      </c>
      <c r="F101" s="1" t="s">
        <v>1162</v>
      </c>
      <c r="G101" s="22" t="s">
        <v>1163</v>
      </c>
    </row>
    <row r="102" spans="2:7" ht="75" x14ac:dyDescent="0.25">
      <c r="B102" s="1" t="s">
        <v>915</v>
      </c>
      <c r="C102" s="1" t="s">
        <v>17</v>
      </c>
      <c r="E102" s="1" t="s">
        <v>1164</v>
      </c>
      <c r="F102" s="1" t="s">
        <v>1165</v>
      </c>
      <c r="G102" s="22" t="s">
        <v>1163</v>
      </c>
    </row>
    <row r="103" spans="2:7" ht="75" x14ac:dyDescent="0.25">
      <c r="B103" s="1" t="s">
        <v>915</v>
      </c>
      <c r="C103" s="1" t="s">
        <v>17</v>
      </c>
      <c r="E103" s="1" t="s">
        <v>1166</v>
      </c>
      <c r="F103" s="1" t="s">
        <v>1167</v>
      </c>
      <c r="G103" s="22" t="s">
        <v>1163</v>
      </c>
    </row>
    <row r="104" spans="2:7" ht="90" x14ac:dyDescent="0.25">
      <c r="B104" s="1" t="s">
        <v>915</v>
      </c>
      <c r="C104" s="1" t="s">
        <v>17</v>
      </c>
      <c r="E104" s="1" t="s">
        <v>1168</v>
      </c>
      <c r="F104" s="1" t="s">
        <v>1169</v>
      </c>
      <c r="G104" s="22" t="s">
        <v>1170</v>
      </c>
    </row>
    <row r="105" spans="2:7" ht="75" x14ac:dyDescent="0.25">
      <c r="B105" s="1" t="s">
        <v>915</v>
      </c>
      <c r="C105" s="1" t="s">
        <v>17</v>
      </c>
      <c r="E105" s="1" t="s">
        <v>1171</v>
      </c>
      <c r="F105" s="1" t="s">
        <v>1172</v>
      </c>
      <c r="G105" s="22" t="s">
        <v>1163</v>
      </c>
    </row>
    <row r="106" spans="2:7" ht="120" x14ac:dyDescent="0.25">
      <c r="B106" s="1" t="s">
        <v>915</v>
      </c>
      <c r="C106" s="1" t="s">
        <v>17</v>
      </c>
      <c r="E106" s="1" t="s">
        <v>1173</v>
      </c>
      <c r="F106" s="1" t="s">
        <v>1174</v>
      </c>
      <c r="G106" s="22" t="s">
        <v>1175</v>
      </c>
    </row>
    <row r="107" spans="2:7" ht="255" x14ac:dyDescent="0.25">
      <c r="B107" s="1" t="s">
        <v>915</v>
      </c>
      <c r="C107" s="1" t="s">
        <v>17</v>
      </c>
      <c r="E107" s="1" t="s">
        <v>1176</v>
      </c>
      <c r="F107" s="1" t="s">
        <v>1177</v>
      </c>
      <c r="G107" s="22" t="s">
        <v>1178</v>
      </c>
    </row>
    <row r="108" spans="2:7" ht="255" x14ac:dyDescent="0.25">
      <c r="B108" s="1" t="s">
        <v>915</v>
      </c>
      <c r="C108" s="1" t="s">
        <v>17</v>
      </c>
      <c r="E108" s="1" t="s">
        <v>1179</v>
      </c>
      <c r="F108" s="1" t="s">
        <v>1180</v>
      </c>
      <c r="G108" s="22" t="s">
        <v>1178</v>
      </c>
    </row>
    <row r="109" spans="2:7" ht="270" x14ac:dyDescent="0.25">
      <c r="B109" s="1" t="s">
        <v>915</v>
      </c>
      <c r="C109" s="1" t="s">
        <v>17</v>
      </c>
      <c r="E109" s="1" t="s">
        <v>1181</v>
      </c>
      <c r="F109" s="1" t="s">
        <v>1182</v>
      </c>
      <c r="G109" s="22" t="s">
        <v>1183</v>
      </c>
    </row>
    <row r="110" spans="2:7" ht="270" x14ac:dyDescent="0.25">
      <c r="B110" s="1" t="s">
        <v>915</v>
      </c>
      <c r="C110" s="1" t="s">
        <v>17</v>
      </c>
      <c r="E110" s="1" t="s">
        <v>1184</v>
      </c>
      <c r="F110" s="1" t="s">
        <v>1185</v>
      </c>
      <c r="G110" s="22" t="s">
        <v>1183</v>
      </c>
    </row>
    <row r="111" spans="2:7" ht="255" x14ac:dyDescent="0.25">
      <c r="B111" s="1" t="s">
        <v>915</v>
      </c>
      <c r="C111" s="1" t="s">
        <v>17</v>
      </c>
      <c r="E111" s="1" t="s">
        <v>1186</v>
      </c>
      <c r="F111" s="1" t="s">
        <v>1187</v>
      </c>
      <c r="G111" s="22" t="s">
        <v>1188</v>
      </c>
    </row>
    <row r="112" spans="2:7" ht="255" x14ac:dyDescent="0.25">
      <c r="B112" s="1" t="s">
        <v>915</v>
      </c>
      <c r="C112" s="1" t="s">
        <v>17</v>
      </c>
      <c r="E112" s="1" t="s">
        <v>1189</v>
      </c>
      <c r="F112" s="1" t="s">
        <v>1190</v>
      </c>
      <c r="G112" s="22" t="s">
        <v>1188</v>
      </c>
    </row>
    <row r="113" spans="1:34" ht="225" x14ac:dyDescent="0.25">
      <c r="B113" s="1" t="s">
        <v>915</v>
      </c>
      <c r="C113" s="1" t="s">
        <v>17</v>
      </c>
      <c r="E113" s="1" t="s">
        <v>1191</v>
      </c>
      <c r="F113" s="1" t="s">
        <v>1192</v>
      </c>
      <c r="G113" s="22" t="s">
        <v>1193</v>
      </c>
    </row>
    <row r="114" spans="1:34" ht="225" x14ac:dyDescent="0.25">
      <c r="B114" s="1" t="s">
        <v>915</v>
      </c>
      <c r="C114" s="1" t="s">
        <v>17</v>
      </c>
      <c r="E114" s="1" t="s">
        <v>1194</v>
      </c>
      <c r="F114" s="1" t="s">
        <v>1192</v>
      </c>
      <c r="G114" s="22" t="s">
        <v>1193</v>
      </c>
    </row>
    <row r="115" spans="1:34" ht="210" x14ac:dyDescent="0.25">
      <c r="B115" s="1" t="s">
        <v>915</v>
      </c>
      <c r="C115" s="1" t="s">
        <v>17</v>
      </c>
      <c r="E115" s="1" t="s">
        <v>1195</v>
      </c>
      <c r="F115" s="1" t="s">
        <v>1196</v>
      </c>
      <c r="G115" s="22" t="s">
        <v>1197</v>
      </c>
    </row>
    <row r="116" spans="1:34" ht="210" x14ac:dyDescent="0.25">
      <c r="B116" s="1" t="s">
        <v>915</v>
      </c>
      <c r="C116" s="1" t="s">
        <v>17</v>
      </c>
      <c r="E116" s="1" t="s">
        <v>1198</v>
      </c>
      <c r="F116" s="1" t="s">
        <v>1199</v>
      </c>
      <c r="G116" s="22" t="s">
        <v>1197</v>
      </c>
    </row>
    <row r="117" spans="1:34" ht="240" x14ac:dyDescent="0.25">
      <c r="B117" s="1" t="s">
        <v>915</v>
      </c>
      <c r="C117" s="1" t="s">
        <v>17</v>
      </c>
      <c r="E117" s="1" t="s">
        <v>1200</v>
      </c>
      <c r="F117" s="1" t="s">
        <v>1201</v>
      </c>
      <c r="G117" s="22" t="s">
        <v>1202</v>
      </c>
    </row>
    <row r="118" spans="1:34" ht="120" x14ac:dyDescent="0.25">
      <c r="B118" s="1" t="s">
        <v>915</v>
      </c>
      <c r="C118" s="1" t="s">
        <v>17</v>
      </c>
      <c r="E118" s="1" t="s">
        <v>1203</v>
      </c>
      <c r="F118" s="1" t="s">
        <v>1204</v>
      </c>
      <c r="G118" s="22" t="s">
        <v>1205</v>
      </c>
    </row>
    <row r="119" spans="1:34" ht="165" x14ac:dyDescent="0.25">
      <c r="A119" s="60"/>
      <c r="B119" s="61" t="s">
        <v>915</v>
      </c>
      <c r="C119" s="61" t="s">
        <v>17</v>
      </c>
      <c r="D119" s="60"/>
      <c r="E119" s="61" t="s">
        <v>1206</v>
      </c>
      <c r="F119" s="61" t="s">
        <v>1204</v>
      </c>
      <c r="G119" s="62" t="s">
        <v>1207</v>
      </c>
    </row>
    <row r="120" spans="1:34" ht="210" x14ac:dyDescent="0.25">
      <c r="A120" s="1">
        <v>1</v>
      </c>
      <c r="B120" s="1" t="str">
        <f>C120</f>
        <v>Y</v>
      </c>
      <c r="C120" s="1" t="s">
        <v>17</v>
      </c>
      <c r="D120" s="1" t="s">
        <v>1661</v>
      </c>
      <c r="E120" s="1" t="s">
        <v>1811</v>
      </c>
      <c r="F120" s="1" t="s">
        <v>396</v>
      </c>
      <c r="G120" s="1" t="s">
        <v>1635</v>
      </c>
      <c r="H120" s="1">
        <v>401</v>
      </c>
      <c r="I120" s="1" t="s">
        <v>22</v>
      </c>
      <c r="J120" s="1" t="s">
        <v>398</v>
      </c>
      <c r="K120" s="7" t="s">
        <v>23</v>
      </c>
      <c r="L120" s="7" t="s">
        <v>926</v>
      </c>
      <c r="M120" s="7" t="s">
        <v>927</v>
      </c>
      <c r="N120" s="23" t="s">
        <v>921</v>
      </c>
      <c r="O120" s="1" t="s">
        <v>920</v>
      </c>
      <c r="P120" s="7" t="s">
        <v>922</v>
      </c>
      <c r="Q120" s="1" t="s">
        <v>23</v>
      </c>
      <c r="R120" s="1" t="s">
        <v>1812</v>
      </c>
      <c r="S120" s="4" t="s">
        <v>400</v>
      </c>
      <c r="T120" s="7" t="s">
        <v>27</v>
      </c>
      <c r="U120" s="11" t="s">
        <v>923</v>
      </c>
      <c r="V120" s="1" t="s">
        <v>924</v>
      </c>
      <c r="W120" s="1" t="s">
        <v>402</v>
      </c>
      <c r="X120" s="5">
        <v>200061812481</v>
      </c>
      <c r="Y120" s="1" t="s">
        <v>925</v>
      </c>
      <c r="Z120" s="1">
        <v>1</v>
      </c>
      <c r="AA120" s="6" t="s">
        <v>404</v>
      </c>
      <c r="AB120" s="6" t="s">
        <v>405</v>
      </c>
      <c r="AC120" s="6" t="s">
        <v>406</v>
      </c>
      <c r="AD120" s="1" t="s">
        <v>407</v>
      </c>
      <c r="AE120" s="1" t="s">
        <v>408</v>
      </c>
      <c r="AF120" s="1" t="s">
        <v>409</v>
      </c>
      <c r="AG120" s="1" t="s">
        <v>410</v>
      </c>
      <c r="AH120" s="1" t="s">
        <v>411</v>
      </c>
    </row>
    <row r="121" spans="1:34" ht="210" x14ac:dyDescent="0.25">
      <c r="A121" s="1">
        <v>2</v>
      </c>
      <c r="B121" s="1" t="str">
        <f t="shared" ref="B121:B184" si="0">C121</f>
        <v>Y</v>
      </c>
      <c r="C121" s="1" t="s">
        <v>17</v>
      </c>
      <c r="D121" s="4" t="s">
        <v>1659</v>
      </c>
      <c r="E121" s="1" t="s">
        <v>1567</v>
      </c>
      <c r="F121" s="1" t="s">
        <v>413</v>
      </c>
      <c r="G121" s="1" t="s">
        <v>1635</v>
      </c>
      <c r="H121" s="1">
        <v>200</v>
      </c>
      <c r="I121" s="1" t="s">
        <v>22</v>
      </c>
      <c r="J121" s="1" t="s">
        <v>398</v>
      </c>
      <c r="K121" s="7" t="s">
        <v>23</v>
      </c>
      <c r="L121" s="7" t="s">
        <v>926</v>
      </c>
      <c r="M121" s="7" t="s">
        <v>927</v>
      </c>
      <c r="N121" s="23" t="s">
        <v>921</v>
      </c>
      <c r="O121" s="1" t="s">
        <v>920</v>
      </c>
      <c r="P121" s="7" t="s">
        <v>922</v>
      </c>
      <c r="Q121" s="1" t="s">
        <v>23</v>
      </c>
      <c r="R121" s="1" t="s">
        <v>1812</v>
      </c>
      <c r="S121" s="4" t="s">
        <v>400</v>
      </c>
      <c r="T121" s="7" t="s">
        <v>27</v>
      </c>
      <c r="U121" s="11" t="s">
        <v>923</v>
      </c>
      <c r="V121" s="1" t="s">
        <v>924</v>
      </c>
      <c r="W121" s="1" t="s">
        <v>402</v>
      </c>
      <c r="X121" s="5">
        <v>200061812481</v>
      </c>
      <c r="Y121" s="1" t="s">
        <v>925</v>
      </c>
      <c r="Z121" s="1">
        <v>1</v>
      </c>
      <c r="AA121" s="6" t="s">
        <v>404</v>
      </c>
      <c r="AB121" s="6" t="s">
        <v>405</v>
      </c>
      <c r="AC121" s="6" t="s">
        <v>406</v>
      </c>
      <c r="AD121" s="1" t="s">
        <v>407</v>
      </c>
      <c r="AE121" s="1" t="s">
        <v>408</v>
      </c>
      <c r="AF121" s="1" t="s">
        <v>409</v>
      </c>
      <c r="AG121" s="1" t="s">
        <v>410</v>
      </c>
      <c r="AH121" s="1" t="s">
        <v>411</v>
      </c>
    </row>
    <row r="122" spans="1:34" ht="210" x14ac:dyDescent="0.25">
      <c r="A122" s="1">
        <v>3</v>
      </c>
      <c r="B122" s="1" t="str">
        <f t="shared" si="0"/>
        <v>Y</v>
      </c>
      <c r="C122" s="1" t="s">
        <v>17</v>
      </c>
      <c r="D122" s="4" t="s">
        <v>1660</v>
      </c>
      <c r="E122" s="1" t="s">
        <v>1568</v>
      </c>
      <c r="F122" s="1" t="s">
        <v>423</v>
      </c>
      <c r="G122" s="1" t="s">
        <v>1636</v>
      </c>
      <c r="H122" s="1">
        <v>200</v>
      </c>
      <c r="I122" s="1" t="s">
        <v>22</v>
      </c>
      <c r="J122" s="1" t="s">
        <v>398</v>
      </c>
      <c r="K122" s="7" t="s">
        <v>23</v>
      </c>
      <c r="L122" s="7" t="s">
        <v>926</v>
      </c>
      <c r="M122" s="7" t="s">
        <v>927</v>
      </c>
      <c r="N122" s="23" t="s">
        <v>921</v>
      </c>
      <c r="O122" s="1" t="s">
        <v>920</v>
      </c>
      <c r="P122" s="7" t="s">
        <v>922</v>
      </c>
      <c r="Q122" s="1" t="s">
        <v>23</v>
      </c>
      <c r="R122" s="1" t="s">
        <v>1812</v>
      </c>
      <c r="S122" s="4" t="s">
        <v>400</v>
      </c>
      <c r="T122" s="7" t="s">
        <v>27</v>
      </c>
      <c r="U122" s="11" t="s">
        <v>923</v>
      </c>
      <c r="V122" s="1" t="s">
        <v>924</v>
      </c>
      <c r="W122" s="1" t="s">
        <v>402</v>
      </c>
      <c r="X122" s="5">
        <v>200061812481</v>
      </c>
      <c r="Y122" s="1" t="s">
        <v>925</v>
      </c>
      <c r="Z122" s="1">
        <v>1</v>
      </c>
      <c r="AA122" s="6" t="s">
        <v>404</v>
      </c>
      <c r="AB122" s="6" t="s">
        <v>405</v>
      </c>
      <c r="AC122" s="6" t="s">
        <v>406</v>
      </c>
      <c r="AD122" s="1" t="s">
        <v>407</v>
      </c>
      <c r="AE122" s="1" t="s">
        <v>408</v>
      </c>
      <c r="AF122" s="1" t="s">
        <v>409</v>
      </c>
      <c r="AG122" s="1" t="s">
        <v>410</v>
      </c>
      <c r="AH122" s="1" t="s">
        <v>411</v>
      </c>
    </row>
    <row r="123" spans="1:34" ht="75" x14ac:dyDescent="0.25">
      <c r="A123" s="1">
        <v>4</v>
      </c>
      <c r="B123" s="1" t="str">
        <f t="shared" si="0"/>
        <v>N</v>
      </c>
      <c r="C123" s="1" t="s">
        <v>915</v>
      </c>
      <c r="D123" s="4" t="s">
        <v>1662</v>
      </c>
      <c r="E123" s="1" t="s">
        <v>1569</v>
      </c>
      <c r="F123" s="1" t="s">
        <v>982</v>
      </c>
      <c r="G123" s="1" t="s">
        <v>1637</v>
      </c>
      <c r="H123" s="1">
        <v>200</v>
      </c>
      <c r="I123" s="1" t="s">
        <v>22</v>
      </c>
      <c r="J123" s="1" t="s">
        <v>398</v>
      </c>
      <c r="K123" s="7" t="s">
        <v>23</v>
      </c>
      <c r="L123" s="7" t="s">
        <v>926</v>
      </c>
      <c r="M123" s="7" t="s">
        <v>927</v>
      </c>
      <c r="N123" s="23" t="s">
        <v>921</v>
      </c>
      <c r="O123" s="1" t="s">
        <v>920</v>
      </c>
      <c r="P123" s="7" t="s">
        <v>922</v>
      </c>
      <c r="Q123" s="1" t="s">
        <v>23</v>
      </c>
      <c r="R123" s="1" t="s">
        <v>1812</v>
      </c>
      <c r="S123" s="4" t="s">
        <v>400</v>
      </c>
      <c r="T123" s="7" t="s">
        <v>27</v>
      </c>
      <c r="U123" s="11" t="s">
        <v>923</v>
      </c>
      <c r="V123" s="1" t="s">
        <v>924</v>
      </c>
      <c r="W123" s="1" t="s">
        <v>402</v>
      </c>
      <c r="X123" s="5">
        <v>200061812481</v>
      </c>
      <c r="Y123" s="1" t="s">
        <v>925</v>
      </c>
      <c r="Z123" s="1">
        <v>1</v>
      </c>
      <c r="AA123" s="6" t="s">
        <v>404</v>
      </c>
      <c r="AB123" s="6" t="s">
        <v>405</v>
      </c>
      <c r="AC123" s="6" t="s">
        <v>406</v>
      </c>
      <c r="AD123" s="1" t="s">
        <v>407</v>
      </c>
      <c r="AE123" s="1" t="s">
        <v>408</v>
      </c>
      <c r="AF123" s="1" t="s">
        <v>409</v>
      </c>
      <c r="AG123" s="1" t="s">
        <v>410</v>
      </c>
      <c r="AH123" s="1" t="s">
        <v>411</v>
      </c>
    </row>
    <row r="124" spans="1:34" ht="105" x14ac:dyDescent="0.25">
      <c r="A124" s="1">
        <v>5</v>
      </c>
      <c r="B124" s="1" t="str">
        <f t="shared" si="0"/>
        <v>N</v>
      </c>
      <c r="C124" s="1" t="s">
        <v>915</v>
      </c>
      <c r="D124" s="4" t="s">
        <v>1663</v>
      </c>
      <c r="E124" s="63" t="s">
        <v>1570</v>
      </c>
      <c r="F124" s="1" t="s">
        <v>983</v>
      </c>
      <c r="G124" s="1" t="s">
        <v>1656</v>
      </c>
      <c r="H124" s="1">
        <v>400</v>
      </c>
      <c r="I124" s="1" t="s">
        <v>22</v>
      </c>
      <c r="J124" s="1" t="s">
        <v>398</v>
      </c>
      <c r="K124" s="7" t="s">
        <v>23</v>
      </c>
      <c r="L124" s="7" t="s">
        <v>926</v>
      </c>
      <c r="M124" s="7" t="s">
        <v>927</v>
      </c>
      <c r="N124" s="23" t="s">
        <v>921</v>
      </c>
      <c r="O124" s="1" t="s">
        <v>920</v>
      </c>
      <c r="P124" s="7" t="s">
        <v>922</v>
      </c>
      <c r="Q124" s="1" t="s">
        <v>23</v>
      </c>
      <c r="R124" s="1" t="s">
        <v>1812</v>
      </c>
      <c r="S124" s="4" t="s">
        <v>400</v>
      </c>
      <c r="T124" s="7" t="s">
        <v>27</v>
      </c>
      <c r="U124" s="11" t="s">
        <v>923</v>
      </c>
      <c r="V124" s="1" t="s">
        <v>924</v>
      </c>
      <c r="W124" s="1" t="s">
        <v>402</v>
      </c>
      <c r="X124" s="5">
        <v>200061812481</v>
      </c>
      <c r="Y124" s="1" t="s">
        <v>925</v>
      </c>
      <c r="Z124" s="1">
        <v>1</v>
      </c>
      <c r="AA124" s="6" t="s">
        <v>404</v>
      </c>
      <c r="AB124" s="6" t="s">
        <v>405</v>
      </c>
      <c r="AC124" s="6" t="s">
        <v>406</v>
      </c>
      <c r="AD124" s="1" t="s">
        <v>407</v>
      </c>
      <c r="AE124" s="1" t="s">
        <v>408</v>
      </c>
      <c r="AF124" s="1" t="s">
        <v>409</v>
      </c>
      <c r="AG124" s="1" t="s">
        <v>410</v>
      </c>
      <c r="AH124" s="1" t="s">
        <v>411</v>
      </c>
    </row>
    <row r="125" spans="1:34" ht="105" x14ac:dyDescent="0.25">
      <c r="A125" s="1">
        <v>6</v>
      </c>
      <c r="B125" s="1" t="str">
        <f t="shared" si="0"/>
        <v>N</v>
      </c>
      <c r="C125" s="1" t="s">
        <v>915</v>
      </c>
      <c r="D125" s="4" t="s">
        <v>1664</v>
      </c>
      <c r="E125" s="1" t="s">
        <v>1571</v>
      </c>
      <c r="F125" s="1" t="s">
        <v>985</v>
      </c>
      <c r="G125" s="1" t="s">
        <v>1656</v>
      </c>
      <c r="H125" s="1">
        <v>400</v>
      </c>
      <c r="I125" s="1" t="s">
        <v>22</v>
      </c>
      <c r="J125" s="1" t="s">
        <v>398</v>
      </c>
      <c r="K125" s="7" t="s">
        <v>23</v>
      </c>
      <c r="L125" s="7" t="s">
        <v>926</v>
      </c>
      <c r="M125" s="7" t="s">
        <v>927</v>
      </c>
      <c r="N125" s="23" t="s">
        <v>921</v>
      </c>
      <c r="O125" s="1" t="s">
        <v>920</v>
      </c>
      <c r="P125" s="7" t="s">
        <v>922</v>
      </c>
      <c r="Q125" s="1" t="s">
        <v>23</v>
      </c>
      <c r="R125" s="1" t="s">
        <v>1812</v>
      </c>
      <c r="S125" s="4" t="s">
        <v>400</v>
      </c>
      <c r="T125" s="7" t="s">
        <v>27</v>
      </c>
      <c r="U125" s="11" t="s">
        <v>923</v>
      </c>
      <c r="V125" s="1" t="s">
        <v>924</v>
      </c>
      <c r="W125" s="1" t="s">
        <v>402</v>
      </c>
      <c r="X125" s="5">
        <v>200061812481</v>
      </c>
      <c r="Y125" s="1" t="s">
        <v>925</v>
      </c>
      <c r="Z125" s="1">
        <v>1</v>
      </c>
      <c r="AA125" s="6" t="s">
        <v>404</v>
      </c>
      <c r="AB125" s="6" t="s">
        <v>405</v>
      </c>
      <c r="AC125" s="6" t="s">
        <v>406</v>
      </c>
      <c r="AD125" s="1" t="s">
        <v>407</v>
      </c>
      <c r="AE125" s="1" t="s">
        <v>408</v>
      </c>
      <c r="AF125" s="1" t="s">
        <v>409</v>
      </c>
      <c r="AG125" s="1" t="s">
        <v>410</v>
      </c>
      <c r="AH125" s="1" t="s">
        <v>411</v>
      </c>
    </row>
    <row r="126" spans="1:34" ht="105" x14ac:dyDescent="0.25">
      <c r="A126" s="1">
        <v>7</v>
      </c>
      <c r="B126" s="1" t="str">
        <f t="shared" si="0"/>
        <v>N</v>
      </c>
      <c r="C126" s="1" t="s">
        <v>915</v>
      </c>
      <c r="D126" s="4" t="s">
        <v>1665</v>
      </c>
      <c r="E126" s="1" t="s">
        <v>1572</v>
      </c>
      <c r="F126" s="1" t="s">
        <v>1638</v>
      </c>
      <c r="G126" s="1" t="s">
        <v>1656</v>
      </c>
      <c r="H126" s="1">
        <v>400</v>
      </c>
      <c r="I126" s="1" t="s">
        <v>22</v>
      </c>
      <c r="J126" s="1" t="s">
        <v>398</v>
      </c>
      <c r="K126" s="7" t="s">
        <v>23</v>
      </c>
      <c r="L126" s="7" t="s">
        <v>926</v>
      </c>
      <c r="M126" s="7" t="s">
        <v>927</v>
      </c>
      <c r="N126" s="23" t="s">
        <v>921</v>
      </c>
      <c r="O126" s="1" t="s">
        <v>920</v>
      </c>
      <c r="P126" s="7" t="s">
        <v>922</v>
      </c>
      <c r="Q126" s="1" t="s">
        <v>23</v>
      </c>
      <c r="R126" s="1" t="s">
        <v>1812</v>
      </c>
      <c r="S126" s="4" t="s">
        <v>400</v>
      </c>
      <c r="T126" s="7" t="s">
        <v>27</v>
      </c>
      <c r="U126" s="11" t="s">
        <v>923</v>
      </c>
      <c r="V126" s="1" t="s">
        <v>924</v>
      </c>
      <c r="W126" s="1" t="s">
        <v>402</v>
      </c>
      <c r="X126" s="5">
        <v>200061812481</v>
      </c>
      <c r="Y126" s="1" t="s">
        <v>925</v>
      </c>
      <c r="Z126" s="1">
        <v>1</v>
      </c>
      <c r="AA126" s="6" t="s">
        <v>404</v>
      </c>
      <c r="AB126" s="6" t="s">
        <v>405</v>
      </c>
      <c r="AC126" s="6" t="s">
        <v>406</v>
      </c>
      <c r="AD126" s="1" t="s">
        <v>407</v>
      </c>
      <c r="AE126" s="1" t="s">
        <v>408</v>
      </c>
      <c r="AF126" s="1" t="s">
        <v>409</v>
      </c>
      <c r="AG126" s="1" t="s">
        <v>410</v>
      </c>
      <c r="AH126" s="1" t="s">
        <v>411</v>
      </c>
    </row>
    <row r="127" spans="1:34" ht="105" x14ac:dyDescent="0.25">
      <c r="A127" s="1">
        <v>8</v>
      </c>
      <c r="B127" s="1" t="str">
        <f t="shared" si="0"/>
        <v>N</v>
      </c>
      <c r="C127" s="1" t="s">
        <v>915</v>
      </c>
      <c r="D127" s="4" t="s">
        <v>1666</v>
      </c>
      <c r="E127" s="1" t="s">
        <v>1573</v>
      </c>
      <c r="F127" s="1" t="s">
        <v>1640</v>
      </c>
      <c r="G127" s="1" t="s">
        <v>1656</v>
      </c>
      <c r="H127" s="1">
        <v>400</v>
      </c>
      <c r="I127" s="1" t="s">
        <v>22</v>
      </c>
      <c r="J127" s="1" t="s">
        <v>398</v>
      </c>
      <c r="K127" s="7" t="s">
        <v>23</v>
      </c>
      <c r="L127" s="7" t="s">
        <v>926</v>
      </c>
      <c r="M127" s="7" t="s">
        <v>927</v>
      </c>
      <c r="N127" s="23" t="s">
        <v>921</v>
      </c>
      <c r="O127" s="1" t="s">
        <v>920</v>
      </c>
      <c r="P127" s="7" t="s">
        <v>922</v>
      </c>
      <c r="Q127" s="1" t="s">
        <v>23</v>
      </c>
      <c r="R127" s="1" t="s">
        <v>1812</v>
      </c>
      <c r="S127" s="4" t="s">
        <v>400</v>
      </c>
      <c r="T127" s="7" t="s">
        <v>27</v>
      </c>
      <c r="U127" s="11" t="s">
        <v>923</v>
      </c>
      <c r="V127" s="1" t="s">
        <v>924</v>
      </c>
      <c r="W127" s="1" t="s">
        <v>402</v>
      </c>
      <c r="X127" s="5">
        <v>200061812481</v>
      </c>
      <c r="Y127" s="1" t="s">
        <v>925</v>
      </c>
      <c r="Z127" s="1">
        <v>1</v>
      </c>
      <c r="AA127" s="6" t="s">
        <v>404</v>
      </c>
      <c r="AB127" s="6" t="s">
        <v>405</v>
      </c>
      <c r="AC127" s="6" t="s">
        <v>406</v>
      </c>
      <c r="AD127" s="1" t="s">
        <v>407</v>
      </c>
      <c r="AE127" s="1" t="s">
        <v>408</v>
      </c>
      <c r="AF127" s="1" t="s">
        <v>409</v>
      </c>
      <c r="AG127" s="1" t="s">
        <v>410</v>
      </c>
      <c r="AH127" s="1" t="s">
        <v>411</v>
      </c>
    </row>
    <row r="128" spans="1:34" ht="45" x14ac:dyDescent="0.25">
      <c r="A128" s="1">
        <v>9</v>
      </c>
      <c r="B128" s="1" t="str">
        <f t="shared" si="0"/>
        <v>N</v>
      </c>
      <c r="C128" s="1" t="s">
        <v>915</v>
      </c>
      <c r="D128" s="4" t="s">
        <v>1667</v>
      </c>
      <c r="E128" s="1" t="s">
        <v>1574</v>
      </c>
      <c r="F128" s="1" t="s">
        <v>986</v>
      </c>
      <c r="G128" s="1" t="s">
        <v>427</v>
      </c>
      <c r="H128" s="1">
        <v>401</v>
      </c>
      <c r="I128" s="1" t="s">
        <v>22</v>
      </c>
      <c r="J128" s="1" t="s">
        <v>398</v>
      </c>
      <c r="K128" s="7" t="s">
        <v>23</v>
      </c>
      <c r="L128" s="7" t="s">
        <v>926</v>
      </c>
      <c r="M128" s="7" t="s">
        <v>927</v>
      </c>
      <c r="N128" s="23" t="s">
        <v>921</v>
      </c>
      <c r="O128" s="1" t="s">
        <v>920</v>
      </c>
      <c r="P128" s="7" t="s">
        <v>922</v>
      </c>
      <c r="Q128" s="1" t="s">
        <v>23</v>
      </c>
      <c r="R128" s="1" t="s">
        <v>1812</v>
      </c>
      <c r="S128" s="4" t="s">
        <v>400</v>
      </c>
      <c r="T128" s="7" t="s">
        <v>27</v>
      </c>
      <c r="U128" s="11" t="s">
        <v>923</v>
      </c>
      <c r="V128" s="1" t="s">
        <v>924</v>
      </c>
      <c r="W128" s="1" t="s">
        <v>402</v>
      </c>
      <c r="X128" s="5">
        <v>200061812481</v>
      </c>
      <c r="Y128" s="1" t="s">
        <v>925</v>
      </c>
      <c r="Z128" s="1">
        <v>1</v>
      </c>
      <c r="AA128" s="6" t="s">
        <v>404</v>
      </c>
      <c r="AB128" s="6" t="s">
        <v>405</v>
      </c>
      <c r="AC128" s="6" t="s">
        <v>406</v>
      </c>
      <c r="AD128" s="1" t="s">
        <v>407</v>
      </c>
      <c r="AE128" s="1" t="s">
        <v>408</v>
      </c>
      <c r="AF128" s="1" t="s">
        <v>409</v>
      </c>
      <c r="AG128" s="1" t="s">
        <v>410</v>
      </c>
      <c r="AH128" s="1" t="s">
        <v>411</v>
      </c>
    </row>
    <row r="129" spans="1:34" ht="45" x14ac:dyDescent="0.25">
      <c r="A129" s="1">
        <v>10</v>
      </c>
      <c r="B129" s="1" t="str">
        <f t="shared" si="0"/>
        <v>N</v>
      </c>
      <c r="C129" s="1" t="s">
        <v>915</v>
      </c>
      <c r="D129" s="4" t="s">
        <v>1668</v>
      </c>
      <c r="E129" s="1" t="s">
        <v>1575</v>
      </c>
      <c r="F129" s="1" t="s">
        <v>987</v>
      </c>
      <c r="G129" s="1" t="s">
        <v>427</v>
      </c>
      <c r="H129" s="1">
        <v>401</v>
      </c>
      <c r="I129" s="1" t="s">
        <v>22</v>
      </c>
      <c r="J129" s="1" t="s">
        <v>398</v>
      </c>
      <c r="K129" s="7" t="s">
        <v>23</v>
      </c>
      <c r="L129" s="7" t="s">
        <v>926</v>
      </c>
      <c r="M129" s="7" t="s">
        <v>927</v>
      </c>
      <c r="N129" s="23" t="s">
        <v>921</v>
      </c>
      <c r="O129" s="1" t="s">
        <v>920</v>
      </c>
      <c r="P129" s="7" t="s">
        <v>922</v>
      </c>
      <c r="Q129" s="1" t="s">
        <v>23</v>
      </c>
      <c r="R129" s="1" t="s">
        <v>1812</v>
      </c>
      <c r="S129" s="4" t="s">
        <v>400</v>
      </c>
      <c r="T129" s="7" t="s">
        <v>27</v>
      </c>
      <c r="U129" s="11" t="s">
        <v>923</v>
      </c>
      <c r="V129" s="1" t="s">
        <v>924</v>
      </c>
      <c r="W129" s="1" t="s">
        <v>402</v>
      </c>
      <c r="X129" s="5">
        <v>200061812481</v>
      </c>
      <c r="Y129" s="1" t="s">
        <v>925</v>
      </c>
      <c r="Z129" s="1">
        <v>1</v>
      </c>
      <c r="AA129" s="6" t="s">
        <v>404</v>
      </c>
      <c r="AB129" s="6" t="s">
        <v>405</v>
      </c>
      <c r="AC129" s="6" t="s">
        <v>406</v>
      </c>
      <c r="AD129" s="1" t="s">
        <v>407</v>
      </c>
      <c r="AE129" s="1" t="s">
        <v>408</v>
      </c>
      <c r="AF129" s="1" t="s">
        <v>409</v>
      </c>
      <c r="AG129" s="1" t="s">
        <v>410</v>
      </c>
      <c r="AH129" s="1" t="s">
        <v>411</v>
      </c>
    </row>
    <row r="130" spans="1:34" ht="45" x14ac:dyDescent="0.25">
      <c r="A130" s="1">
        <v>11</v>
      </c>
      <c r="B130" s="1" t="str">
        <f t="shared" si="0"/>
        <v>N</v>
      </c>
      <c r="C130" s="1" t="s">
        <v>915</v>
      </c>
      <c r="D130" s="4" t="s">
        <v>1669</v>
      </c>
      <c r="E130" s="1" t="s">
        <v>1576</v>
      </c>
      <c r="F130" s="1" t="s">
        <v>988</v>
      </c>
      <c r="G130" s="1" t="s">
        <v>1657</v>
      </c>
      <c r="H130" s="1">
        <v>401</v>
      </c>
      <c r="I130" s="1" t="s">
        <v>22</v>
      </c>
      <c r="J130" s="1" t="s">
        <v>398</v>
      </c>
      <c r="K130" s="7" t="s">
        <v>23</v>
      </c>
      <c r="L130" s="7" t="s">
        <v>926</v>
      </c>
      <c r="M130" s="7" t="s">
        <v>927</v>
      </c>
      <c r="N130" s="23" t="s">
        <v>921</v>
      </c>
      <c r="O130" s="1" t="s">
        <v>920</v>
      </c>
      <c r="P130" s="7" t="s">
        <v>922</v>
      </c>
      <c r="Q130" s="1" t="s">
        <v>23</v>
      </c>
      <c r="R130" s="1" t="s">
        <v>1812</v>
      </c>
      <c r="S130" s="4" t="s">
        <v>400</v>
      </c>
      <c r="T130" s="7" t="s">
        <v>27</v>
      </c>
      <c r="U130" s="11" t="s">
        <v>923</v>
      </c>
      <c r="V130" s="1" t="s">
        <v>924</v>
      </c>
      <c r="W130" s="1" t="s">
        <v>402</v>
      </c>
      <c r="X130" s="5">
        <v>200061812481</v>
      </c>
      <c r="Y130" s="1" t="s">
        <v>925</v>
      </c>
      <c r="Z130" s="1">
        <v>1</v>
      </c>
      <c r="AA130" s="6" t="s">
        <v>404</v>
      </c>
      <c r="AB130" s="6" t="s">
        <v>405</v>
      </c>
      <c r="AC130" s="6" t="s">
        <v>406</v>
      </c>
      <c r="AD130" s="1" t="s">
        <v>407</v>
      </c>
      <c r="AE130" s="1" t="s">
        <v>408</v>
      </c>
      <c r="AF130" s="1" t="s">
        <v>409</v>
      </c>
      <c r="AG130" s="1" t="s">
        <v>410</v>
      </c>
      <c r="AH130" s="1" t="s">
        <v>411</v>
      </c>
    </row>
    <row r="131" spans="1:34" ht="45" x14ac:dyDescent="0.25">
      <c r="A131" s="1">
        <v>12</v>
      </c>
      <c r="B131" s="1" t="str">
        <f t="shared" si="0"/>
        <v>N</v>
      </c>
      <c r="C131" s="1" t="s">
        <v>915</v>
      </c>
      <c r="D131" s="4" t="s">
        <v>1670</v>
      </c>
      <c r="E131" s="1" t="s">
        <v>1577</v>
      </c>
      <c r="F131" s="1" t="s">
        <v>426</v>
      </c>
      <c r="G131" s="1" t="s">
        <v>427</v>
      </c>
      <c r="H131" s="1">
        <v>401</v>
      </c>
      <c r="I131" s="1" t="s">
        <v>22</v>
      </c>
      <c r="J131" s="1" t="s">
        <v>398</v>
      </c>
      <c r="K131" s="7" t="s">
        <v>23</v>
      </c>
      <c r="L131" s="7" t="s">
        <v>926</v>
      </c>
      <c r="M131" s="7" t="s">
        <v>927</v>
      </c>
      <c r="N131" s="23" t="s">
        <v>921</v>
      </c>
      <c r="O131" s="1" t="s">
        <v>920</v>
      </c>
      <c r="P131" s="7" t="s">
        <v>922</v>
      </c>
      <c r="Q131" s="1" t="s">
        <v>23</v>
      </c>
      <c r="R131" s="1" t="s">
        <v>1812</v>
      </c>
      <c r="S131" s="4" t="s">
        <v>400</v>
      </c>
      <c r="T131" s="7" t="s">
        <v>27</v>
      </c>
      <c r="U131" s="11" t="s">
        <v>923</v>
      </c>
      <c r="V131" s="1" t="s">
        <v>924</v>
      </c>
      <c r="W131" s="1" t="s">
        <v>402</v>
      </c>
      <c r="X131" s="5">
        <v>200061812481</v>
      </c>
      <c r="Y131" s="1" t="s">
        <v>925</v>
      </c>
      <c r="Z131" s="1">
        <v>1</v>
      </c>
      <c r="AA131" s="6" t="s">
        <v>404</v>
      </c>
      <c r="AB131" s="6" t="s">
        <v>405</v>
      </c>
      <c r="AC131" s="6" t="s">
        <v>406</v>
      </c>
      <c r="AD131" s="1" t="s">
        <v>407</v>
      </c>
      <c r="AE131" s="1" t="s">
        <v>408</v>
      </c>
      <c r="AF131" s="1" t="s">
        <v>409</v>
      </c>
      <c r="AG131" s="1" t="s">
        <v>410</v>
      </c>
      <c r="AH131" s="1" t="s">
        <v>411</v>
      </c>
    </row>
    <row r="132" spans="1:34" ht="45" x14ac:dyDescent="0.25">
      <c r="A132" s="1">
        <v>13</v>
      </c>
      <c r="B132" s="1" t="str">
        <f t="shared" si="0"/>
        <v>N</v>
      </c>
      <c r="C132" s="1" t="s">
        <v>915</v>
      </c>
      <c r="D132" s="4" t="s">
        <v>1671</v>
      </c>
      <c r="E132" s="1" t="s">
        <v>1578</v>
      </c>
      <c r="F132" s="1" t="s">
        <v>989</v>
      </c>
      <c r="G132" s="1" t="s">
        <v>427</v>
      </c>
      <c r="H132" s="4">
        <v>200</v>
      </c>
      <c r="I132" s="1" t="s">
        <v>22</v>
      </c>
      <c r="J132" s="1" t="s">
        <v>398</v>
      </c>
      <c r="K132" s="7" t="s">
        <v>23</v>
      </c>
      <c r="L132" s="7" t="s">
        <v>926</v>
      </c>
      <c r="M132" s="7" t="s">
        <v>927</v>
      </c>
      <c r="N132" s="23" t="s">
        <v>921</v>
      </c>
      <c r="O132" s="1" t="s">
        <v>920</v>
      </c>
      <c r="P132" s="7" t="s">
        <v>922</v>
      </c>
      <c r="Q132" s="1" t="s">
        <v>23</v>
      </c>
      <c r="R132" s="1" t="s">
        <v>1812</v>
      </c>
      <c r="S132" s="4" t="s">
        <v>400</v>
      </c>
      <c r="T132" s="7" t="s">
        <v>27</v>
      </c>
      <c r="U132" s="11" t="s">
        <v>923</v>
      </c>
      <c r="V132" s="1" t="s">
        <v>924</v>
      </c>
      <c r="W132" s="1" t="s">
        <v>402</v>
      </c>
      <c r="X132" s="5">
        <v>200061812481</v>
      </c>
      <c r="Y132" s="1" t="s">
        <v>925</v>
      </c>
      <c r="Z132" s="1">
        <v>1</v>
      </c>
      <c r="AA132" s="6" t="s">
        <v>404</v>
      </c>
      <c r="AB132" s="6" t="s">
        <v>405</v>
      </c>
      <c r="AC132" s="6" t="s">
        <v>406</v>
      </c>
      <c r="AD132" s="1" t="s">
        <v>407</v>
      </c>
      <c r="AE132" s="1" t="s">
        <v>408</v>
      </c>
      <c r="AF132" s="1" t="s">
        <v>409</v>
      </c>
      <c r="AG132" s="1" t="s">
        <v>410</v>
      </c>
      <c r="AH132" s="1" t="s">
        <v>411</v>
      </c>
    </row>
    <row r="133" spans="1:34" ht="45" x14ac:dyDescent="0.25">
      <c r="A133" s="1">
        <v>14</v>
      </c>
      <c r="B133" s="1" t="str">
        <f t="shared" si="0"/>
        <v>N</v>
      </c>
      <c r="C133" s="1" t="s">
        <v>915</v>
      </c>
      <c r="D133" s="4" t="s">
        <v>1672</v>
      </c>
      <c r="E133" s="1" t="s">
        <v>1579</v>
      </c>
      <c r="F133" s="1" t="s">
        <v>992</v>
      </c>
      <c r="G133" s="1" t="s">
        <v>1641</v>
      </c>
      <c r="H133" s="4">
        <v>200</v>
      </c>
      <c r="I133" s="1" t="s">
        <v>22</v>
      </c>
      <c r="J133" s="1" t="s">
        <v>398</v>
      </c>
      <c r="K133" s="7" t="s">
        <v>23</v>
      </c>
      <c r="L133" s="7" t="s">
        <v>926</v>
      </c>
      <c r="M133" s="7" t="s">
        <v>927</v>
      </c>
      <c r="N133" s="23" t="s">
        <v>921</v>
      </c>
      <c r="O133" s="1" t="s">
        <v>920</v>
      </c>
      <c r="P133" s="7" t="s">
        <v>922</v>
      </c>
      <c r="Q133" s="1" t="s">
        <v>23</v>
      </c>
      <c r="R133" s="1" t="s">
        <v>1812</v>
      </c>
      <c r="S133" s="4" t="s">
        <v>400</v>
      </c>
      <c r="T133" s="7" t="s">
        <v>27</v>
      </c>
      <c r="U133" s="11" t="s">
        <v>923</v>
      </c>
      <c r="V133" s="1" t="s">
        <v>924</v>
      </c>
      <c r="W133" s="1" t="s">
        <v>402</v>
      </c>
      <c r="X133" s="5">
        <v>200061812481</v>
      </c>
      <c r="Y133" s="1" t="s">
        <v>925</v>
      </c>
      <c r="Z133" s="1">
        <v>1</v>
      </c>
      <c r="AA133" s="6" t="s">
        <v>404</v>
      </c>
      <c r="AB133" s="6" t="s">
        <v>405</v>
      </c>
      <c r="AC133" s="6" t="s">
        <v>406</v>
      </c>
      <c r="AD133" s="1" t="s">
        <v>407</v>
      </c>
      <c r="AE133" s="1" t="s">
        <v>408</v>
      </c>
      <c r="AF133" s="1" t="s">
        <v>409</v>
      </c>
      <c r="AG133" s="1" t="s">
        <v>410</v>
      </c>
      <c r="AH133" s="1" t="s">
        <v>411</v>
      </c>
    </row>
    <row r="134" spans="1:34" ht="210" x14ac:dyDescent="0.25">
      <c r="A134" s="1">
        <v>15</v>
      </c>
      <c r="B134" s="1" t="str">
        <f t="shared" si="0"/>
        <v>N</v>
      </c>
      <c r="C134" s="1" t="s">
        <v>915</v>
      </c>
      <c r="D134" s="4" t="s">
        <v>1673</v>
      </c>
      <c r="E134" s="1" t="s">
        <v>1580</v>
      </c>
      <c r="F134" s="1" t="s">
        <v>993</v>
      </c>
      <c r="G134" s="1" t="s">
        <v>994</v>
      </c>
      <c r="H134" s="4">
        <v>200</v>
      </c>
      <c r="I134" s="1" t="s">
        <v>22</v>
      </c>
      <c r="J134" s="1" t="s">
        <v>398</v>
      </c>
      <c r="K134" s="7" t="s">
        <v>23</v>
      </c>
      <c r="L134" s="7" t="s">
        <v>926</v>
      </c>
      <c r="M134" s="7" t="s">
        <v>927</v>
      </c>
      <c r="N134" s="23" t="s">
        <v>921</v>
      </c>
      <c r="O134" s="1" t="s">
        <v>920</v>
      </c>
      <c r="P134" s="7" t="s">
        <v>922</v>
      </c>
      <c r="Q134" s="1" t="s">
        <v>23</v>
      </c>
      <c r="R134" s="1" t="s">
        <v>1812</v>
      </c>
      <c r="S134" s="4" t="s">
        <v>400</v>
      </c>
      <c r="T134" s="7" t="s">
        <v>27</v>
      </c>
      <c r="U134" s="11" t="s">
        <v>923</v>
      </c>
      <c r="V134" s="1" t="s">
        <v>924</v>
      </c>
      <c r="W134" s="1" t="s">
        <v>402</v>
      </c>
      <c r="X134" s="5">
        <v>200061812481</v>
      </c>
      <c r="Y134" s="1" t="s">
        <v>925</v>
      </c>
      <c r="Z134" s="1">
        <v>1</v>
      </c>
      <c r="AA134" s="6" t="s">
        <v>404</v>
      </c>
      <c r="AB134" s="6" t="s">
        <v>405</v>
      </c>
      <c r="AC134" s="6" t="s">
        <v>406</v>
      </c>
      <c r="AD134" s="1" t="s">
        <v>407</v>
      </c>
      <c r="AE134" s="1" t="s">
        <v>408</v>
      </c>
      <c r="AF134" s="1" t="s">
        <v>409</v>
      </c>
      <c r="AG134" s="1" t="s">
        <v>410</v>
      </c>
      <c r="AH134" s="1" t="s">
        <v>411</v>
      </c>
    </row>
    <row r="135" spans="1:34" ht="210" x14ac:dyDescent="0.25">
      <c r="A135" s="1">
        <v>16</v>
      </c>
      <c r="B135" s="1" t="str">
        <f t="shared" si="0"/>
        <v>N</v>
      </c>
      <c r="C135" s="1" t="s">
        <v>915</v>
      </c>
      <c r="D135" s="4" t="s">
        <v>1674</v>
      </c>
      <c r="E135" s="1" t="s">
        <v>1581</v>
      </c>
      <c r="F135" s="1" t="s">
        <v>995</v>
      </c>
      <c r="G135" s="1" t="s">
        <v>994</v>
      </c>
      <c r="H135" s="4">
        <v>200</v>
      </c>
      <c r="I135" s="1" t="s">
        <v>22</v>
      </c>
      <c r="J135" s="1" t="s">
        <v>398</v>
      </c>
      <c r="K135" s="7" t="s">
        <v>23</v>
      </c>
      <c r="L135" s="7" t="s">
        <v>926</v>
      </c>
      <c r="M135" s="7" t="s">
        <v>927</v>
      </c>
      <c r="N135" s="23" t="s">
        <v>921</v>
      </c>
      <c r="O135" s="1" t="s">
        <v>920</v>
      </c>
      <c r="P135" s="7" t="s">
        <v>922</v>
      </c>
      <c r="Q135" s="1" t="s">
        <v>23</v>
      </c>
      <c r="R135" s="1" t="s">
        <v>1812</v>
      </c>
      <c r="S135" s="4" t="s">
        <v>400</v>
      </c>
      <c r="T135" s="7" t="s">
        <v>27</v>
      </c>
      <c r="U135" s="11" t="s">
        <v>923</v>
      </c>
      <c r="V135" s="1" t="s">
        <v>924</v>
      </c>
      <c r="W135" s="1" t="s">
        <v>402</v>
      </c>
      <c r="X135" s="5">
        <v>200061812481</v>
      </c>
      <c r="Y135" s="1" t="s">
        <v>925</v>
      </c>
      <c r="Z135" s="1">
        <v>1</v>
      </c>
      <c r="AA135" s="6" t="s">
        <v>404</v>
      </c>
      <c r="AB135" s="6" t="s">
        <v>405</v>
      </c>
      <c r="AC135" s="6" t="s">
        <v>406</v>
      </c>
      <c r="AD135" s="1" t="s">
        <v>407</v>
      </c>
      <c r="AE135" s="1" t="s">
        <v>408</v>
      </c>
      <c r="AF135" s="1" t="s">
        <v>409</v>
      </c>
      <c r="AG135" s="1" t="s">
        <v>410</v>
      </c>
      <c r="AH135" s="1" t="s">
        <v>411</v>
      </c>
    </row>
    <row r="136" spans="1:34" ht="210" x14ac:dyDescent="0.25">
      <c r="A136" s="1">
        <v>17</v>
      </c>
      <c r="B136" s="1" t="str">
        <f t="shared" si="0"/>
        <v>N</v>
      </c>
      <c r="C136" s="1" t="s">
        <v>915</v>
      </c>
      <c r="D136" s="4" t="s">
        <v>1675</v>
      </c>
      <c r="E136" s="1" t="s">
        <v>1582</v>
      </c>
      <c r="F136" s="1" t="s">
        <v>996</v>
      </c>
      <c r="G136" s="1" t="s">
        <v>994</v>
      </c>
      <c r="H136" s="4">
        <v>200</v>
      </c>
      <c r="I136" s="1" t="s">
        <v>22</v>
      </c>
      <c r="J136" s="1" t="s">
        <v>398</v>
      </c>
      <c r="K136" s="7" t="s">
        <v>23</v>
      </c>
      <c r="L136" s="7" t="s">
        <v>926</v>
      </c>
      <c r="M136" s="7" t="s">
        <v>927</v>
      </c>
      <c r="N136" s="23" t="s">
        <v>921</v>
      </c>
      <c r="O136" s="1" t="s">
        <v>920</v>
      </c>
      <c r="P136" s="7" t="s">
        <v>922</v>
      </c>
      <c r="Q136" s="1" t="s">
        <v>23</v>
      </c>
      <c r="R136" s="1" t="s">
        <v>1812</v>
      </c>
      <c r="S136" s="4" t="s">
        <v>400</v>
      </c>
      <c r="T136" s="7" t="s">
        <v>27</v>
      </c>
      <c r="U136" s="11" t="s">
        <v>923</v>
      </c>
      <c r="V136" s="1" t="s">
        <v>924</v>
      </c>
      <c r="W136" s="1" t="s">
        <v>402</v>
      </c>
      <c r="X136" s="5">
        <v>200061812481</v>
      </c>
      <c r="Y136" s="1" t="s">
        <v>925</v>
      </c>
      <c r="Z136" s="1">
        <v>1</v>
      </c>
      <c r="AA136" s="6" t="s">
        <v>404</v>
      </c>
      <c r="AB136" s="6" t="s">
        <v>405</v>
      </c>
      <c r="AC136" s="6" t="s">
        <v>406</v>
      </c>
      <c r="AD136" s="1" t="s">
        <v>407</v>
      </c>
      <c r="AE136" s="1" t="s">
        <v>408</v>
      </c>
      <c r="AF136" s="1" t="s">
        <v>409</v>
      </c>
      <c r="AG136" s="1" t="s">
        <v>410</v>
      </c>
      <c r="AH136" s="1" t="s">
        <v>411</v>
      </c>
    </row>
    <row r="137" spans="1:34" ht="210" x14ac:dyDescent="0.25">
      <c r="A137" s="1">
        <v>18</v>
      </c>
      <c r="B137" s="1" t="str">
        <f t="shared" si="0"/>
        <v>N</v>
      </c>
      <c r="C137" s="1" t="s">
        <v>915</v>
      </c>
      <c r="D137" s="4" t="s">
        <v>1676</v>
      </c>
      <c r="E137" s="1" t="s">
        <v>1583</v>
      </c>
      <c r="F137" s="1" t="s">
        <v>997</v>
      </c>
      <c r="G137" s="1" t="s">
        <v>994</v>
      </c>
      <c r="H137" s="4">
        <v>200</v>
      </c>
      <c r="I137" s="1" t="s">
        <v>22</v>
      </c>
      <c r="J137" s="1" t="s">
        <v>398</v>
      </c>
      <c r="K137" s="7" t="s">
        <v>23</v>
      </c>
      <c r="L137" s="7" t="s">
        <v>926</v>
      </c>
      <c r="M137" s="7" t="s">
        <v>927</v>
      </c>
      <c r="N137" s="23" t="s">
        <v>921</v>
      </c>
      <c r="O137" s="1" t="s">
        <v>920</v>
      </c>
      <c r="P137" s="7" t="s">
        <v>922</v>
      </c>
      <c r="Q137" s="1" t="s">
        <v>23</v>
      </c>
      <c r="R137" s="1" t="s">
        <v>1812</v>
      </c>
      <c r="S137" s="4" t="s">
        <v>400</v>
      </c>
      <c r="T137" s="7" t="s">
        <v>27</v>
      </c>
      <c r="U137" s="11" t="s">
        <v>923</v>
      </c>
      <c r="V137" s="1" t="s">
        <v>924</v>
      </c>
      <c r="W137" s="1" t="s">
        <v>402</v>
      </c>
      <c r="X137" s="5">
        <v>200061812481</v>
      </c>
      <c r="Y137" s="1" t="s">
        <v>925</v>
      </c>
      <c r="Z137" s="1">
        <v>1</v>
      </c>
      <c r="AA137" s="6" t="s">
        <v>404</v>
      </c>
      <c r="AB137" s="6" t="s">
        <v>405</v>
      </c>
      <c r="AC137" s="6" t="s">
        <v>406</v>
      </c>
      <c r="AD137" s="1" t="s">
        <v>407</v>
      </c>
      <c r="AE137" s="1" t="s">
        <v>408</v>
      </c>
      <c r="AF137" s="1" t="s">
        <v>409</v>
      </c>
      <c r="AG137" s="1" t="s">
        <v>410</v>
      </c>
      <c r="AH137" s="1" t="s">
        <v>411</v>
      </c>
    </row>
    <row r="138" spans="1:34" ht="210" x14ac:dyDescent="0.25">
      <c r="A138" s="1">
        <v>19</v>
      </c>
      <c r="B138" s="1" t="str">
        <f t="shared" si="0"/>
        <v>N</v>
      </c>
      <c r="C138" s="1" t="s">
        <v>915</v>
      </c>
      <c r="D138" s="4" t="s">
        <v>1677</v>
      </c>
      <c r="E138" s="1" t="s">
        <v>1584</v>
      </c>
      <c r="F138" s="1" t="s">
        <v>1002</v>
      </c>
      <c r="G138" s="1" t="s">
        <v>1642</v>
      </c>
      <c r="H138" s="4">
        <v>200</v>
      </c>
      <c r="I138" s="1" t="s">
        <v>22</v>
      </c>
      <c r="J138" s="1" t="s">
        <v>398</v>
      </c>
      <c r="K138" s="7" t="s">
        <v>23</v>
      </c>
      <c r="L138" s="7" t="s">
        <v>926</v>
      </c>
      <c r="M138" s="7" t="s">
        <v>927</v>
      </c>
      <c r="N138" s="23" t="s">
        <v>921</v>
      </c>
      <c r="O138" s="1" t="s">
        <v>920</v>
      </c>
      <c r="P138" s="7" t="s">
        <v>922</v>
      </c>
      <c r="Q138" s="1" t="s">
        <v>23</v>
      </c>
      <c r="R138" s="1" t="s">
        <v>1812</v>
      </c>
      <c r="S138" s="4" t="s">
        <v>400</v>
      </c>
      <c r="T138" s="7" t="s">
        <v>27</v>
      </c>
      <c r="U138" s="11" t="s">
        <v>923</v>
      </c>
      <c r="V138" s="1" t="s">
        <v>924</v>
      </c>
      <c r="W138" s="1" t="s">
        <v>402</v>
      </c>
      <c r="X138" s="5">
        <v>200061812481</v>
      </c>
      <c r="Y138" s="1" t="s">
        <v>925</v>
      </c>
      <c r="Z138" s="1">
        <v>1</v>
      </c>
      <c r="AA138" s="6" t="s">
        <v>404</v>
      </c>
      <c r="AB138" s="6" t="s">
        <v>405</v>
      </c>
      <c r="AC138" s="6" t="s">
        <v>406</v>
      </c>
      <c r="AD138" s="1" t="s">
        <v>407</v>
      </c>
      <c r="AE138" s="1" t="s">
        <v>408</v>
      </c>
      <c r="AF138" s="1" t="s">
        <v>409</v>
      </c>
      <c r="AG138" s="1" t="s">
        <v>410</v>
      </c>
      <c r="AH138" s="1" t="s">
        <v>411</v>
      </c>
    </row>
    <row r="139" spans="1:34" ht="165" x14ac:dyDescent="0.25">
      <c r="A139" s="1">
        <v>20</v>
      </c>
      <c r="B139" s="1" t="str">
        <f t="shared" si="0"/>
        <v>N</v>
      </c>
      <c r="C139" s="1" t="s">
        <v>915</v>
      </c>
      <c r="D139" s="4" t="s">
        <v>1678</v>
      </c>
      <c r="E139" s="1" t="s">
        <v>1585</v>
      </c>
      <c r="F139" s="1" t="s">
        <v>449</v>
      </c>
      <c r="G139" s="1" t="s">
        <v>1643</v>
      </c>
      <c r="H139" s="4">
        <v>200</v>
      </c>
      <c r="I139" s="1" t="s">
        <v>22</v>
      </c>
      <c r="J139" s="1" t="s">
        <v>398</v>
      </c>
      <c r="K139" s="7" t="s">
        <v>23</v>
      </c>
      <c r="L139" s="7" t="s">
        <v>926</v>
      </c>
      <c r="M139" s="7" t="s">
        <v>927</v>
      </c>
      <c r="N139" s="23" t="s">
        <v>921</v>
      </c>
      <c r="O139" s="1" t="s">
        <v>920</v>
      </c>
      <c r="P139" s="7" t="s">
        <v>922</v>
      </c>
      <c r="Q139" s="1" t="s">
        <v>23</v>
      </c>
      <c r="R139" s="1" t="s">
        <v>1812</v>
      </c>
      <c r="S139" s="4" t="s">
        <v>400</v>
      </c>
      <c r="T139" s="7" t="s">
        <v>27</v>
      </c>
      <c r="U139" s="11" t="s">
        <v>923</v>
      </c>
      <c r="V139" s="1" t="s">
        <v>924</v>
      </c>
      <c r="W139" s="1" t="s">
        <v>402</v>
      </c>
      <c r="X139" s="5">
        <v>200061812481</v>
      </c>
      <c r="Y139" s="1" t="s">
        <v>925</v>
      </c>
      <c r="Z139" s="1">
        <v>1</v>
      </c>
      <c r="AA139" s="6" t="s">
        <v>404</v>
      </c>
      <c r="AB139" s="6" t="s">
        <v>405</v>
      </c>
      <c r="AC139" s="6" t="s">
        <v>406</v>
      </c>
      <c r="AD139" s="1" t="s">
        <v>407</v>
      </c>
      <c r="AE139" s="1" t="s">
        <v>408</v>
      </c>
      <c r="AF139" s="1" t="s">
        <v>409</v>
      </c>
      <c r="AG139" s="1" t="s">
        <v>410</v>
      </c>
      <c r="AH139" s="1" t="s">
        <v>411</v>
      </c>
    </row>
    <row r="140" spans="1:34" ht="150" x14ac:dyDescent="0.25">
      <c r="A140" s="1">
        <v>21</v>
      </c>
      <c r="B140" s="1" t="str">
        <f t="shared" si="0"/>
        <v>N</v>
      </c>
      <c r="C140" s="1" t="s">
        <v>915</v>
      </c>
      <c r="D140" s="4" t="s">
        <v>1679</v>
      </c>
      <c r="E140" s="1" t="s">
        <v>1586</v>
      </c>
      <c r="F140" s="1" t="s">
        <v>452</v>
      </c>
      <c r="G140" s="1" t="s">
        <v>1644</v>
      </c>
      <c r="H140" s="1">
        <v>400</v>
      </c>
      <c r="I140" s="1" t="s">
        <v>22</v>
      </c>
      <c r="J140" s="1" t="s">
        <v>398</v>
      </c>
      <c r="K140" s="7" t="s">
        <v>23</v>
      </c>
      <c r="L140" s="7" t="s">
        <v>926</v>
      </c>
      <c r="M140" s="7" t="s">
        <v>927</v>
      </c>
      <c r="N140" s="23" t="s">
        <v>921</v>
      </c>
      <c r="O140" s="1" t="s">
        <v>920</v>
      </c>
      <c r="P140" s="7" t="s">
        <v>922</v>
      </c>
      <c r="Q140" s="1" t="s">
        <v>23</v>
      </c>
      <c r="R140" s="1" t="s">
        <v>1812</v>
      </c>
      <c r="S140" s="4" t="s">
        <v>400</v>
      </c>
      <c r="T140" s="7" t="s">
        <v>27</v>
      </c>
      <c r="U140" s="11" t="s">
        <v>923</v>
      </c>
      <c r="V140" s="1" t="s">
        <v>924</v>
      </c>
      <c r="W140" s="1" t="s">
        <v>402</v>
      </c>
      <c r="X140" s="5">
        <v>200061812481</v>
      </c>
      <c r="Y140" s="1" t="s">
        <v>925</v>
      </c>
      <c r="Z140" s="1">
        <v>1</v>
      </c>
      <c r="AA140" s="6" t="s">
        <v>404</v>
      </c>
      <c r="AB140" s="6" t="s">
        <v>405</v>
      </c>
      <c r="AC140" s="6" t="s">
        <v>406</v>
      </c>
      <c r="AD140" s="1" t="s">
        <v>407</v>
      </c>
      <c r="AE140" s="1" t="s">
        <v>408</v>
      </c>
      <c r="AF140" s="1" t="s">
        <v>409</v>
      </c>
      <c r="AG140" s="1" t="s">
        <v>410</v>
      </c>
      <c r="AH140" s="1" t="s">
        <v>411</v>
      </c>
    </row>
    <row r="141" spans="1:34" ht="165" x14ac:dyDescent="0.25">
      <c r="A141" s="1">
        <v>22</v>
      </c>
      <c r="B141" s="1" t="str">
        <f t="shared" si="0"/>
        <v>N</v>
      </c>
      <c r="C141" s="1" t="s">
        <v>915</v>
      </c>
      <c r="D141" s="4" t="s">
        <v>1680</v>
      </c>
      <c r="E141" s="1" t="s">
        <v>1587</v>
      </c>
      <c r="F141" s="1" t="s">
        <v>454</v>
      </c>
      <c r="G141" s="1" t="s">
        <v>1645</v>
      </c>
      <c r="H141" s="1">
        <v>400</v>
      </c>
      <c r="I141" s="1" t="s">
        <v>22</v>
      </c>
      <c r="J141" s="1" t="s">
        <v>398</v>
      </c>
      <c r="K141" s="7" t="s">
        <v>23</v>
      </c>
      <c r="L141" s="7" t="s">
        <v>926</v>
      </c>
      <c r="M141" s="7" t="s">
        <v>927</v>
      </c>
      <c r="N141" s="23" t="s">
        <v>921</v>
      </c>
      <c r="O141" s="1" t="s">
        <v>920</v>
      </c>
      <c r="P141" s="7" t="s">
        <v>922</v>
      </c>
      <c r="Q141" s="1" t="s">
        <v>23</v>
      </c>
      <c r="R141" s="1" t="s">
        <v>1812</v>
      </c>
      <c r="S141" s="4" t="s">
        <v>400</v>
      </c>
      <c r="T141" s="7" t="s">
        <v>27</v>
      </c>
      <c r="U141" s="11" t="s">
        <v>923</v>
      </c>
      <c r="V141" s="1" t="s">
        <v>924</v>
      </c>
      <c r="W141" s="1" t="s">
        <v>402</v>
      </c>
      <c r="X141" s="5">
        <v>200061812481</v>
      </c>
      <c r="Y141" s="1" t="s">
        <v>925</v>
      </c>
      <c r="Z141" s="1">
        <v>1</v>
      </c>
      <c r="AA141" s="6" t="s">
        <v>404</v>
      </c>
      <c r="AB141" s="6" t="s">
        <v>405</v>
      </c>
      <c r="AC141" s="6" t="s">
        <v>406</v>
      </c>
      <c r="AD141" s="1" t="s">
        <v>407</v>
      </c>
      <c r="AE141" s="1" t="s">
        <v>408</v>
      </c>
      <c r="AF141" s="1" t="s">
        <v>409</v>
      </c>
      <c r="AG141" s="1" t="s">
        <v>410</v>
      </c>
      <c r="AH141" s="1" t="s">
        <v>411</v>
      </c>
    </row>
    <row r="142" spans="1:34" ht="150" x14ac:dyDescent="0.25">
      <c r="A142" s="1">
        <v>23</v>
      </c>
      <c r="B142" s="1" t="str">
        <f t="shared" si="0"/>
        <v>N</v>
      </c>
      <c r="C142" s="1" t="s">
        <v>915</v>
      </c>
      <c r="D142" s="4" t="s">
        <v>1681</v>
      </c>
      <c r="E142" s="1" t="s">
        <v>1588</v>
      </c>
      <c r="F142" s="1" t="s">
        <v>456</v>
      </c>
      <c r="G142" s="1" t="s">
        <v>1646</v>
      </c>
      <c r="H142" s="1">
        <v>400</v>
      </c>
      <c r="I142" s="1" t="s">
        <v>22</v>
      </c>
      <c r="J142" s="1" t="s">
        <v>398</v>
      </c>
      <c r="K142" s="7" t="s">
        <v>23</v>
      </c>
      <c r="L142" s="7" t="s">
        <v>926</v>
      </c>
      <c r="M142" s="7" t="s">
        <v>927</v>
      </c>
      <c r="N142" s="23" t="s">
        <v>921</v>
      </c>
      <c r="O142" s="1" t="s">
        <v>920</v>
      </c>
      <c r="P142" s="7" t="s">
        <v>922</v>
      </c>
      <c r="Q142" s="1" t="s">
        <v>23</v>
      </c>
      <c r="R142" s="1" t="s">
        <v>1812</v>
      </c>
      <c r="S142" s="4" t="s">
        <v>400</v>
      </c>
      <c r="T142" s="7" t="s">
        <v>27</v>
      </c>
      <c r="U142" s="11" t="s">
        <v>923</v>
      </c>
      <c r="V142" s="1" t="s">
        <v>924</v>
      </c>
      <c r="W142" s="1" t="s">
        <v>402</v>
      </c>
      <c r="X142" s="5">
        <v>200061812481</v>
      </c>
      <c r="Y142" s="1" t="s">
        <v>925</v>
      </c>
      <c r="Z142" s="1">
        <v>1</v>
      </c>
      <c r="AA142" s="6" t="s">
        <v>404</v>
      </c>
      <c r="AB142" s="6" t="s">
        <v>405</v>
      </c>
      <c r="AC142" s="6" t="s">
        <v>406</v>
      </c>
      <c r="AD142" s="1" t="s">
        <v>407</v>
      </c>
      <c r="AE142" s="1" t="s">
        <v>408</v>
      </c>
      <c r="AF142" s="1" t="s">
        <v>409</v>
      </c>
      <c r="AG142" s="1" t="s">
        <v>410</v>
      </c>
      <c r="AH142" s="1" t="s">
        <v>411</v>
      </c>
    </row>
    <row r="143" spans="1:34" ht="210" x14ac:dyDescent="0.25">
      <c r="A143" s="1">
        <v>24</v>
      </c>
      <c r="B143" s="1" t="str">
        <f t="shared" si="0"/>
        <v>N</v>
      </c>
      <c r="C143" s="1" t="s">
        <v>915</v>
      </c>
      <c r="D143" s="4" t="s">
        <v>1682</v>
      </c>
      <c r="E143" s="1" t="s">
        <v>1589</v>
      </c>
      <c r="F143" s="1" t="s">
        <v>1003</v>
      </c>
      <c r="G143" s="1" t="s">
        <v>1647</v>
      </c>
      <c r="H143" s="1">
        <v>400</v>
      </c>
      <c r="I143" s="1" t="s">
        <v>22</v>
      </c>
      <c r="J143" s="1" t="s">
        <v>398</v>
      </c>
      <c r="K143" s="7" t="s">
        <v>23</v>
      </c>
      <c r="L143" s="7" t="s">
        <v>926</v>
      </c>
      <c r="M143" s="7" t="s">
        <v>927</v>
      </c>
      <c r="N143" s="23" t="s">
        <v>921</v>
      </c>
      <c r="O143" s="1" t="s">
        <v>920</v>
      </c>
      <c r="P143" s="7" t="s">
        <v>922</v>
      </c>
      <c r="Q143" s="1" t="s">
        <v>23</v>
      </c>
      <c r="R143" s="1" t="s">
        <v>1812</v>
      </c>
      <c r="S143" s="4" t="s">
        <v>400</v>
      </c>
      <c r="T143" s="7" t="s">
        <v>27</v>
      </c>
      <c r="U143" s="11" t="s">
        <v>923</v>
      </c>
      <c r="V143" s="1" t="s">
        <v>924</v>
      </c>
      <c r="W143" s="1" t="s">
        <v>402</v>
      </c>
      <c r="X143" s="5">
        <v>200061812481</v>
      </c>
      <c r="Y143" s="1" t="s">
        <v>925</v>
      </c>
      <c r="Z143" s="1">
        <v>1</v>
      </c>
      <c r="AA143" s="6" t="s">
        <v>404</v>
      </c>
      <c r="AB143" s="6" t="s">
        <v>405</v>
      </c>
      <c r="AC143" s="6" t="s">
        <v>406</v>
      </c>
      <c r="AD143" s="1" t="s">
        <v>407</v>
      </c>
      <c r="AE143" s="1" t="s">
        <v>408</v>
      </c>
      <c r="AF143" s="1" t="s">
        <v>409</v>
      </c>
      <c r="AG143" s="1" t="s">
        <v>410</v>
      </c>
      <c r="AH143" s="1" t="s">
        <v>411</v>
      </c>
    </row>
    <row r="144" spans="1:34" ht="210" x14ac:dyDescent="0.25">
      <c r="A144" s="1">
        <v>25</v>
      </c>
      <c r="B144" s="1" t="str">
        <f t="shared" si="0"/>
        <v>N</v>
      </c>
      <c r="C144" s="1" t="s">
        <v>915</v>
      </c>
      <c r="D144" s="4" t="s">
        <v>1683</v>
      </c>
      <c r="E144" s="1" t="s">
        <v>1590</v>
      </c>
      <c r="F144" s="1" t="s">
        <v>1004</v>
      </c>
      <c r="G144" s="1" t="s">
        <v>1648</v>
      </c>
      <c r="H144" s="1">
        <v>400</v>
      </c>
      <c r="I144" s="1" t="s">
        <v>22</v>
      </c>
      <c r="J144" s="1" t="s">
        <v>398</v>
      </c>
      <c r="K144" s="7" t="s">
        <v>23</v>
      </c>
      <c r="L144" s="7" t="s">
        <v>926</v>
      </c>
      <c r="M144" s="7" t="s">
        <v>927</v>
      </c>
      <c r="N144" s="23" t="s">
        <v>921</v>
      </c>
      <c r="O144" s="1" t="s">
        <v>920</v>
      </c>
      <c r="P144" s="7" t="s">
        <v>922</v>
      </c>
      <c r="Q144" s="1" t="s">
        <v>23</v>
      </c>
      <c r="R144" s="1" t="s">
        <v>1812</v>
      </c>
      <c r="S144" s="4" t="s">
        <v>400</v>
      </c>
      <c r="T144" s="7" t="s">
        <v>27</v>
      </c>
      <c r="U144" s="11" t="s">
        <v>923</v>
      </c>
      <c r="V144" s="1" t="s">
        <v>924</v>
      </c>
      <c r="W144" s="1" t="s">
        <v>402</v>
      </c>
      <c r="X144" s="5">
        <v>200061812481</v>
      </c>
      <c r="Y144" s="1" t="s">
        <v>925</v>
      </c>
      <c r="Z144" s="1">
        <v>1</v>
      </c>
      <c r="AA144" s="6" t="s">
        <v>404</v>
      </c>
      <c r="AB144" s="6" t="s">
        <v>405</v>
      </c>
      <c r="AC144" s="6" t="s">
        <v>406</v>
      </c>
      <c r="AD144" s="1" t="s">
        <v>407</v>
      </c>
      <c r="AE144" s="1" t="s">
        <v>408</v>
      </c>
      <c r="AF144" s="1" t="s">
        <v>409</v>
      </c>
      <c r="AG144" s="1" t="s">
        <v>410</v>
      </c>
      <c r="AH144" s="1" t="s">
        <v>411</v>
      </c>
    </row>
    <row r="145" spans="1:34" ht="210" x14ac:dyDescent="0.25">
      <c r="A145" s="1">
        <v>26</v>
      </c>
      <c r="B145" s="1" t="str">
        <f t="shared" si="0"/>
        <v>N</v>
      </c>
      <c r="C145" s="1" t="s">
        <v>915</v>
      </c>
      <c r="D145" s="4" t="s">
        <v>1684</v>
      </c>
      <c r="E145" s="1" t="s">
        <v>1591</v>
      </c>
      <c r="F145" s="1" t="s">
        <v>1005</v>
      </c>
      <c r="G145" s="1" t="s">
        <v>994</v>
      </c>
      <c r="H145" s="1">
        <v>400</v>
      </c>
      <c r="I145" s="1" t="s">
        <v>22</v>
      </c>
      <c r="J145" s="1" t="s">
        <v>398</v>
      </c>
      <c r="K145" s="7" t="s">
        <v>23</v>
      </c>
      <c r="L145" s="7" t="s">
        <v>926</v>
      </c>
      <c r="M145" s="7" t="s">
        <v>927</v>
      </c>
      <c r="N145" s="23" t="s">
        <v>921</v>
      </c>
      <c r="O145" s="1" t="s">
        <v>920</v>
      </c>
      <c r="P145" s="7" t="s">
        <v>922</v>
      </c>
      <c r="Q145" s="1" t="s">
        <v>23</v>
      </c>
      <c r="R145" s="1" t="s">
        <v>1812</v>
      </c>
      <c r="S145" s="4" t="s">
        <v>400</v>
      </c>
      <c r="T145" s="7" t="s">
        <v>27</v>
      </c>
      <c r="U145" s="11" t="s">
        <v>923</v>
      </c>
      <c r="V145" s="1" t="s">
        <v>924</v>
      </c>
      <c r="W145" s="1" t="s">
        <v>402</v>
      </c>
      <c r="X145" s="5">
        <v>200061812481</v>
      </c>
      <c r="Y145" s="1" t="s">
        <v>925</v>
      </c>
      <c r="Z145" s="1">
        <v>1</v>
      </c>
      <c r="AA145" s="6" t="s">
        <v>404</v>
      </c>
      <c r="AB145" s="6" t="s">
        <v>405</v>
      </c>
      <c r="AC145" s="6" t="s">
        <v>406</v>
      </c>
      <c r="AD145" s="1" t="s">
        <v>407</v>
      </c>
      <c r="AE145" s="1" t="s">
        <v>408</v>
      </c>
      <c r="AF145" s="1" t="s">
        <v>409</v>
      </c>
      <c r="AG145" s="1" t="s">
        <v>410</v>
      </c>
      <c r="AH145" s="1" t="s">
        <v>411</v>
      </c>
    </row>
    <row r="146" spans="1:34" ht="210" x14ac:dyDescent="0.25">
      <c r="A146" s="1">
        <v>27</v>
      </c>
      <c r="B146" s="1" t="str">
        <f t="shared" si="0"/>
        <v>N</v>
      </c>
      <c r="C146" s="1" t="s">
        <v>915</v>
      </c>
      <c r="D146" s="4" t="s">
        <v>1685</v>
      </c>
      <c r="E146" s="1" t="s">
        <v>1592</v>
      </c>
      <c r="F146" s="1" t="s">
        <v>1006</v>
      </c>
      <c r="G146" s="1" t="s">
        <v>994</v>
      </c>
      <c r="H146" s="1">
        <v>400</v>
      </c>
      <c r="I146" s="1" t="s">
        <v>22</v>
      </c>
      <c r="J146" s="1" t="s">
        <v>398</v>
      </c>
      <c r="K146" s="7" t="s">
        <v>23</v>
      </c>
      <c r="L146" s="7" t="s">
        <v>926</v>
      </c>
      <c r="M146" s="7" t="s">
        <v>927</v>
      </c>
      <c r="N146" s="23" t="s">
        <v>921</v>
      </c>
      <c r="O146" s="1" t="s">
        <v>920</v>
      </c>
      <c r="P146" s="7" t="s">
        <v>922</v>
      </c>
      <c r="Q146" s="1" t="s">
        <v>23</v>
      </c>
      <c r="R146" s="1" t="s">
        <v>1812</v>
      </c>
      <c r="S146" s="4" t="s">
        <v>400</v>
      </c>
      <c r="T146" s="7" t="s">
        <v>27</v>
      </c>
      <c r="U146" s="11" t="s">
        <v>923</v>
      </c>
      <c r="V146" s="1" t="s">
        <v>924</v>
      </c>
      <c r="W146" s="1" t="s">
        <v>402</v>
      </c>
      <c r="X146" s="5">
        <v>200061812481</v>
      </c>
      <c r="Y146" s="1" t="s">
        <v>925</v>
      </c>
      <c r="Z146" s="1">
        <v>1</v>
      </c>
      <c r="AA146" s="6" t="s">
        <v>404</v>
      </c>
      <c r="AB146" s="6" t="s">
        <v>405</v>
      </c>
      <c r="AC146" s="6" t="s">
        <v>406</v>
      </c>
      <c r="AD146" s="1" t="s">
        <v>407</v>
      </c>
      <c r="AE146" s="1" t="s">
        <v>408</v>
      </c>
      <c r="AF146" s="1" t="s">
        <v>409</v>
      </c>
      <c r="AG146" s="1" t="s">
        <v>410</v>
      </c>
      <c r="AH146" s="1" t="s">
        <v>411</v>
      </c>
    </row>
    <row r="147" spans="1:34" ht="210" x14ac:dyDescent="0.25">
      <c r="A147" s="1">
        <v>28</v>
      </c>
      <c r="B147" s="1" t="str">
        <f t="shared" si="0"/>
        <v>N</v>
      </c>
      <c r="C147" s="1" t="s">
        <v>915</v>
      </c>
      <c r="D147" s="4" t="s">
        <v>1686</v>
      </c>
      <c r="E147" s="1" t="s">
        <v>1593</v>
      </c>
      <c r="F147" s="1" t="s">
        <v>1007</v>
      </c>
      <c r="G147" s="1" t="s">
        <v>994</v>
      </c>
      <c r="H147" s="1">
        <v>400</v>
      </c>
      <c r="I147" s="1" t="s">
        <v>22</v>
      </c>
      <c r="J147" s="1" t="s">
        <v>398</v>
      </c>
      <c r="K147" s="7" t="s">
        <v>23</v>
      </c>
      <c r="L147" s="7" t="s">
        <v>926</v>
      </c>
      <c r="M147" s="7" t="s">
        <v>927</v>
      </c>
      <c r="N147" s="23" t="s">
        <v>921</v>
      </c>
      <c r="O147" s="1" t="s">
        <v>920</v>
      </c>
      <c r="P147" s="7" t="s">
        <v>922</v>
      </c>
      <c r="Q147" s="1" t="s">
        <v>23</v>
      </c>
      <c r="R147" s="1" t="s">
        <v>1812</v>
      </c>
      <c r="S147" s="4" t="s">
        <v>400</v>
      </c>
      <c r="T147" s="7" t="s">
        <v>27</v>
      </c>
      <c r="U147" s="11" t="s">
        <v>923</v>
      </c>
      <c r="V147" s="1" t="s">
        <v>924</v>
      </c>
      <c r="W147" s="1" t="s">
        <v>402</v>
      </c>
      <c r="X147" s="5">
        <v>200061812481</v>
      </c>
      <c r="Y147" s="1" t="s">
        <v>925</v>
      </c>
      <c r="Z147" s="1">
        <v>1</v>
      </c>
      <c r="AA147" s="6" t="s">
        <v>404</v>
      </c>
      <c r="AB147" s="6" t="s">
        <v>405</v>
      </c>
      <c r="AC147" s="6" t="s">
        <v>406</v>
      </c>
      <c r="AD147" s="1" t="s">
        <v>407</v>
      </c>
      <c r="AE147" s="1" t="s">
        <v>408</v>
      </c>
      <c r="AF147" s="1" t="s">
        <v>409</v>
      </c>
      <c r="AG147" s="1" t="s">
        <v>410</v>
      </c>
      <c r="AH147" s="1" t="s">
        <v>411</v>
      </c>
    </row>
    <row r="148" spans="1:34" ht="210" x14ac:dyDescent="0.25">
      <c r="A148" s="1">
        <v>29</v>
      </c>
      <c r="B148" s="1" t="str">
        <f t="shared" si="0"/>
        <v>N</v>
      </c>
      <c r="C148" s="1" t="s">
        <v>915</v>
      </c>
      <c r="D148" s="4" t="s">
        <v>1687</v>
      </c>
      <c r="E148" s="1" t="s">
        <v>1594</v>
      </c>
      <c r="F148" s="1" t="s">
        <v>1008</v>
      </c>
      <c r="G148" s="1" t="s">
        <v>994</v>
      </c>
      <c r="H148" s="1">
        <v>400</v>
      </c>
      <c r="I148" s="1" t="s">
        <v>22</v>
      </c>
      <c r="J148" s="1" t="s">
        <v>398</v>
      </c>
      <c r="K148" s="7" t="s">
        <v>23</v>
      </c>
      <c r="L148" s="7" t="s">
        <v>926</v>
      </c>
      <c r="M148" s="7" t="s">
        <v>927</v>
      </c>
      <c r="N148" s="23" t="s">
        <v>921</v>
      </c>
      <c r="O148" s="1" t="s">
        <v>920</v>
      </c>
      <c r="P148" s="7" t="s">
        <v>922</v>
      </c>
      <c r="Q148" s="1" t="s">
        <v>23</v>
      </c>
      <c r="R148" s="1" t="s">
        <v>1812</v>
      </c>
      <c r="S148" s="4" t="s">
        <v>400</v>
      </c>
      <c r="T148" s="7" t="s">
        <v>27</v>
      </c>
      <c r="U148" s="11" t="s">
        <v>923</v>
      </c>
      <c r="V148" s="1" t="s">
        <v>924</v>
      </c>
      <c r="W148" s="1" t="s">
        <v>402</v>
      </c>
      <c r="X148" s="5">
        <v>200061812481</v>
      </c>
      <c r="Y148" s="1" t="s">
        <v>925</v>
      </c>
      <c r="Z148" s="1">
        <v>1</v>
      </c>
      <c r="AA148" s="6" t="s">
        <v>404</v>
      </c>
      <c r="AB148" s="6" t="s">
        <v>405</v>
      </c>
      <c r="AC148" s="6" t="s">
        <v>406</v>
      </c>
      <c r="AD148" s="1" t="s">
        <v>407</v>
      </c>
      <c r="AE148" s="1" t="s">
        <v>408</v>
      </c>
      <c r="AF148" s="1" t="s">
        <v>409</v>
      </c>
      <c r="AG148" s="1" t="s">
        <v>410</v>
      </c>
      <c r="AH148" s="1" t="s">
        <v>411</v>
      </c>
    </row>
    <row r="149" spans="1:34" ht="210" x14ac:dyDescent="0.25">
      <c r="A149" s="1">
        <v>30</v>
      </c>
      <c r="B149" s="1" t="str">
        <f t="shared" si="0"/>
        <v>N</v>
      </c>
      <c r="C149" s="1" t="s">
        <v>915</v>
      </c>
      <c r="D149" s="4" t="s">
        <v>1688</v>
      </c>
      <c r="E149" s="1" t="s">
        <v>1595</v>
      </c>
      <c r="F149" s="1" t="s">
        <v>1009</v>
      </c>
      <c r="G149" s="1" t="s">
        <v>994</v>
      </c>
      <c r="H149" s="1">
        <v>400</v>
      </c>
      <c r="I149" s="1" t="s">
        <v>22</v>
      </c>
      <c r="J149" s="1" t="s">
        <v>398</v>
      </c>
      <c r="K149" s="7" t="s">
        <v>23</v>
      </c>
      <c r="L149" s="7" t="s">
        <v>926</v>
      </c>
      <c r="M149" s="7" t="s">
        <v>927</v>
      </c>
      <c r="N149" s="23" t="s">
        <v>921</v>
      </c>
      <c r="O149" s="1" t="s">
        <v>920</v>
      </c>
      <c r="P149" s="7" t="s">
        <v>922</v>
      </c>
      <c r="Q149" s="1" t="s">
        <v>23</v>
      </c>
      <c r="R149" s="1" t="s">
        <v>1812</v>
      </c>
      <c r="S149" s="4" t="s">
        <v>400</v>
      </c>
      <c r="T149" s="7" t="s">
        <v>27</v>
      </c>
      <c r="U149" s="11" t="s">
        <v>923</v>
      </c>
      <c r="V149" s="1" t="s">
        <v>924</v>
      </c>
      <c r="W149" s="1" t="s">
        <v>402</v>
      </c>
      <c r="X149" s="5">
        <v>200061812481</v>
      </c>
      <c r="Y149" s="1" t="s">
        <v>925</v>
      </c>
      <c r="Z149" s="1">
        <v>1</v>
      </c>
      <c r="AA149" s="6" t="s">
        <v>404</v>
      </c>
      <c r="AB149" s="6" t="s">
        <v>405</v>
      </c>
      <c r="AC149" s="6" t="s">
        <v>406</v>
      </c>
      <c r="AD149" s="1" t="s">
        <v>407</v>
      </c>
      <c r="AE149" s="1" t="s">
        <v>408</v>
      </c>
      <c r="AF149" s="1" t="s">
        <v>409</v>
      </c>
      <c r="AG149" s="1" t="s">
        <v>410</v>
      </c>
      <c r="AH149" s="1" t="s">
        <v>411</v>
      </c>
    </row>
    <row r="150" spans="1:34" ht="210" x14ac:dyDescent="0.25">
      <c r="A150" s="1">
        <v>31</v>
      </c>
      <c r="B150" s="1" t="str">
        <f t="shared" si="0"/>
        <v>N</v>
      </c>
      <c r="C150" s="1" t="s">
        <v>915</v>
      </c>
      <c r="D150" s="4" t="s">
        <v>1689</v>
      </c>
      <c r="E150" s="1" t="s">
        <v>1596</v>
      </c>
      <c r="F150" s="1" t="s">
        <v>1010</v>
      </c>
      <c r="G150" s="1" t="s">
        <v>994</v>
      </c>
      <c r="H150" s="1">
        <v>400</v>
      </c>
      <c r="I150" s="1" t="s">
        <v>22</v>
      </c>
      <c r="J150" s="1" t="s">
        <v>398</v>
      </c>
      <c r="K150" s="7" t="s">
        <v>23</v>
      </c>
      <c r="L150" s="7" t="s">
        <v>926</v>
      </c>
      <c r="M150" s="7" t="s">
        <v>927</v>
      </c>
      <c r="N150" s="23" t="s">
        <v>921</v>
      </c>
      <c r="O150" s="1" t="s">
        <v>920</v>
      </c>
      <c r="P150" s="7" t="s">
        <v>922</v>
      </c>
      <c r="Q150" s="1" t="s">
        <v>23</v>
      </c>
      <c r="R150" s="1" t="s">
        <v>1812</v>
      </c>
      <c r="S150" s="4" t="s">
        <v>400</v>
      </c>
      <c r="T150" s="7" t="s">
        <v>27</v>
      </c>
      <c r="U150" s="11" t="s">
        <v>923</v>
      </c>
      <c r="V150" s="1" t="s">
        <v>924</v>
      </c>
      <c r="W150" s="1" t="s">
        <v>402</v>
      </c>
      <c r="X150" s="5">
        <v>200061812481</v>
      </c>
      <c r="Y150" s="1" t="s">
        <v>925</v>
      </c>
      <c r="Z150" s="1">
        <v>1</v>
      </c>
      <c r="AA150" s="6" t="s">
        <v>404</v>
      </c>
      <c r="AB150" s="6" t="s">
        <v>405</v>
      </c>
      <c r="AC150" s="6" t="s">
        <v>406</v>
      </c>
      <c r="AD150" s="1" t="s">
        <v>407</v>
      </c>
      <c r="AE150" s="1" t="s">
        <v>408</v>
      </c>
      <c r="AF150" s="1" t="s">
        <v>409</v>
      </c>
      <c r="AG150" s="1" t="s">
        <v>410</v>
      </c>
      <c r="AH150" s="1" t="s">
        <v>411</v>
      </c>
    </row>
    <row r="151" spans="1:34" ht="210" x14ac:dyDescent="0.25">
      <c r="A151" s="1">
        <v>32</v>
      </c>
      <c r="B151" s="1" t="str">
        <f t="shared" si="0"/>
        <v>N</v>
      </c>
      <c r="C151" s="1" t="s">
        <v>915</v>
      </c>
      <c r="D151" s="4" t="s">
        <v>1690</v>
      </c>
      <c r="E151" s="1" t="s">
        <v>1597</v>
      </c>
      <c r="F151" s="1" t="s">
        <v>1011</v>
      </c>
      <c r="G151" s="1" t="s">
        <v>994</v>
      </c>
      <c r="H151" s="1">
        <v>400</v>
      </c>
      <c r="I151" s="1" t="s">
        <v>22</v>
      </c>
      <c r="J151" s="1" t="s">
        <v>398</v>
      </c>
      <c r="K151" s="7" t="s">
        <v>23</v>
      </c>
      <c r="L151" s="7" t="s">
        <v>926</v>
      </c>
      <c r="M151" s="7" t="s">
        <v>927</v>
      </c>
      <c r="N151" s="23" t="s">
        <v>921</v>
      </c>
      <c r="O151" s="1" t="s">
        <v>920</v>
      </c>
      <c r="P151" s="7" t="s">
        <v>922</v>
      </c>
      <c r="Q151" s="1" t="s">
        <v>23</v>
      </c>
      <c r="R151" s="1" t="s">
        <v>1812</v>
      </c>
      <c r="S151" s="4" t="s">
        <v>400</v>
      </c>
      <c r="T151" s="7" t="s">
        <v>27</v>
      </c>
      <c r="U151" s="11" t="s">
        <v>923</v>
      </c>
      <c r="V151" s="1" t="s">
        <v>924</v>
      </c>
      <c r="W151" s="1" t="s">
        <v>402</v>
      </c>
      <c r="X151" s="5">
        <v>200061812481</v>
      </c>
      <c r="Y151" s="1" t="s">
        <v>925</v>
      </c>
      <c r="Z151" s="1">
        <v>1</v>
      </c>
      <c r="AA151" s="6" t="s">
        <v>404</v>
      </c>
      <c r="AB151" s="6" t="s">
        <v>405</v>
      </c>
      <c r="AC151" s="6" t="s">
        <v>406</v>
      </c>
      <c r="AD151" s="1" t="s">
        <v>407</v>
      </c>
      <c r="AE151" s="1" t="s">
        <v>408</v>
      </c>
      <c r="AF151" s="1" t="s">
        <v>409</v>
      </c>
      <c r="AG151" s="1" t="s">
        <v>410</v>
      </c>
      <c r="AH151" s="1" t="s">
        <v>411</v>
      </c>
    </row>
    <row r="152" spans="1:34" ht="210" x14ac:dyDescent="0.25">
      <c r="A152" s="1">
        <v>33</v>
      </c>
      <c r="B152" s="1" t="str">
        <f t="shared" si="0"/>
        <v>N</v>
      </c>
      <c r="C152" s="1" t="s">
        <v>915</v>
      </c>
      <c r="D152" s="4" t="s">
        <v>1691</v>
      </c>
      <c r="E152" s="1" t="s">
        <v>1598</v>
      </c>
      <c r="F152" s="1" t="s">
        <v>1012</v>
      </c>
      <c r="G152" s="1" t="s">
        <v>994</v>
      </c>
      <c r="H152" s="1">
        <v>200</v>
      </c>
      <c r="I152" s="1" t="s">
        <v>22</v>
      </c>
      <c r="J152" s="1" t="s">
        <v>398</v>
      </c>
      <c r="K152" s="7" t="s">
        <v>23</v>
      </c>
      <c r="L152" s="7" t="s">
        <v>926</v>
      </c>
      <c r="M152" s="7" t="s">
        <v>927</v>
      </c>
      <c r="N152" s="23" t="s">
        <v>921</v>
      </c>
      <c r="O152" s="1" t="s">
        <v>920</v>
      </c>
      <c r="P152" s="7" t="s">
        <v>922</v>
      </c>
      <c r="Q152" s="1" t="s">
        <v>23</v>
      </c>
      <c r="R152" s="1" t="s">
        <v>1812</v>
      </c>
      <c r="S152" s="4" t="s">
        <v>400</v>
      </c>
      <c r="T152" s="7" t="s">
        <v>27</v>
      </c>
      <c r="U152" s="11" t="s">
        <v>923</v>
      </c>
      <c r="V152" s="1" t="s">
        <v>924</v>
      </c>
      <c r="W152" s="1" t="s">
        <v>402</v>
      </c>
      <c r="X152" s="5">
        <v>200061812481</v>
      </c>
      <c r="Y152" s="1" t="s">
        <v>925</v>
      </c>
      <c r="Z152" s="1">
        <v>1</v>
      </c>
      <c r="AA152" s="6" t="s">
        <v>404</v>
      </c>
      <c r="AB152" s="6" t="s">
        <v>405</v>
      </c>
      <c r="AC152" s="6" t="s">
        <v>406</v>
      </c>
      <c r="AD152" s="1" t="s">
        <v>407</v>
      </c>
      <c r="AE152" s="1" t="s">
        <v>408</v>
      </c>
      <c r="AF152" s="1" t="s">
        <v>409</v>
      </c>
      <c r="AG152" s="1" t="s">
        <v>410</v>
      </c>
      <c r="AH152" s="1" t="s">
        <v>411</v>
      </c>
    </row>
    <row r="153" spans="1:34" ht="210" x14ac:dyDescent="0.25">
      <c r="A153" s="1">
        <v>34</v>
      </c>
      <c r="B153" s="1" t="str">
        <f t="shared" si="0"/>
        <v>N</v>
      </c>
      <c r="C153" s="1" t="s">
        <v>915</v>
      </c>
      <c r="D153" s="4" t="s">
        <v>1692</v>
      </c>
      <c r="E153" s="1" t="s">
        <v>1599</v>
      </c>
      <c r="F153" s="1" t="s">
        <v>1013</v>
      </c>
      <c r="G153" s="1" t="s">
        <v>994</v>
      </c>
      <c r="H153" s="1">
        <v>200</v>
      </c>
      <c r="I153" s="1" t="s">
        <v>22</v>
      </c>
      <c r="J153" s="1" t="s">
        <v>398</v>
      </c>
      <c r="K153" s="7" t="s">
        <v>23</v>
      </c>
      <c r="L153" s="7" t="s">
        <v>926</v>
      </c>
      <c r="M153" s="7" t="s">
        <v>927</v>
      </c>
      <c r="N153" s="23" t="s">
        <v>921</v>
      </c>
      <c r="O153" s="1" t="s">
        <v>920</v>
      </c>
      <c r="P153" s="7" t="s">
        <v>922</v>
      </c>
      <c r="Q153" s="1" t="s">
        <v>23</v>
      </c>
      <c r="R153" s="1" t="s">
        <v>1812</v>
      </c>
      <c r="S153" s="4" t="s">
        <v>400</v>
      </c>
      <c r="T153" s="7" t="s">
        <v>27</v>
      </c>
      <c r="U153" s="11" t="s">
        <v>923</v>
      </c>
      <c r="V153" s="1" t="s">
        <v>924</v>
      </c>
      <c r="W153" s="1" t="s">
        <v>402</v>
      </c>
      <c r="X153" s="5">
        <v>200061812481</v>
      </c>
      <c r="Y153" s="1" t="s">
        <v>925</v>
      </c>
      <c r="Z153" s="1">
        <v>1</v>
      </c>
      <c r="AA153" s="6" t="s">
        <v>404</v>
      </c>
      <c r="AB153" s="6" t="s">
        <v>405</v>
      </c>
      <c r="AC153" s="6" t="s">
        <v>406</v>
      </c>
      <c r="AD153" s="1" t="s">
        <v>407</v>
      </c>
      <c r="AE153" s="1" t="s">
        <v>408</v>
      </c>
      <c r="AF153" s="1" t="s">
        <v>409</v>
      </c>
      <c r="AG153" s="1" t="s">
        <v>410</v>
      </c>
      <c r="AH153" s="1" t="s">
        <v>411</v>
      </c>
    </row>
    <row r="154" spans="1:34" ht="210" x14ac:dyDescent="0.25">
      <c r="A154" s="1">
        <v>35</v>
      </c>
      <c r="B154" s="1" t="str">
        <f t="shared" si="0"/>
        <v>N</v>
      </c>
      <c r="C154" s="1" t="s">
        <v>915</v>
      </c>
      <c r="D154" s="4" t="s">
        <v>1693</v>
      </c>
      <c r="E154" s="1" t="s">
        <v>1600</v>
      </c>
      <c r="F154" s="1" t="s">
        <v>1014</v>
      </c>
      <c r="G154" s="1" t="s">
        <v>994</v>
      </c>
      <c r="H154" s="1">
        <v>200</v>
      </c>
      <c r="I154" s="1" t="s">
        <v>22</v>
      </c>
      <c r="J154" s="1" t="s">
        <v>398</v>
      </c>
      <c r="K154" s="7" t="s">
        <v>23</v>
      </c>
      <c r="L154" s="7" t="s">
        <v>926</v>
      </c>
      <c r="M154" s="7" t="s">
        <v>927</v>
      </c>
      <c r="N154" s="23" t="s">
        <v>921</v>
      </c>
      <c r="O154" s="1" t="s">
        <v>920</v>
      </c>
      <c r="P154" s="7" t="s">
        <v>922</v>
      </c>
      <c r="Q154" s="1" t="s">
        <v>23</v>
      </c>
      <c r="R154" s="1" t="s">
        <v>1812</v>
      </c>
      <c r="S154" s="4" t="s">
        <v>400</v>
      </c>
      <c r="T154" s="7" t="s">
        <v>27</v>
      </c>
      <c r="U154" s="11" t="s">
        <v>923</v>
      </c>
      <c r="V154" s="1" t="s">
        <v>924</v>
      </c>
      <c r="W154" s="1" t="s">
        <v>402</v>
      </c>
      <c r="X154" s="5">
        <v>200061812481</v>
      </c>
      <c r="Y154" s="1" t="s">
        <v>925</v>
      </c>
      <c r="Z154" s="1">
        <v>1</v>
      </c>
      <c r="AA154" s="6" t="s">
        <v>404</v>
      </c>
      <c r="AB154" s="6" t="s">
        <v>405</v>
      </c>
      <c r="AC154" s="6" t="s">
        <v>406</v>
      </c>
      <c r="AD154" s="1" t="s">
        <v>407</v>
      </c>
      <c r="AE154" s="1" t="s">
        <v>408</v>
      </c>
      <c r="AF154" s="1" t="s">
        <v>409</v>
      </c>
      <c r="AG154" s="1" t="s">
        <v>410</v>
      </c>
      <c r="AH154" s="1" t="s">
        <v>411</v>
      </c>
    </row>
    <row r="155" spans="1:34" ht="210" x14ac:dyDescent="0.25">
      <c r="A155" s="1">
        <v>36</v>
      </c>
      <c r="B155" s="1" t="str">
        <f t="shared" si="0"/>
        <v>N</v>
      </c>
      <c r="C155" s="1" t="s">
        <v>915</v>
      </c>
      <c r="D155" s="4" t="s">
        <v>1694</v>
      </c>
      <c r="E155" s="1" t="s">
        <v>1601</v>
      </c>
      <c r="F155" s="1" t="s">
        <v>1015</v>
      </c>
      <c r="G155" s="1" t="s">
        <v>994</v>
      </c>
      <c r="H155" s="1">
        <v>200</v>
      </c>
      <c r="I155" s="1" t="s">
        <v>22</v>
      </c>
      <c r="J155" s="1" t="s">
        <v>398</v>
      </c>
      <c r="K155" s="7" t="s">
        <v>23</v>
      </c>
      <c r="L155" s="7" t="s">
        <v>926</v>
      </c>
      <c r="M155" s="7" t="s">
        <v>927</v>
      </c>
      <c r="N155" s="23" t="s">
        <v>921</v>
      </c>
      <c r="O155" s="1" t="s">
        <v>920</v>
      </c>
      <c r="P155" s="7" t="s">
        <v>922</v>
      </c>
      <c r="Q155" s="1" t="s">
        <v>23</v>
      </c>
      <c r="R155" s="1" t="s">
        <v>1812</v>
      </c>
      <c r="S155" s="4" t="s">
        <v>400</v>
      </c>
      <c r="T155" s="7" t="s">
        <v>27</v>
      </c>
      <c r="U155" s="11" t="s">
        <v>923</v>
      </c>
      <c r="V155" s="1" t="s">
        <v>924</v>
      </c>
      <c r="W155" s="1" t="s">
        <v>402</v>
      </c>
      <c r="X155" s="5">
        <v>200061812481</v>
      </c>
      <c r="Y155" s="1" t="s">
        <v>925</v>
      </c>
      <c r="Z155" s="1">
        <v>1</v>
      </c>
      <c r="AA155" s="6" t="s">
        <v>404</v>
      </c>
      <c r="AB155" s="6" t="s">
        <v>405</v>
      </c>
      <c r="AC155" s="6" t="s">
        <v>406</v>
      </c>
      <c r="AD155" s="1" t="s">
        <v>407</v>
      </c>
      <c r="AE155" s="1" t="s">
        <v>408</v>
      </c>
      <c r="AF155" s="1" t="s">
        <v>409</v>
      </c>
      <c r="AG155" s="1" t="s">
        <v>410</v>
      </c>
      <c r="AH155" s="1" t="s">
        <v>411</v>
      </c>
    </row>
    <row r="156" spans="1:34" ht="210" x14ac:dyDescent="0.25">
      <c r="A156" s="1">
        <v>37</v>
      </c>
      <c r="B156" s="1" t="str">
        <f t="shared" si="0"/>
        <v>N</v>
      </c>
      <c r="C156" s="1" t="s">
        <v>915</v>
      </c>
      <c r="D156" s="4" t="s">
        <v>1695</v>
      </c>
      <c r="E156" s="1" t="s">
        <v>1602</v>
      </c>
      <c r="F156" s="1" t="s">
        <v>1016</v>
      </c>
      <c r="G156" s="1" t="s">
        <v>994</v>
      </c>
      <c r="H156" s="1">
        <v>200</v>
      </c>
      <c r="I156" s="1" t="s">
        <v>22</v>
      </c>
      <c r="J156" s="1" t="s">
        <v>398</v>
      </c>
      <c r="K156" s="7" t="s">
        <v>23</v>
      </c>
      <c r="L156" s="7" t="s">
        <v>926</v>
      </c>
      <c r="M156" s="7" t="s">
        <v>927</v>
      </c>
      <c r="N156" s="23" t="s">
        <v>921</v>
      </c>
      <c r="O156" s="1" t="s">
        <v>920</v>
      </c>
      <c r="P156" s="7" t="s">
        <v>922</v>
      </c>
      <c r="Q156" s="1" t="s">
        <v>23</v>
      </c>
      <c r="R156" s="1" t="s">
        <v>1812</v>
      </c>
      <c r="S156" s="4" t="s">
        <v>400</v>
      </c>
      <c r="T156" s="7" t="s">
        <v>27</v>
      </c>
      <c r="U156" s="11" t="s">
        <v>923</v>
      </c>
      <c r="V156" s="1" t="s">
        <v>924</v>
      </c>
      <c r="W156" s="1" t="s">
        <v>402</v>
      </c>
      <c r="X156" s="5">
        <v>200061812481</v>
      </c>
      <c r="Y156" s="1" t="s">
        <v>925</v>
      </c>
      <c r="Z156" s="1">
        <v>1</v>
      </c>
      <c r="AA156" s="6" t="s">
        <v>404</v>
      </c>
      <c r="AB156" s="6" t="s">
        <v>405</v>
      </c>
      <c r="AC156" s="6" t="s">
        <v>406</v>
      </c>
      <c r="AD156" s="1" t="s">
        <v>407</v>
      </c>
      <c r="AE156" s="1" t="s">
        <v>408</v>
      </c>
      <c r="AF156" s="1" t="s">
        <v>409</v>
      </c>
      <c r="AG156" s="1" t="s">
        <v>410</v>
      </c>
      <c r="AH156" s="1" t="s">
        <v>411</v>
      </c>
    </row>
    <row r="157" spans="1:34" ht="210" x14ac:dyDescent="0.25">
      <c r="A157" s="1">
        <v>38</v>
      </c>
      <c r="B157" s="1" t="str">
        <f t="shared" si="0"/>
        <v>N</v>
      </c>
      <c r="C157" s="1" t="s">
        <v>915</v>
      </c>
      <c r="D157" s="4" t="s">
        <v>1696</v>
      </c>
      <c r="E157" s="1" t="s">
        <v>1603</v>
      </c>
      <c r="F157" s="1" t="s">
        <v>1017</v>
      </c>
      <c r="G157" s="1" t="s">
        <v>994</v>
      </c>
      <c r="H157" s="1">
        <v>200</v>
      </c>
      <c r="I157" s="1" t="s">
        <v>22</v>
      </c>
      <c r="J157" s="1" t="s">
        <v>398</v>
      </c>
      <c r="K157" s="7" t="s">
        <v>23</v>
      </c>
      <c r="L157" s="7" t="s">
        <v>926</v>
      </c>
      <c r="M157" s="7" t="s">
        <v>927</v>
      </c>
      <c r="N157" s="23" t="s">
        <v>921</v>
      </c>
      <c r="O157" s="1" t="s">
        <v>920</v>
      </c>
      <c r="P157" s="7" t="s">
        <v>922</v>
      </c>
      <c r="Q157" s="1" t="s">
        <v>23</v>
      </c>
      <c r="R157" s="1" t="s">
        <v>1812</v>
      </c>
      <c r="S157" s="4" t="s">
        <v>400</v>
      </c>
      <c r="T157" s="7" t="s">
        <v>27</v>
      </c>
      <c r="U157" s="11" t="s">
        <v>923</v>
      </c>
      <c r="V157" s="1" t="s">
        <v>924</v>
      </c>
      <c r="W157" s="1" t="s">
        <v>402</v>
      </c>
      <c r="X157" s="5">
        <v>200061812481</v>
      </c>
      <c r="Y157" s="1" t="s">
        <v>925</v>
      </c>
      <c r="Z157" s="1">
        <v>1</v>
      </c>
      <c r="AA157" s="6" t="s">
        <v>404</v>
      </c>
      <c r="AB157" s="6" t="s">
        <v>405</v>
      </c>
      <c r="AC157" s="6" t="s">
        <v>406</v>
      </c>
      <c r="AD157" s="1" t="s">
        <v>407</v>
      </c>
      <c r="AE157" s="1" t="s">
        <v>408</v>
      </c>
      <c r="AF157" s="1" t="s">
        <v>409</v>
      </c>
      <c r="AG157" s="1" t="s">
        <v>410</v>
      </c>
      <c r="AH157" s="1" t="s">
        <v>411</v>
      </c>
    </row>
    <row r="158" spans="1:34" ht="210" x14ac:dyDescent="0.25">
      <c r="A158" s="1">
        <v>39</v>
      </c>
      <c r="B158" s="1" t="str">
        <f t="shared" si="0"/>
        <v>N</v>
      </c>
      <c r="C158" s="1" t="s">
        <v>915</v>
      </c>
      <c r="D158" s="4" t="s">
        <v>1697</v>
      </c>
      <c r="E158" s="1" t="s">
        <v>1604</v>
      </c>
      <c r="F158" s="1" t="s">
        <v>1018</v>
      </c>
      <c r="G158" s="1" t="s">
        <v>994</v>
      </c>
      <c r="H158" s="1">
        <v>200</v>
      </c>
      <c r="I158" s="1" t="s">
        <v>22</v>
      </c>
      <c r="J158" s="1" t="s">
        <v>398</v>
      </c>
      <c r="K158" s="7" t="s">
        <v>23</v>
      </c>
      <c r="L158" s="7" t="s">
        <v>926</v>
      </c>
      <c r="M158" s="7" t="s">
        <v>927</v>
      </c>
      <c r="N158" s="23" t="s">
        <v>921</v>
      </c>
      <c r="O158" s="1" t="s">
        <v>920</v>
      </c>
      <c r="P158" s="7" t="s">
        <v>922</v>
      </c>
      <c r="Q158" s="1" t="s">
        <v>23</v>
      </c>
      <c r="R158" s="1" t="s">
        <v>1812</v>
      </c>
      <c r="S158" s="4" t="s">
        <v>400</v>
      </c>
      <c r="T158" s="7" t="s">
        <v>27</v>
      </c>
      <c r="U158" s="11" t="s">
        <v>923</v>
      </c>
      <c r="V158" s="1" t="s">
        <v>924</v>
      </c>
      <c r="W158" s="1" t="s">
        <v>402</v>
      </c>
      <c r="X158" s="5">
        <v>200061812481</v>
      </c>
      <c r="Y158" s="1" t="s">
        <v>925</v>
      </c>
      <c r="Z158" s="1">
        <v>1</v>
      </c>
      <c r="AA158" s="6" t="s">
        <v>404</v>
      </c>
      <c r="AB158" s="6" t="s">
        <v>405</v>
      </c>
      <c r="AC158" s="6" t="s">
        <v>406</v>
      </c>
      <c r="AD158" s="1" t="s">
        <v>407</v>
      </c>
      <c r="AE158" s="1" t="s">
        <v>408</v>
      </c>
      <c r="AF158" s="1" t="s">
        <v>409</v>
      </c>
      <c r="AG158" s="1" t="s">
        <v>410</v>
      </c>
      <c r="AH158" s="1" t="s">
        <v>411</v>
      </c>
    </row>
    <row r="159" spans="1:34" ht="210" x14ac:dyDescent="0.25">
      <c r="A159" s="1">
        <v>40</v>
      </c>
      <c r="B159" s="1" t="str">
        <f t="shared" si="0"/>
        <v>N</v>
      </c>
      <c r="C159" s="1" t="s">
        <v>915</v>
      </c>
      <c r="D159" s="4" t="s">
        <v>1698</v>
      </c>
      <c r="E159" s="1" t="s">
        <v>1605</v>
      </c>
      <c r="F159" s="1" t="s">
        <v>1019</v>
      </c>
      <c r="G159" s="1" t="s">
        <v>994</v>
      </c>
      <c r="H159" s="1">
        <v>200</v>
      </c>
      <c r="I159" s="1" t="s">
        <v>22</v>
      </c>
      <c r="J159" s="1" t="s">
        <v>398</v>
      </c>
      <c r="K159" s="7" t="s">
        <v>23</v>
      </c>
      <c r="L159" s="7" t="s">
        <v>926</v>
      </c>
      <c r="M159" s="7" t="s">
        <v>927</v>
      </c>
      <c r="N159" s="23" t="s">
        <v>921</v>
      </c>
      <c r="O159" s="1" t="s">
        <v>920</v>
      </c>
      <c r="P159" s="7" t="s">
        <v>922</v>
      </c>
      <c r="Q159" s="1" t="s">
        <v>23</v>
      </c>
      <c r="R159" s="1" t="s">
        <v>1812</v>
      </c>
      <c r="S159" s="4" t="s">
        <v>400</v>
      </c>
      <c r="T159" s="7" t="s">
        <v>27</v>
      </c>
      <c r="U159" s="11" t="s">
        <v>923</v>
      </c>
      <c r="V159" s="1" t="s">
        <v>924</v>
      </c>
      <c r="W159" s="1" t="s">
        <v>402</v>
      </c>
      <c r="X159" s="5">
        <v>200061812481</v>
      </c>
      <c r="Y159" s="1" t="s">
        <v>925</v>
      </c>
      <c r="Z159" s="1">
        <v>1</v>
      </c>
      <c r="AA159" s="6" t="s">
        <v>404</v>
      </c>
      <c r="AB159" s="6" t="s">
        <v>405</v>
      </c>
      <c r="AC159" s="6" t="s">
        <v>406</v>
      </c>
      <c r="AD159" s="1" t="s">
        <v>407</v>
      </c>
      <c r="AE159" s="1" t="s">
        <v>408</v>
      </c>
      <c r="AF159" s="1" t="s">
        <v>409</v>
      </c>
      <c r="AG159" s="1" t="s">
        <v>410</v>
      </c>
      <c r="AH159" s="1" t="s">
        <v>411</v>
      </c>
    </row>
    <row r="160" spans="1:34" ht="210" x14ac:dyDescent="0.25">
      <c r="A160" s="1">
        <v>41</v>
      </c>
      <c r="B160" s="1" t="str">
        <f t="shared" si="0"/>
        <v>N</v>
      </c>
      <c r="C160" s="1" t="s">
        <v>915</v>
      </c>
      <c r="D160" s="4" t="s">
        <v>1699</v>
      </c>
      <c r="E160" s="1" t="s">
        <v>1606</v>
      </c>
      <c r="F160" s="1" t="s">
        <v>1020</v>
      </c>
      <c r="G160" s="1" t="s">
        <v>994</v>
      </c>
      <c r="H160" s="1">
        <v>400</v>
      </c>
      <c r="I160" s="1" t="s">
        <v>22</v>
      </c>
      <c r="J160" s="1" t="s">
        <v>398</v>
      </c>
      <c r="K160" s="7" t="s">
        <v>23</v>
      </c>
      <c r="L160" s="7" t="s">
        <v>926</v>
      </c>
      <c r="M160" s="7" t="s">
        <v>927</v>
      </c>
      <c r="N160" s="23" t="s">
        <v>921</v>
      </c>
      <c r="O160" s="1" t="s">
        <v>920</v>
      </c>
      <c r="P160" s="7" t="s">
        <v>922</v>
      </c>
      <c r="Q160" s="1" t="s">
        <v>23</v>
      </c>
      <c r="R160" s="1" t="s">
        <v>1812</v>
      </c>
      <c r="S160" s="4" t="s">
        <v>400</v>
      </c>
      <c r="T160" s="7" t="s">
        <v>27</v>
      </c>
      <c r="U160" s="11" t="s">
        <v>923</v>
      </c>
      <c r="V160" s="1" t="s">
        <v>924</v>
      </c>
      <c r="W160" s="1" t="s">
        <v>402</v>
      </c>
      <c r="X160" s="5">
        <v>200061812481</v>
      </c>
      <c r="Y160" s="1" t="s">
        <v>925</v>
      </c>
      <c r="Z160" s="1">
        <v>1</v>
      </c>
      <c r="AA160" s="6" t="s">
        <v>404</v>
      </c>
      <c r="AB160" s="6" t="s">
        <v>405</v>
      </c>
      <c r="AC160" s="6" t="s">
        <v>406</v>
      </c>
      <c r="AD160" s="1" t="s">
        <v>407</v>
      </c>
      <c r="AE160" s="1" t="s">
        <v>408</v>
      </c>
      <c r="AF160" s="1" t="s">
        <v>409</v>
      </c>
      <c r="AG160" s="1" t="s">
        <v>410</v>
      </c>
      <c r="AH160" s="1" t="s">
        <v>411</v>
      </c>
    </row>
    <row r="161" spans="1:34" ht="210" x14ac:dyDescent="0.25">
      <c r="A161" s="1">
        <v>42</v>
      </c>
      <c r="B161" s="1" t="str">
        <f t="shared" si="0"/>
        <v>N</v>
      </c>
      <c r="C161" s="1" t="s">
        <v>915</v>
      </c>
      <c r="D161" s="4" t="s">
        <v>1700</v>
      </c>
      <c r="E161" s="1" t="s">
        <v>1607</v>
      </c>
      <c r="F161" s="1" t="s">
        <v>1021</v>
      </c>
      <c r="G161" s="1" t="s">
        <v>994</v>
      </c>
      <c r="H161" s="1">
        <v>400</v>
      </c>
      <c r="I161" s="1" t="s">
        <v>22</v>
      </c>
      <c r="J161" s="1" t="s">
        <v>398</v>
      </c>
      <c r="K161" s="7" t="s">
        <v>23</v>
      </c>
      <c r="L161" s="7" t="s">
        <v>926</v>
      </c>
      <c r="M161" s="7" t="s">
        <v>927</v>
      </c>
      <c r="N161" s="23" t="s">
        <v>921</v>
      </c>
      <c r="O161" s="1" t="s">
        <v>920</v>
      </c>
      <c r="P161" s="7" t="s">
        <v>922</v>
      </c>
      <c r="Q161" s="1" t="s">
        <v>23</v>
      </c>
      <c r="R161" s="1" t="s">
        <v>1812</v>
      </c>
      <c r="S161" s="4" t="s">
        <v>400</v>
      </c>
      <c r="T161" s="7" t="s">
        <v>27</v>
      </c>
      <c r="U161" s="11" t="s">
        <v>923</v>
      </c>
      <c r="V161" s="1" t="s">
        <v>924</v>
      </c>
      <c r="W161" s="1" t="s">
        <v>402</v>
      </c>
      <c r="X161" s="5">
        <v>200061812481</v>
      </c>
      <c r="Y161" s="1" t="s">
        <v>925</v>
      </c>
      <c r="Z161" s="1">
        <v>1</v>
      </c>
      <c r="AA161" s="6" t="s">
        <v>404</v>
      </c>
      <c r="AB161" s="6" t="s">
        <v>405</v>
      </c>
      <c r="AC161" s="6" t="s">
        <v>406</v>
      </c>
      <c r="AD161" s="1" t="s">
        <v>407</v>
      </c>
      <c r="AE161" s="1" t="s">
        <v>408</v>
      </c>
      <c r="AF161" s="1" t="s">
        <v>409</v>
      </c>
      <c r="AG161" s="1" t="s">
        <v>410</v>
      </c>
      <c r="AH161" s="1" t="s">
        <v>411</v>
      </c>
    </row>
    <row r="162" spans="1:34" ht="180" x14ac:dyDescent="0.25">
      <c r="A162" s="1">
        <v>43</v>
      </c>
      <c r="B162" s="1" t="str">
        <f t="shared" si="0"/>
        <v>N</v>
      </c>
      <c r="C162" s="1" t="s">
        <v>915</v>
      </c>
      <c r="D162" s="4" t="s">
        <v>1701</v>
      </c>
      <c r="E162" s="1" t="s">
        <v>1608</v>
      </c>
      <c r="F162" s="1" t="s">
        <v>1022</v>
      </c>
      <c r="G162" s="1" t="s">
        <v>1649</v>
      </c>
      <c r="H162" s="1">
        <v>400</v>
      </c>
      <c r="I162" s="1" t="s">
        <v>22</v>
      </c>
      <c r="J162" s="1" t="s">
        <v>398</v>
      </c>
      <c r="K162" s="7" t="s">
        <v>23</v>
      </c>
      <c r="L162" s="7" t="s">
        <v>926</v>
      </c>
      <c r="M162" s="7" t="s">
        <v>927</v>
      </c>
      <c r="N162" s="23" t="s">
        <v>921</v>
      </c>
      <c r="O162" s="1" t="s">
        <v>920</v>
      </c>
      <c r="P162" s="7" t="s">
        <v>922</v>
      </c>
      <c r="Q162" s="1" t="s">
        <v>23</v>
      </c>
      <c r="R162" s="1" t="s">
        <v>1812</v>
      </c>
      <c r="S162" s="4" t="s">
        <v>400</v>
      </c>
      <c r="T162" s="7" t="s">
        <v>27</v>
      </c>
      <c r="U162" s="11" t="s">
        <v>923</v>
      </c>
      <c r="V162" s="1" t="s">
        <v>924</v>
      </c>
      <c r="W162" s="1" t="s">
        <v>402</v>
      </c>
      <c r="X162" s="5">
        <v>200061812481</v>
      </c>
      <c r="Y162" s="1" t="s">
        <v>925</v>
      </c>
      <c r="Z162" s="1">
        <v>1</v>
      </c>
      <c r="AA162" s="6" t="s">
        <v>404</v>
      </c>
      <c r="AB162" s="6" t="s">
        <v>405</v>
      </c>
      <c r="AC162" s="6" t="s">
        <v>406</v>
      </c>
      <c r="AD162" s="1" t="s">
        <v>407</v>
      </c>
      <c r="AE162" s="1" t="s">
        <v>408</v>
      </c>
      <c r="AF162" s="1" t="s">
        <v>409</v>
      </c>
      <c r="AG162" s="1" t="s">
        <v>410</v>
      </c>
      <c r="AH162" s="1" t="s">
        <v>411</v>
      </c>
    </row>
    <row r="163" spans="1:34" ht="180" x14ac:dyDescent="0.25">
      <c r="A163" s="1">
        <v>44</v>
      </c>
      <c r="B163" s="1" t="str">
        <f t="shared" si="0"/>
        <v>N</v>
      </c>
      <c r="C163" s="1" t="s">
        <v>915</v>
      </c>
      <c r="D163" s="4" t="s">
        <v>1702</v>
      </c>
      <c r="E163" s="1" t="s">
        <v>1609</v>
      </c>
      <c r="F163" s="1" t="s">
        <v>1023</v>
      </c>
      <c r="G163" s="1" t="s">
        <v>1649</v>
      </c>
      <c r="H163" s="1">
        <v>400</v>
      </c>
      <c r="I163" s="1" t="s">
        <v>22</v>
      </c>
      <c r="J163" s="1" t="s">
        <v>398</v>
      </c>
      <c r="K163" s="7" t="s">
        <v>23</v>
      </c>
      <c r="L163" s="7" t="s">
        <v>926</v>
      </c>
      <c r="M163" s="7" t="s">
        <v>927</v>
      </c>
      <c r="N163" s="23" t="s">
        <v>921</v>
      </c>
      <c r="O163" s="1" t="s">
        <v>920</v>
      </c>
      <c r="P163" s="7" t="s">
        <v>922</v>
      </c>
      <c r="Q163" s="1" t="s">
        <v>23</v>
      </c>
      <c r="R163" s="1" t="s">
        <v>1812</v>
      </c>
      <c r="S163" s="4" t="s">
        <v>400</v>
      </c>
      <c r="T163" s="7" t="s">
        <v>27</v>
      </c>
      <c r="U163" s="11" t="s">
        <v>923</v>
      </c>
      <c r="V163" s="1" t="s">
        <v>924</v>
      </c>
      <c r="W163" s="1" t="s">
        <v>402</v>
      </c>
      <c r="X163" s="5">
        <v>200061812481</v>
      </c>
      <c r="Y163" s="1" t="s">
        <v>925</v>
      </c>
      <c r="Z163" s="1">
        <v>1</v>
      </c>
      <c r="AA163" s="6" t="s">
        <v>404</v>
      </c>
      <c r="AB163" s="6" t="s">
        <v>405</v>
      </c>
      <c r="AC163" s="6" t="s">
        <v>406</v>
      </c>
      <c r="AD163" s="1" t="s">
        <v>407</v>
      </c>
      <c r="AE163" s="1" t="s">
        <v>408</v>
      </c>
      <c r="AF163" s="1" t="s">
        <v>409</v>
      </c>
      <c r="AG163" s="1" t="s">
        <v>410</v>
      </c>
      <c r="AH163" s="1" t="s">
        <v>411</v>
      </c>
    </row>
    <row r="164" spans="1:34" ht="210" x14ac:dyDescent="0.25">
      <c r="A164" s="1">
        <v>45</v>
      </c>
      <c r="B164" s="1" t="str">
        <f t="shared" si="0"/>
        <v>N</v>
      </c>
      <c r="C164" s="1" t="s">
        <v>915</v>
      </c>
      <c r="D164" s="4" t="s">
        <v>1703</v>
      </c>
      <c r="E164" s="1" t="s">
        <v>1610</v>
      </c>
      <c r="F164" s="1" t="s">
        <v>1024</v>
      </c>
      <c r="G164" s="1" t="s">
        <v>994</v>
      </c>
      <c r="H164" s="1">
        <v>200</v>
      </c>
      <c r="I164" s="1" t="s">
        <v>22</v>
      </c>
      <c r="J164" s="1" t="s">
        <v>398</v>
      </c>
      <c r="K164" s="7" t="s">
        <v>23</v>
      </c>
      <c r="L164" s="7" t="s">
        <v>926</v>
      </c>
      <c r="M164" s="7" t="s">
        <v>927</v>
      </c>
      <c r="N164" s="23" t="s">
        <v>921</v>
      </c>
      <c r="O164" s="1" t="s">
        <v>920</v>
      </c>
      <c r="P164" s="7" t="s">
        <v>922</v>
      </c>
      <c r="Q164" s="1" t="s">
        <v>23</v>
      </c>
      <c r="R164" s="1" t="s">
        <v>1812</v>
      </c>
      <c r="S164" s="4" t="s">
        <v>400</v>
      </c>
      <c r="T164" s="7" t="s">
        <v>27</v>
      </c>
      <c r="U164" s="11" t="s">
        <v>923</v>
      </c>
      <c r="V164" s="1" t="s">
        <v>924</v>
      </c>
      <c r="W164" s="1" t="s">
        <v>402</v>
      </c>
      <c r="X164" s="5">
        <v>200061812481</v>
      </c>
      <c r="Y164" s="1" t="s">
        <v>925</v>
      </c>
      <c r="Z164" s="1">
        <v>1</v>
      </c>
      <c r="AA164" s="6" t="s">
        <v>404</v>
      </c>
      <c r="AB164" s="6" t="s">
        <v>405</v>
      </c>
      <c r="AC164" s="6" t="s">
        <v>406</v>
      </c>
      <c r="AD164" s="1" t="s">
        <v>407</v>
      </c>
      <c r="AE164" s="1" t="s">
        <v>408</v>
      </c>
      <c r="AF164" s="1" t="s">
        <v>409</v>
      </c>
      <c r="AG164" s="1" t="s">
        <v>410</v>
      </c>
      <c r="AH164" s="1" t="s">
        <v>411</v>
      </c>
    </row>
    <row r="165" spans="1:34" ht="210" x14ac:dyDescent="0.25">
      <c r="A165" s="1">
        <v>46</v>
      </c>
      <c r="B165" s="1" t="str">
        <f t="shared" si="0"/>
        <v>N</v>
      </c>
      <c r="C165" s="1" t="s">
        <v>915</v>
      </c>
      <c r="D165" s="4" t="s">
        <v>1704</v>
      </c>
      <c r="E165" s="1" t="s">
        <v>1611</v>
      </c>
      <c r="F165" s="1" t="s">
        <v>1025</v>
      </c>
      <c r="G165" s="1" t="s">
        <v>994</v>
      </c>
      <c r="H165" s="1">
        <v>200</v>
      </c>
      <c r="I165" s="1" t="s">
        <v>22</v>
      </c>
      <c r="J165" s="1" t="s">
        <v>398</v>
      </c>
      <c r="K165" s="7" t="s">
        <v>23</v>
      </c>
      <c r="L165" s="7" t="s">
        <v>926</v>
      </c>
      <c r="M165" s="7" t="s">
        <v>927</v>
      </c>
      <c r="N165" s="23" t="s">
        <v>921</v>
      </c>
      <c r="O165" s="1" t="s">
        <v>920</v>
      </c>
      <c r="P165" s="7" t="s">
        <v>922</v>
      </c>
      <c r="Q165" s="1" t="s">
        <v>23</v>
      </c>
      <c r="R165" s="1" t="s">
        <v>1812</v>
      </c>
      <c r="S165" s="4" t="s">
        <v>400</v>
      </c>
      <c r="T165" s="7" t="s">
        <v>27</v>
      </c>
      <c r="U165" s="11" t="s">
        <v>923</v>
      </c>
      <c r="V165" s="1" t="s">
        <v>924</v>
      </c>
      <c r="W165" s="1" t="s">
        <v>402</v>
      </c>
      <c r="X165" s="5">
        <v>200061812481</v>
      </c>
      <c r="Y165" s="1" t="s">
        <v>925</v>
      </c>
      <c r="Z165" s="1">
        <v>1</v>
      </c>
      <c r="AA165" s="6" t="s">
        <v>404</v>
      </c>
      <c r="AB165" s="6" t="s">
        <v>405</v>
      </c>
      <c r="AC165" s="6" t="s">
        <v>406</v>
      </c>
      <c r="AD165" s="1" t="s">
        <v>407</v>
      </c>
      <c r="AE165" s="1" t="s">
        <v>408</v>
      </c>
      <c r="AF165" s="1" t="s">
        <v>409</v>
      </c>
      <c r="AG165" s="1" t="s">
        <v>410</v>
      </c>
      <c r="AH165" s="1" t="s">
        <v>411</v>
      </c>
    </row>
    <row r="166" spans="1:34" ht="180" x14ac:dyDescent="0.25">
      <c r="A166" s="1">
        <v>47</v>
      </c>
      <c r="B166" s="1" t="str">
        <f t="shared" si="0"/>
        <v>N</v>
      </c>
      <c r="C166" s="1" t="s">
        <v>915</v>
      </c>
      <c r="D166" s="4" t="s">
        <v>1705</v>
      </c>
      <c r="E166" s="1" t="s">
        <v>1612</v>
      </c>
      <c r="F166" s="1" t="s">
        <v>1026</v>
      </c>
      <c r="G166" s="1" t="s">
        <v>1649</v>
      </c>
      <c r="H166" s="1">
        <v>200</v>
      </c>
      <c r="I166" s="1" t="s">
        <v>22</v>
      </c>
      <c r="J166" s="1" t="s">
        <v>398</v>
      </c>
      <c r="K166" s="7" t="s">
        <v>23</v>
      </c>
      <c r="L166" s="7" t="s">
        <v>926</v>
      </c>
      <c r="M166" s="7" t="s">
        <v>927</v>
      </c>
      <c r="N166" s="23" t="s">
        <v>921</v>
      </c>
      <c r="O166" s="1" t="s">
        <v>920</v>
      </c>
      <c r="P166" s="7" t="s">
        <v>922</v>
      </c>
      <c r="Q166" s="1" t="s">
        <v>23</v>
      </c>
      <c r="R166" s="1" t="s">
        <v>1812</v>
      </c>
      <c r="S166" s="4" t="s">
        <v>400</v>
      </c>
      <c r="T166" s="7" t="s">
        <v>27</v>
      </c>
      <c r="U166" s="11" t="s">
        <v>923</v>
      </c>
      <c r="V166" s="1" t="s">
        <v>924</v>
      </c>
      <c r="W166" s="1" t="s">
        <v>402</v>
      </c>
      <c r="X166" s="5">
        <v>200061812481</v>
      </c>
      <c r="Y166" s="1" t="s">
        <v>925</v>
      </c>
      <c r="Z166" s="1">
        <v>1</v>
      </c>
      <c r="AA166" s="6" t="s">
        <v>404</v>
      </c>
      <c r="AB166" s="6" t="s">
        <v>405</v>
      </c>
      <c r="AC166" s="6" t="s">
        <v>406</v>
      </c>
      <c r="AD166" s="1" t="s">
        <v>407</v>
      </c>
      <c r="AE166" s="1" t="s">
        <v>408</v>
      </c>
      <c r="AF166" s="1" t="s">
        <v>409</v>
      </c>
      <c r="AG166" s="1" t="s">
        <v>410</v>
      </c>
      <c r="AH166" s="1" t="s">
        <v>411</v>
      </c>
    </row>
    <row r="167" spans="1:34" ht="180" x14ac:dyDescent="0.25">
      <c r="A167" s="1">
        <v>48</v>
      </c>
      <c r="B167" s="1" t="str">
        <f t="shared" si="0"/>
        <v>N</v>
      </c>
      <c r="C167" s="1" t="s">
        <v>915</v>
      </c>
      <c r="D167" s="4" t="s">
        <v>1706</v>
      </c>
      <c r="E167" s="1" t="s">
        <v>1613</v>
      </c>
      <c r="F167" s="1" t="s">
        <v>1027</v>
      </c>
      <c r="G167" s="1" t="s">
        <v>1649</v>
      </c>
      <c r="H167" s="1">
        <v>200</v>
      </c>
      <c r="I167" s="1" t="s">
        <v>22</v>
      </c>
      <c r="J167" s="1" t="s">
        <v>398</v>
      </c>
      <c r="K167" s="7" t="s">
        <v>23</v>
      </c>
      <c r="L167" s="7" t="s">
        <v>926</v>
      </c>
      <c r="M167" s="7" t="s">
        <v>927</v>
      </c>
      <c r="N167" s="23" t="s">
        <v>921</v>
      </c>
      <c r="O167" s="1" t="s">
        <v>920</v>
      </c>
      <c r="P167" s="7" t="s">
        <v>922</v>
      </c>
      <c r="Q167" s="1" t="s">
        <v>23</v>
      </c>
      <c r="R167" s="1" t="s">
        <v>1812</v>
      </c>
      <c r="S167" s="4" t="s">
        <v>400</v>
      </c>
      <c r="T167" s="7" t="s">
        <v>27</v>
      </c>
      <c r="U167" s="11" t="s">
        <v>923</v>
      </c>
      <c r="V167" s="1" t="s">
        <v>924</v>
      </c>
      <c r="W167" s="1" t="s">
        <v>402</v>
      </c>
      <c r="X167" s="5">
        <v>200061812481</v>
      </c>
      <c r="Y167" s="1" t="s">
        <v>925</v>
      </c>
      <c r="Z167" s="1">
        <v>1</v>
      </c>
      <c r="AA167" s="6" t="s">
        <v>404</v>
      </c>
      <c r="AB167" s="6" t="s">
        <v>405</v>
      </c>
      <c r="AC167" s="6" t="s">
        <v>406</v>
      </c>
      <c r="AD167" s="1" t="s">
        <v>407</v>
      </c>
      <c r="AE167" s="1" t="s">
        <v>408</v>
      </c>
      <c r="AF167" s="1" t="s">
        <v>409</v>
      </c>
      <c r="AG167" s="1" t="s">
        <v>410</v>
      </c>
      <c r="AH167" s="1" t="s">
        <v>411</v>
      </c>
    </row>
    <row r="168" spans="1:34" ht="210" x14ac:dyDescent="0.25">
      <c r="A168" s="1">
        <v>49</v>
      </c>
      <c r="B168" s="1" t="str">
        <f t="shared" si="0"/>
        <v>N</v>
      </c>
      <c r="C168" s="1" t="s">
        <v>915</v>
      </c>
      <c r="D168" s="4" t="s">
        <v>1707</v>
      </c>
      <c r="E168" s="1" t="s">
        <v>1614</v>
      </c>
      <c r="F168" s="1" t="s">
        <v>1028</v>
      </c>
      <c r="G168" s="1" t="s">
        <v>994</v>
      </c>
      <c r="H168" s="1">
        <v>400</v>
      </c>
      <c r="I168" s="1" t="s">
        <v>22</v>
      </c>
      <c r="J168" s="1" t="s">
        <v>398</v>
      </c>
      <c r="K168" s="7" t="s">
        <v>23</v>
      </c>
      <c r="L168" s="7" t="s">
        <v>926</v>
      </c>
      <c r="M168" s="7" t="s">
        <v>927</v>
      </c>
      <c r="N168" s="23" t="s">
        <v>921</v>
      </c>
      <c r="O168" s="1" t="s">
        <v>920</v>
      </c>
      <c r="P168" s="7" t="s">
        <v>922</v>
      </c>
      <c r="Q168" s="1" t="s">
        <v>23</v>
      </c>
      <c r="R168" s="1" t="s">
        <v>1812</v>
      </c>
      <c r="S168" s="4" t="s">
        <v>400</v>
      </c>
      <c r="T168" s="7" t="s">
        <v>27</v>
      </c>
      <c r="U168" s="11" t="s">
        <v>923</v>
      </c>
      <c r="V168" s="1" t="s">
        <v>924</v>
      </c>
      <c r="W168" s="1" t="s">
        <v>402</v>
      </c>
      <c r="X168" s="5">
        <v>200061812481</v>
      </c>
      <c r="Y168" s="1" t="s">
        <v>925</v>
      </c>
      <c r="Z168" s="1">
        <v>1</v>
      </c>
      <c r="AA168" s="6" t="s">
        <v>404</v>
      </c>
      <c r="AB168" s="6" t="s">
        <v>405</v>
      </c>
      <c r="AC168" s="6" t="s">
        <v>406</v>
      </c>
      <c r="AD168" s="1" t="s">
        <v>407</v>
      </c>
      <c r="AE168" s="1" t="s">
        <v>408</v>
      </c>
      <c r="AF168" s="1" t="s">
        <v>409</v>
      </c>
      <c r="AG168" s="1" t="s">
        <v>410</v>
      </c>
      <c r="AH168" s="1" t="s">
        <v>411</v>
      </c>
    </row>
    <row r="169" spans="1:34" ht="210" x14ac:dyDescent="0.25">
      <c r="A169" s="1">
        <v>50</v>
      </c>
      <c r="B169" s="1" t="str">
        <f t="shared" si="0"/>
        <v>N</v>
      </c>
      <c r="C169" s="1" t="s">
        <v>915</v>
      </c>
      <c r="D169" s="4" t="s">
        <v>1708</v>
      </c>
      <c r="E169" s="1" t="s">
        <v>1615</v>
      </c>
      <c r="F169" s="1" t="s">
        <v>1029</v>
      </c>
      <c r="G169" s="1" t="s">
        <v>994</v>
      </c>
      <c r="H169" s="1">
        <v>400</v>
      </c>
      <c r="I169" s="1" t="s">
        <v>22</v>
      </c>
      <c r="J169" s="1" t="s">
        <v>398</v>
      </c>
      <c r="K169" s="7" t="s">
        <v>23</v>
      </c>
      <c r="L169" s="7" t="s">
        <v>926</v>
      </c>
      <c r="M169" s="7" t="s">
        <v>927</v>
      </c>
      <c r="N169" s="23" t="s">
        <v>921</v>
      </c>
      <c r="O169" s="1" t="s">
        <v>920</v>
      </c>
      <c r="P169" s="7" t="s">
        <v>922</v>
      </c>
      <c r="Q169" s="1" t="s">
        <v>23</v>
      </c>
      <c r="R169" s="1" t="s">
        <v>1812</v>
      </c>
      <c r="S169" s="4" t="s">
        <v>400</v>
      </c>
      <c r="T169" s="7" t="s">
        <v>27</v>
      </c>
      <c r="U169" s="11" t="s">
        <v>923</v>
      </c>
      <c r="V169" s="1" t="s">
        <v>924</v>
      </c>
      <c r="W169" s="1" t="s">
        <v>402</v>
      </c>
      <c r="X169" s="5">
        <v>200061812481</v>
      </c>
      <c r="Y169" s="1" t="s">
        <v>925</v>
      </c>
      <c r="Z169" s="1">
        <v>1</v>
      </c>
      <c r="AA169" s="6" t="s">
        <v>404</v>
      </c>
      <c r="AB169" s="6" t="s">
        <v>405</v>
      </c>
      <c r="AC169" s="6" t="s">
        <v>406</v>
      </c>
      <c r="AD169" s="1" t="s">
        <v>407</v>
      </c>
      <c r="AE169" s="1" t="s">
        <v>408</v>
      </c>
      <c r="AF169" s="1" t="s">
        <v>409</v>
      </c>
      <c r="AG169" s="1" t="s">
        <v>410</v>
      </c>
      <c r="AH169" s="1" t="s">
        <v>411</v>
      </c>
    </row>
    <row r="170" spans="1:34" ht="210" x14ac:dyDescent="0.25">
      <c r="A170" s="1">
        <v>51</v>
      </c>
      <c r="B170" s="1" t="str">
        <f t="shared" si="0"/>
        <v>N</v>
      </c>
      <c r="C170" s="1" t="s">
        <v>915</v>
      </c>
      <c r="D170" s="4" t="s">
        <v>1709</v>
      </c>
      <c r="E170" s="1" t="s">
        <v>1616</v>
      </c>
      <c r="F170" s="1" t="s">
        <v>1030</v>
      </c>
      <c r="G170" s="1" t="s">
        <v>994</v>
      </c>
      <c r="H170" s="1">
        <v>200</v>
      </c>
      <c r="I170" s="1" t="s">
        <v>22</v>
      </c>
      <c r="J170" s="1" t="s">
        <v>398</v>
      </c>
      <c r="K170" s="7" t="s">
        <v>23</v>
      </c>
      <c r="L170" s="7" t="s">
        <v>926</v>
      </c>
      <c r="M170" s="7" t="s">
        <v>927</v>
      </c>
      <c r="N170" s="23" t="s">
        <v>921</v>
      </c>
      <c r="O170" s="1" t="s">
        <v>920</v>
      </c>
      <c r="P170" s="7" t="s">
        <v>922</v>
      </c>
      <c r="Q170" s="1" t="s">
        <v>23</v>
      </c>
      <c r="R170" s="1" t="s">
        <v>1812</v>
      </c>
      <c r="S170" s="4" t="s">
        <v>400</v>
      </c>
      <c r="T170" s="7" t="s">
        <v>27</v>
      </c>
      <c r="U170" s="11" t="s">
        <v>923</v>
      </c>
      <c r="V170" s="1" t="s">
        <v>924</v>
      </c>
      <c r="W170" s="1" t="s">
        <v>402</v>
      </c>
      <c r="X170" s="5">
        <v>200061812481</v>
      </c>
      <c r="Y170" s="1" t="s">
        <v>925</v>
      </c>
      <c r="Z170" s="1">
        <v>1</v>
      </c>
      <c r="AA170" s="6" t="s">
        <v>404</v>
      </c>
      <c r="AB170" s="6" t="s">
        <v>405</v>
      </c>
      <c r="AC170" s="6" t="s">
        <v>406</v>
      </c>
      <c r="AD170" s="1" t="s">
        <v>407</v>
      </c>
      <c r="AE170" s="1" t="s">
        <v>408</v>
      </c>
      <c r="AF170" s="1" t="s">
        <v>409</v>
      </c>
      <c r="AG170" s="1" t="s">
        <v>410</v>
      </c>
      <c r="AH170" s="1" t="s">
        <v>411</v>
      </c>
    </row>
    <row r="171" spans="1:34" ht="210" x14ac:dyDescent="0.25">
      <c r="A171" s="1">
        <v>52</v>
      </c>
      <c r="B171" s="1" t="str">
        <f t="shared" si="0"/>
        <v>N</v>
      </c>
      <c r="C171" s="1" t="s">
        <v>915</v>
      </c>
      <c r="D171" s="4" t="s">
        <v>1710</v>
      </c>
      <c r="E171" s="1" t="s">
        <v>1617</v>
      </c>
      <c r="F171" s="1" t="s">
        <v>1031</v>
      </c>
      <c r="G171" s="1" t="s">
        <v>994</v>
      </c>
      <c r="H171" s="1">
        <v>400</v>
      </c>
      <c r="I171" s="1" t="s">
        <v>22</v>
      </c>
      <c r="J171" s="1" t="s">
        <v>398</v>
      </c>
      <c r="K171" s="7" t="s">
        <v>23</v>
      </c>
      <c r="L171" s="7" t="s">
        <v>926</v>
      </c>
      <c r="M171" s="7" t="s">
        <v>927</v>
      </c>
      <c r="N171" s="23" t="s">
        <v>921</v>
      </c>
      <c r="O171" s="1" t="s">
        <v>920</v>
      </c>
      <c r="P171" s="7" t="s">
        <v>922</v>
      </c>
      <c r="Q171" s="1" t="s">
        <v>23</v>
      </c>
      <c r="R171" s="1" t="s">
        <v>1812</v>
      </c>
      <c r="S171" s="4" t="s">
        <v>400</v>
      </c>
      <c r="T171" s="7" t="s">
        <v>27</v>
      </c>
      <c r="U171" s="11" t="s">
        <v>923</v>
      </c>
      <c r="V171" s="1" t="s">
        <v>924</v>
      </c>
      <c r="W171" s="1" t="s">
        <v>402</v>
      </c>
      <c r="X171" s="5">
        <v>200061812481</v>
      </c>
      <c r="Y171" s="1" t="s">
        <v>925</v>
      </c>
      <c r="Z171" s="1">
        <v>1</v>
      </c>
      <c r="AA171" s="6" t="s">
        <v>404</v>
      </c>
      <c r="AB171" s="6" t="s">
        <v>405</v>
      </c>
      <c r="AC171" s="6" t="s">
        <v>406</v>
      </c>
      <c r="AD171" s="1" t="s">
        <v>407</v>
      </c>
      <c r="AE171" s="1" t="s">
        <v>408</v>
      </c>
      <c r="AF171" s="1" t="s">
        <v>409</v>
      </c>
      <c r="AG171" s="1" t="s">
        <v>410</v>
      </c>
      <c r="AH171" s="1" t="s">
        <v>411</v>
      </c>
    </row>
    <row r="172" spans="1:34" ht="210" x14ac:dyDescent="0.25">
      <c r="A172" s="1">
        <v>53</v>
      </c>
      <c r="B172" s="1" t="str">
        <f t="shared" si="0"/>
        <v>N</v>
      </c>
      <c r="C172" s="1" t="s">
        <v>915</v>
      </c>
      <c r="D172" s="4" t="s">
        <v>1711</v>
      </c>
      <c r="E172" s="1" t="s">
        <v>1618</v>
      </c>
      <c r="F172" s="1" t="s">
        <v>1032</v>
      </c>
      <c r="G172" s="1" t="s">
        <v>994</v>
      </c>
      <c r="H172" s="1">
        <v>200</v>
      </c>
      <c r="I172" s="1" t="s">
        <v>22</v>
      </c>
      <c r="J172" s="1" t="s">
        <v>398</v>
      </c>
      <c r="K172" s="7" t="s">
        <v>23</v>
      </c>
      <c r="L172" s="7" t="s">
        <v>926</v>
      </c>
      <c r="M172" s="7" t="s">
        <v>927</v>
      </c>
      <c r="N172" s="23" t="s">
        <v>921</v>
      </c>
      <c r="O172" s="1" t="s">
        <v>920</v>
      </c>
      <c r="P172" s="7" t="s">
        <v>922</v>
      </c>
      <c r="Q172" s="1" t="s">
        <v>23</v>
      </c>
      <c r="R172" s="1" t="s">
        <v>1812</v>
      </c>
      <c r="S172" s="4" t="s">
        <v>400</v>
      </c>
      <c r="T172" s="7" t="s">
        <v>27</v>
      </c>
      <c r="U172" s="11" t="s">
        <v>923</v>
      </c>
      <c r="V172" s="1" t="s">
        <v>924</v>
      </c>
      <c r="W172" s="1" t="s">
        <v>402</v>
      </c>
      <c r="X172" s="5">
        <v>200061812481</v>
      </c>
      <c r="Y172" s="1" t="s">
        <v>925</v>
      </c>
      <c r="Z172" s="1">
        <v>1</v>
      </c>
      <c r="AA172" s="6" t="s">
        <v>404</v>
      </c>
      <c r="AB172" s="6" t="s">
        <v>405</v>
      </c>
      <c r="AC172" s="6" t="s">
        <v>406</v>
      </c>
      <c r="AD172" s="1" t="s">
        <v>407</v>
      </c>
      <c r="AE172" s="1" t="s">
        <v>408</v>
      </c>
      <c r="AF172" s="1" t="s">
        <v>409</v>
      </c>
      <c r="AG172" s="1" t="s">
        <v>410</v>
      </c>
      <c r="AH172" s="1" t="s">
        <v>411</v>
      </c>
    </row>
    <row r="173" spans="1:34" ht="210" x14ac:dyDescent="0.25">
      <c r="A173" s="1">
        <v>54</v>
      </c>
      <c r="B173" s="1">
        <f t="shared" si="0"/>
        <v>0</v>
      </c>
      <c r="C173" s="1"/>
      <c r="D173" s="4" t="s">
        <v>1712</v>
      </c>
      <c r="E173" s="1" t="s">
        <v>1619</v>
      </c>
      <c r="F173" s="1" t="s">
        <v>1033</v>
      </c>
      <c r="G173" s="1" t="s">
        <v>994</v>
      </c>
      <c r="H173" s="1">
        <v>200</v>
      </c>
      <c r="I173" s="1" t="s">
        <v>22</v>
      </c>
      <c r="J173" s="1" t="s">
        <v>398</v>
      </c>
      <c r="K173" s="7" t="s">
        <v>23</v>
      </c>
      <c r="L173" s="7" t="s">
        <v>926</v>
      </c>
      <c r="M173" s="7" t="s">
        <v>927</v>
      </c>
      <c r="N173" s="23" t="s">
        <v>921</v>
      </c>
      <c r="O173" s="1" t="s">
        <v>920</v>
      </c>
      <c r="P173" s="7" t="s">
        <v>922</v>
      </c>
      <c r="Q173" s="1" t="s">
        <v>23</v>
      </c>
      <c r="R173" s="1" t="s">
        <v>1812</v>
      </c>
      <c r="S173" s="4" t="s">
        <v>400</v>
      </c>
      <c r="T173" s="7" t="s">
        <v>27</v>
      </c>
      <c r="U173" s="11" t="s">
        <v>923</v>
      </c>
      <c r="V173" s="1" t="s">
        <v>924</v>
      </c>
      <c r="W173" s="1" t="s">
        <v>402</v>
      </c>
      <c r="X173" s="5">
        <v>200061812481</v>
      </c>
      <c r="Y173" s="1" t="s">
        <v>925</v>
      </c>
      <c r="Z173" s="1">
        <v>1</v>
      </c>
      <c r="AA173" s="6" t="s">
        <v>404</v>
      </c>
      <c r="AB173" s="6" t="s">
        <v>405</v>
      </c>
      <c r="AC173" s="6" t="s">
        <v>406</v>
      </c>
      <c r="AD173" s="1" t="s">
        <v>407</v>
      </c>
      <c r="AE173" s="1" t="s">
        <v>408</v>
      </c>
      <c r="AF173" s="1" t="s">
        <v>409</v>
      </c>
      <c r="AG173" s="1" t="s">
        <v>410</v>
      </c>
      <c r="AH173" s="1" t="s">
        <v>411</v>
      </c>
    </row>
    <row r="174" spans="1:34" ht="210" x14ac:dyDescent="0.25">
      <c r="A174" s="1">
        <v>55</v>
      </c>
      <c r="B174" s="1">
        <f t="shared" si="0"/>
        <v>0</v>
      </c>
      <c r="C174" s="1"/>
      <c r="D174" s="4" t="s">
        <v>1713</v>
      </c>
      <c r="E174" s="1" t="s">
        <v>1620</v>
      </c>
      <c r="F174" s="1" t="s">
        <v>1034</v>
      </c>
      <c r="G174" s="1" t="s">
        <v>994</v>
      </c>
      <c r="H174" s="1">
        <v>200</v>
      </c>
      <c r="I174" s="1" t="s">
        <v>22</v>
      </c>
      <c r="J174" s="1" t="s">
        <v>398</v>
      </c>
      <c r="K174" s="7" t="s">
        <v>23</v>
      </c>
      <c r="L174" s="7" t="s">
        <v>926</v>
      </c>
      <c r="M174" s="7" t="s">
        <v>927</v>
      </c>
      <c r="N174" s="23" t="s">
        <v>921</v>
      </c>
      <c r="O174" s="1" t="s">
        <v>920</v>
      </c>
      <c r="P174" s="7" t="s">
        <v>922</v>
      </c>
      <c r="Q174" s="1" t="s">
        <v>23</v>
      </c>
      <c r="R174" s="1" t="s">
        <v>1812</v>
      </c>
      <c r="S174" s="4" t="s">
        <v>400</v>
      </c>
      <c r="T174" s="7" t="s">
        <v>27</v>
      </c>
      <c r="U174" s="11" t="s">
        <v>923</v>
      </c>
      <c r="V174" s="1" t="s">
        <v>924</v>
      </c>
      <c r="W174" s="1" t="s">
        <v>402</v>
      </c>
      <c r="X174" s="5">
        <v>200061812481</v>
      </c>
      <c r="Y174" s="1" t="s">
        <v>925</v>
      </c>
      <c r="Z174" s="1">
        <v>1</v>
      </c>
      <c r="AA174" s="6" t="s">
        <v>404</v>
      </c>
      <c r="AB174" s="6" t="s">
        <v>405</v>
      </c>
      <c r="AC174" s="6" t="s">
        <v>406</v>
      </c>
      <c r="AD174" s="1" t="s">
        <v>407</v>
      </c>
      <c r="AE174" s="1" t="s">
        <v>408</v>
      </c>
      <c r="AF174" s="1" t="s">
        <v>409</v>
      </c>
      <c r="AG174" s="1" t="s">
        <v>410</v>
      </c>
      <c r="AH174" s="1" t="s">
        <v>411</v>
      </c>
    </row>
    <row r="175" spans="1:34" ht="210" x14ac:dyDescent="0.25">
      <c r="A175" s="1">
        <v>56</v>
      </c>
      <c r="B175" s="1">
        <f t="shared" si="0"/>
        <v>0</v>
      </c>
      <c r="C175" s="1"/>
      <c r="D175" s="4" t="s">
        <v>1714</v>
      </c>
      <c r="E175" s="1" t="s">
        <v>1621</v>
      </c>
      <c r="F175" s="1" t="s">
        <v>1035</v>
      </c>
      <c r="G175" s="1" t="s">
        <v>994</v>
      </c>
      <c r="H175" s="1">
        <v>200</v>
      </c>
      <c r="I175" s="1" t="s">
        <v>22</v>
      </c>
      <c r="J175" s="1" t="s">
        <v>398</v>
      </c>
      <c r="K175" s="7" t="s">
        <v>23</v>
      </c>
      <c r="L175" s="7" t="s">
        <v>926</v>
      </c>
      <c r="M175" s="7" t="s">
        <v>927</v>
      </c>
      <c r="N175" s="23" t="s">
        <v>921</v>
      </c>
      <c r="O175" s="1" t="s">
        <v>920</v>
      </c>
      <c r="P175" s="7" t="s">
        <v>922</v>
      </c>
      <c r="Q175" s="1" t="s">
        <v>23</v>
      </c>
      <c r="R175" s="1" t="s">
        <v>1812</v>
      </c>
      <c r="S175" s="4" t="s">
        <v>400</v>
      </c>
      <c r="T175" s="7" t="s">
        <v>27</v>
      </c>
      <c r="U175" s="11" t="s">
        <v>923</v>
      </c>
      <c r="V175" s="1" t="s">
        <v>924</v>
      </c>
      <c r="W175" s="1" t="s">
        <v>402</v>
      </c>
      <c r="X175" s="5">
        <v>200061812481</v>
      </c>
      <c r="Y175" s="1" t="s">
        <v>925</v>
      </c>
      <c r="Z175" s="1">
        <v>1</v>
      </c>
      <c r="AA175" s="6" t="s">
        <v>404</v>
      </c>
      <c r="AB175" s="6" t="s">
        <v>405</v>
      </c>
      <c r="AC175" s="6" t="s">
        <v>406</v>
      </c>
      <c r="AD175" s="1" t="s">
        <v>407</v>
      </c>
      <c r="AE175" s="1" t="s">
        <v>408</v>
      </c>
      <c r="AF175" s="1" t="s">
        <v>409</v>
      </c>
      <c r="AG175" s="1" t="s">
        <v>410</v>
      </c>
      <c r="AH175" s="1" t="s">
        <v>411</v>
      </c>
    </row>
    <row r="176" spans="1:34" ht="210" x14ac:dyDescent="0.25">
      <c r="A176" s="1">
        <v>57</v>
      </c>
      <c r="B176" s="1" t="str">
        <f t="shared" si="0"/>
        <v>Y</v>
      </c>
      <c r="C176" s="1" t="s">
        <v>17</v>
      </c>
      <c r="D176" s="4" t="s">
        <v>1715</v>
      </c>
      <c r="E176" s="1" t="s">
        <v>1622</v>
      </c>
      <c r="F176" s="1" t="s">
        <v>1036</v>
      </c>
      <c r="G176" s="1" t="s">
        <v>994</v>
      </c>
      <c r="H176" s="1">
        <v>409</v>
      </c>
      <c r="I176" s="1" t="s">
        <v>22</v>
      </c>
      <c r="J176" s="1" t="s">
        <v>398</v>
      </c>
      <c r="K176" s="7" t="s">
        <v>23</v>
      </c>
      <c r="L176" s="7" t="s">
        <v>926</v>
      </c>
      <c r="M176" s="7" t="s">
        <v>927</v>
      </c>
      <c r="N176" s="23" t="s">
        <v>921</v>
      </c>
      <c r="O176" s="1" t="s">
        <v>920</v>
      </c>
      <c r="P176" s="7" t="s">
        <v>922</v>
      </c>
      <c r="Q176" s="1" t="s">
        <v>23</v>
      </c>
      <c r="R176" s="1" t="s">
        <v>1812</v>
      </c>
      <c r="S176" s="4" t="s">
        <v>400</v>
      </c>
      <c r="T176" s="7" t="s">
        <v>27</v>
      </c>
      <c r="U176" s="11" t="s">
        <v>923</v>
      </c>
      <c r="V176" s="1" t="s">
        <v>924</v>
      </c>
      <c r="W176" s="1" t="s">
        <v>402</v>
      </c>
      <c r="X176" s="5">
        <v>200061812481</v>
      </c>
      <c r="Y176" s="1" t="s">
        <v>925</v>
      </c>
      <c r="Z176" s="1">
        <v>1</v>
      </c>
      <c r="AA176" s="6" t="s">
        <v>404</v>
      </c>
      <c r="AB176" s="6" t="s">
        <v>405</v>
      </c>
      <c r="AC176" s="6" t="s">
        <v>406</v>
      </c>
      <c r="AD176" s="1" t="s">
        <v>407</v>
      </c>
      <c r="AE176" s="1" t="s">
        <v>408</v>
      </c>
      <c r="AF176" s="1" t="s">
        <v>409</v>
      </c>
      <c r="AG176" s="1" t="s">
        <v>410</v>
      </c>
      <c r="AH176" s="1" t="s">
        <v>411</v>
      </c>
    </row>
    <row r="177" spans="1:34" ht="60" x14ac:dyDescent="0.25">
      <c r="A177" s="1">
        <v>58</v>
      </c>
      <c r="B177" s="1">
        <f t="shared" si="0"/>
        <v>0</v>
      </c>
      <c r="C177" s="1"/>
      <c r="D177" s="4" t="s">
        <v>1716</v>
      </c>
      <c r="E177" s="1" t="s">
        <v>1037</v>
      </c>
      <c r="F177" s="1" t="s">
        <v>1038</v>
      </c>
      <c r="G177" s="1" t="s">
        <v>459</v>
      </c>
      <c r="H177" s="1">
        <v>409</v>
      </c>
      <c r="I177" s="1" t="s">
        <v>22</v>
      </c>
      <c r="J177" s="1" t="s">
        <v>398</v>
      </c>
      <c r="K177" s="7" t="s">
        <v>23</v>
      </c>
      <c r="L177" s="7" t="s">
        <v>926</v>
      </c>
      <c r="M177" s="7" t="s">
        <v>927</v>
      </c>
      <c r="N177" s="23" t="s">
        <v>921</v>
      </c>
      <c r="O177" s="1" t="s">
        <v>920</v>
      </c>
      <c r="P177" s="7" t="s">
        <v>922</v>
      </c>
      <c r="Q177" s="1" t="s">
        <v>23</v>
      </c>
      <c r="R177" s="1" t="s">
        <v>1812</v>
      </c>
      <c r="S177" s="4" t="s">
        <v>400</v>
      </c>
      <c r="T177" s="7" t="s">
        <v>27</v>
      </c>
      <c r="U177" s="11" t="s">
        <v>923</v>
      </c>
      <c r="V177" s="1" t="s">
        <v>924</v>
      </c>
      <c r="W177" s="1" t="s">
        <v>402</v>
      </c>
      <c r="X177" s="5">
        <v>200061812481</v>
      </c>
      <c r="Y177" s="1" t="s">
        <v>925</v>
      </c>
      <c r="Z177" s="1">
        <v>1</v>
      </c>
      <c r="AA177" s="6" t="s">
        <v>404</v>
      </c>
      <c r="AB177" s="6" t="s">
        <v>405</v>
      </c>
      <c r="AC177" s="6" t="s">
        <v>406</v>
      </c>
      <c r="AD177" s="1" t="s">
        <v>407</v>
      </c>
      <c r="AE177" s="1" t="s">
        <v>408</v>
      </c>
      <c r="AF177" s="1" t="s">
        <v>409</v>
      </c>
      <c r="AG177" s="1" t="s">
        <v>410</v>
      </c>
      <c r="AH177" s="1" t="s">
        <v>411</v>
      </c>
    </row>
    <row r="178" spans="1:34" ht="60" x14ac:dyDescent="0.25">
      <c r="A178" s="1">
        <v>59</v>
      </c>
      <c r="B178" s="1">
        <f t="shared" si="0"/>
        <v>0</v>
      </c>
      <c r="C178" s="1"/>
      <c r="D178" s="4" t="s">
        <v>1717</v>
      </c>
      <c r="E178" s="1" t="s">
        <v>1039</v>
      </c>
      <c r="F178" s="1" t="s">
        <v>478</v>
      </c>
      <c r="G178" s="1" t="s">
        <v>459</v>
      </c>
      <c r="H178" s="1">
        <v>409</v>
      </c>
      <c r="I178" s="1" t="s">
        <v>22</v>
      </c>
      <c r="J178" s="1" t="s">
        <v>398</v>
      </c>
      <c r="K178" s="7" t="s">
        <v>23</v>
      </c>
      <c r="L178" s="7" t="s">
        <v>926</v>
      </c>
      <c r="M178" s="7" t="s">
        <v>927</v>
      </c>
      <c r="N178" s="23" t="s">
        <v>921</v>
      </c>
      <c r="O178" s="1" t="s">
        <v>920</v>
      </c>
      <c r="P178" s="7" t="s">
        <v>922</v>
      </c>
      <c r="Q178" s="1" t="s">
        <v>23</v>
      </c>
      <c r="R178" s="1" t="s">
        <v>1812</v>
      </c>
      <c r="S178" s="4" t="s">
        <v>400</v>
      </c>
      <c r="T178" s="7" t="s">
        <v>27</v>
      </c>
      <c r="U178" s="11" t="s">
        <v>923</v>
      </c>
      <c r="V178" s="1" t="s">
        <v>924</v>
      </c>
      <c r="W178" s="1" t="s">
        <v>402</v>
      </c>
      <c r="X178" s="5">
        <v>200061812481</v>
      </c>
      <c r="Y178" s="1" t="s">
        <v>925</v>
      </c>
      <c r="Z178" s="1">
        <v>1</v>
      </c>
      <c r="AA178" s="6" t="s">
        <v>404</v>
      </c>
      <c r="AB178" s="6" t="s">
        <v>405</v>
      </c>
      <c r="AC178" s="6" t="s">
        <v>406</v>
      </c>
      <c r="AD178" s="1" t="s">
        <v>407</v>
      </c>
      <c r="AE178" s="1" t="s">
        <v>408</v>
      </c>
      <c r="AF178" s="1" t="s">
        <v>409</v>
      </c>
      <c r="AG178" s="1" t="s">
        <v>410</v>
      </c>
      <c r="AH178" s="1" t="s">
        <v>411</v>
      </c>
    </row>
    <row r="179" spans="1:34" ht="75" x14ac:dyDescent="0.25">
      <c r="A179" s="1">
        <v>60</v>
      </c>
      <c r="B179" s="1">
        <f t="shared" si="0"/>
        <v>0</v>
      </c>
      <c r="C179" s="1"/>
      <c r="D179" s="4" t="s">
        <v>1718</v>
      </c>
      <c r="E179" s="1" t="s">
        <v>1040</v>
      </c>
      <c r="F179" s="1" t="s">
        <v>480</v>
      </c>
      <c r="G179" s="1" t="s">
        <v>1041</v>
      </c>
      <c r="H179" s="1">
        <v>409</v>
      </c>
      <c r="I179" s="1" t="s">
        <v>22</v>
      </c>
      <c r="J179" s="1" t="s">
        <v>398</v>
      </c>
      <c r="K179" s="7" t="s">
        <v>23</v>
      </c>
      <c r="L179" s="7" t="s">
        <v>926</v>
      </c>
      <c r="M179" s="7" t="s">
        <v>927</v>
      </c>
      <c r="N179" s="23" t="s">
        <v>921</v>
      </c>
      <c r="O179" s="1" t="s">
        <v>920</v>
      </c>
      <c r="P179" s="7" t="s">
        <v>922</v>
      </c>
      <c r="Q179" s="1" t="s">
        <v>23</v>
      </c>
      <c r="R179" s="1" t="s">
        <v>1812</v>
      </c>
      <c r="S179" s="4" t="s">
        <v>400</v>
      </c>
      <c r="T179" s="7" t="s">
        <v>27</v>
      </c>
      <c r="U179" s="11" t="s">
        <v>923</v>
      </c>
      <c r="V179" s="1" t="s">
        <v>924</v>
      </c>
      <c r="W179" s="1" t="s">
        <v>402</v>
      </c>
      <c r="X179" s="5">
        <v>200061812481</v>
      </c>
      <c r="Y179" s="1" t="s">
        <v>925</v>
      </c>
      <c r="Z179" s="1">
        <v>1</v>
      </c>
      <c r="AA179" s="6" t="s">
        <v>404</v>
      </c>
      <c r="AB179" s="6" t="s">
        <v>405</v>
      </c>
      <c r="AC179" s="6" t="s">
        <v>406</v>
      </c>
      <c r="AD179" s="1" t="s">
        <v>407</v>
      </c>
      <c r="AE179" s="1" t="s">
        <v>408</v>
      </c>
      <c r="AF179" s="1" t="s">
        <v>409</v>
      </c>
      <c r="AG179" s="1" t="s">
        <v>410</v>
      </c>
      <c r="AH179" s="1" t="s">
        <v>411</v>
      </c>
    </row>
    <row r="180" spans="1:34" ht="75" x14ac:dyDescent="0.25">
      <c r="A180" s="1">
        <v>61</v>
      </c>
      <c r="B180" s="1" t="str">
        <f t="shared" si="0"/>
        <v>Y</v>
      </c>
      <c r="C180" s="1" t="s">
        <v>17</v>
      </c>
      <c r="D180" s="4" t="s">
        <v>1719</v>
      </c>
      <c r="E180" s="1" t="s">
        <v>1042</v>
      </c>
      <c r="F180" s="1" t="s">
        <v>482</v>
      </c>
      <c r="G180" s="1" t="s">
        <v>1043</v>
      </c>
      <c r="H180" s="1">
        <v>200</v>
      </c>
      <c r="I180" s="1" t="s">
        <v>22</v>
      </c>
      <c r="J180" s="1" t="s">
        <v>398</v>
      </c>
      <c r="K180" s="7" t="s">
        <v>23</v>
      </c>
      <c r="L180" s="7" t="s">
        <v>926</v>
      </c>
      <c r="M180" s="7" t="s">
        <v>927</v>
      </c>
      <c r="N180" s="23" t="s">
        <v>921</v>
      </c>
      <c r="O180" s="1" t="s">
        <v>920</v>
      </c>
      <c r="P180" s="7" t="s">
        <v>922</v>
      </c>
      <c r="Q180" s="1" t="s">
        <v>23</v>
      </c>
      <c r="R180" s="1" t="s">
        <v>1812</v>
      </c>
      <c r="S180" s="4" t="s">
        <v>400</v>
      </c>
      <c r="T180" s="7" t="s">
        <v>27</v>
      </c>
      <c r="U180" s="11" t="s">
        <v>923</v>
      </c>
      <c r="V180" s="1" t="s">
        <v>924</v>
      </c>
      <c r="W180" s="1" t="s">
        <v>402</v>
      </c>
      <c r="X180" s="5">
        <v>200061812481</v>
      </c>
      <c r="Y180" s="1" t="s">
        <v>925</v>
      </c>
      <c r="Z180" s="1">
        <v>1</v>
      </c>
      <c r="AA180" s="6" t="s">
        <v>404</v>
      </c>
      <c r="AB180" s="6" t="s">
        <v>405</v>
      </c>
      <c r="AC180" s="6" t="s">
        <v>406</v>
      </c>
      <c r="AD180" s="1" t="s">
        <v>407</v>
      </c>
      <c r="AE180" s="1" t="s">
        <v>408</v>
      </c>
      <c r="AF180" s="1" t="s">
        <v>409</v>
      </c>
      <c r="AG180" s="1" t="s">
        <v>410</v>
      </c>
      <c r="AH180" s="1" t="s">
        <v>411</v>
      </c>
    </row>
    <row r="181" spans="1:34" ht="210" x14ac:dyDescent="0.25">
      <c r="A181" s="1">
        <v>62</v>
      </c>
      <c r="B181" s="1">
        <f t="shared" si="0"/>
        <v>0</v>
      </c>
      <c r="C181" s="1"/>
      <c r="D181" s="4" t="s">
        <v>1720</v>
      </c>
      <c r="E181" s="1" t="s">
        <v>1044</v>
      </c>
      <c r="F181" s="1" t="s">
        <v>1045</v>
      </c>
      <c r="G181" s="1" t="s">
        <v>994</v>
      </c>
      <c r="H181" s="1">
        <v>200</v>
      </c>
      <c r="I181" s="1" t="s">
        <v>22</v>
      </c>
      <c r="J181" s="1" t="s">
        <v>398</v>
      </c>
      <c r="K181" s="7" t="s">
        <v>23</v>
      </c>
      <c r="L181" s="7" t="s">
        <v>926</v>
      </c>
      <c r="M181" s="7" t="s">
        <v>927</v>
      </c>
      <c r="N181" s="23" t="s">
        <v>921</v>
      </c>
      <c r="O181" s="1" t="s">
        <v>920</v>
      </c>
      <c r="P181" s="7" t="s">
        <v>922</v>
      </c>
      <c r="Q181" s="1" t="s">
        <v>23</v>
      </c>
      <c r="R181" s="1" t="s">
        <v>1812</v>
      </c>
      <c r="S181" s="4" t="s">
        <v>400</v>
      </c>
      <c r="T181" s="7" t="s">
        <v>27</v>
      </c>
      <c r="U181" s="11" t="s">
        <v>923</v>
      </c>
      <c r="V181" s="1" t="s">
        <v>924</v>
      </c>
      <c r="W181" s="1" t="s">
        <v>402</v>
      </c>
      <c r="X181" s="5">
        <v>200061812481</v>
      </c>
      <c r="Y181" s="1" t="s">
        <v>925</v>
      </c>
      <c r="Z181" s="1">
        <v>1</v>
      </c>
      <c r="AA181" s="6" t="s">
        <v>404</v>
      </c>
      <c r="AB181" s="6" t="s">
        <v>405</v>
      </c>
      <c r="AC181" s="6" t="s">
        <v>406</v>
      </c>
      <c r="AD181" s="1" t="s">
        <v>407</v>
      </c>
      <c r="AE181" s="1" t="s">
        <v>408</v>
      </c>
      <c r="AF181" s="1" t="s">
        <v>409</v>
      </c>
      <c r="AG181" s="1" t="s">
        <v>410</v>
      </c>
      <c r="AH181" s="1" t="s">
        <v>411</v>
      </c>
    </row>
    <row r="182" spans="1:34" ht="210" x14ac:dyDescent="0.25">
      <c r="A182" s="1">
        <v>63</v>
      </c>
      <c r="B182" s="1" t="str">
        <f t="shared" si="0"/>
        <v>Y</v>
      </c>
      <c r="C182" s="1" t="s">
        <v>17</v>
      </c>
      <c r="D182" s="4" t="s">
        <v>1721</v>
      </c>
      <c r="E182" s="1" t="s">
        <v>1046</v>
      </c>
      <c r="F182" s="1" t="s">
        <v>1047</v>
      </c>
      <c r="G182" s="1" t="s">
        <v>994</v>
      </c>
      <c r="H182" s="1">
        <v>200</v>
      </c>
      <c r="I182" s="1" t="s">
        <v>22</v>
      </c>
      <c r="J182" s="1" t="s">
        <v>398</v>
      </c>
      <c r="K182" s="7" t="s">
        <v>23</v>
      </c>
      <c r="L182" s="7" t="s">
        <v>926</v>
      </c>
      <c r="M182" s="7" t="s">
        <v>927</v>
      </c>
      <c r="N182" s="23" t="s">
        <v>921</v>
      </c>
      <c r="O182" s="1" t="s">
        <v>920</v>
      </c>
      <c r="P182" s="7" t="s">
        <v>922</v>
      </c>
      <c r="Q182" s="1" t="s">
        <v>23</v>
      </c>
      <c r="R182" s="1" t="s">
        <v>1812</v>
      </c>
      <c r="S182" s="4" t="s">
        <v>400</v>
      </c>
      <c r="T182" s="7" t="s">
        <v>27</v>
      </c>
      <c r="U182" s="11" t="s">
        <v>923</v>
      </c>
      <c r="V182" s="1" t="s">
        <v>924</v>
      </c>
      <c r="W182" s="1" t="s">
        <v>402</v>
      </c>
      <c r="X182" s="5">
        <v>200061812481</v>
      </c>
      <c r="Y182" s="1" t="s">
        <v>925</v>
      </c>
      <c r="Z182" s="1">
        <v>1</v>
      </c>
      <c r="AA182" s="6" t="s">
        <v>404</v>
      </c>
      <c r="AB182" s="6" t="s">
        <v>405</v>
      </c>
      <c r="AC182" s="6" t="s">
        <v>406</v>
      </c>
      <c r="AD182" s="1" t="s">
        <v>407</v>
      </c>
      <c r="AE182" s="1" t="s">
        <v>408</v>
      </c>
      <c r="AF182" s="1" t="s">
        <v>409</v>
      </c>
      <c r="AG182" s="1" t="s">
        <v>410</v>
      </c>
      <c r="AH182" s="1" t="s">
        <v>411</v>
      </c>
    </row>
    <row r="183" spans="1:34" ht="210" x14ac:dyDescent="0.25">
      <c r="A183" s="1">
        <v>64</v>
      </c>
      <c r="B183" s="1" t="str">
        <f t="shared" si="0"/>
        <v>Y</v>
      </c>
      <c r="C183" s="1" t="s">
        <v>17</v>
      </c>
      <c r="D183" s="4" t="s">
        <v>1722</v>
      </c>
      <c r="E183" s="1" t="s">
        <v>1048</v>
      </c>
      <c r="F183" s="1" t="s">
        <v>1049</v>
      </c>
      <c r="G183" s="1" t="s">
        <v>994</v>
      </c>
      <c r="H183" s="1">
        <v>200</v>
      </c>
      <c r="I183" s="1" t="s">
        <v>22</v>
      </c>
      <c r="J183" s="1" t="s">
        <v>398</v>
      </c>
      <c r="K183" s="7" t="s">
        <v>23</v>
      </c>
      <c r="L183" s="7" t="s">
        <v>926</v>
      </c>
      <c r="M183" s="7" t="s">
        <v>927</v>
      </c>
      <c r="N183" s="23" t="s">
        <v>921</v>
      </c>
      <c r="O183" s="1" t="s">
        <v>920</v>
      </c>
      <c r="P183" s="7" t="s">
        <v>922</v>
      </c>
      <c r="Q183" s="1" t="s">
        <v>23</v>
      </c>
      <c r="R183" s="1" t="s">
        <v>1812</v>
      </c>
      <c r="S183" s="4" t="s">
        <v>400</v>
      </c>
      <c r="T183" s="7" t="s">
        <v>27</v>
      </c>
      <c r="U183" s="11" t="s">
        <v>923</v>
      </c>
      <c r="V183" s="1" t="s">
        <v>924</v>
      </c>
      <c r="W183" s="1" t="s">
        <v>402</v>
      </c>
      <c r="X183" s="5">
        <v>200061812481</v>
      </c>
      <c r="Y183" s="1" t="s">
        <v>925</v>
      </c>
      <c r="Z183" s="1">
        <v>1</v>
      </c>
      <c r="AA183" s="6" t="s">
        <v>404</v>
      </c>
      <c r="AB183" s="6" t="s">
        <v>405</v>
      </c>
      <c r="AC183" s="6" t="s">
        <v>406</v>
      </c>
      <c r="AD183" s="1" t="s">
        <v>407</v>
      </c>
      <c r="AE183" s="1" t="s">
        <v>408</v>
      </c>
      <c r="AF183" s="1" t="s">
        <v>409</v>
      </c>
      <c r="AG183" s="1" t="s">
        <v>410</v>
      </c>
      <c r="AH183" s="1" t="s">
        <v>411</v>
      </c>
    </row>
    <row r="184" spans="1:34" ht="210" x14ac:dyDescent="0.25">
      <c r="A184" s="1">
        <v>65</v>
      </c>
      <c r="B184" s="1" t="str">
        <f t="shared" si="0"/>
        <v>Y</v>
      </c>
      <c r="C184" s="1" t="s">
        <v>17</v>
      </c>
      <c r="D184" s="4" t="s">
        <v>1723</v>
      </c>
      <c r="E184" s="1" t="s">
        <v>1050</v>
      </c>
      <c r="F184" s="1" t="s">
        <v>1051</v>
      </c>
      <c r="G184" s="1" t="s">
        <v>994</v>
      </c>
      <c r="H184" s="1"/>
      <c r="I184" s="1" t="s">
        <v>22</v>
      </c>
      <c r="J184" s="1" t="s">
        <v>398</v>
      </c>
      <c r="K184" s="7" t="s">
        <v>23</v>
      </c>
      <c r="L184" s="7" t="s">
        <v>926</v>
      </c>
      <c r="M184" s="7" t="s">
        <v>927</v>
      </c>
      <c r="N184" s="23" t="s">
        <v>921</v>
      </c>
      <c r="O184" s="1" t="s">
        <v>920</v>
      </c>
      <c r="P184" s="7" t="s">
        <v>922</v>
      </c>
      <c r="Q184" s="1" t="s">
        <v>23</v>
      </c>
      <c r="R184" s="1" t="s">
        <v>1812</v>
      </c>
      <c r="S184" s="4" t="s">
        <v>400</v>
      </c>
      <c r="T184" s="7" t="s">
        <v>27</v>
      </c>
      <c r="U184" s="11" t="s">
        <v>923</v>
      </c>
      <c r="V184" s="1" t="s">
        <v>924</v>
      </c>
      <c r="W184" s="1" t="s">
        <v>402</v>
      </c>
      <c r="X184" s="5">
        <v>200061812481</v>
      </c>
      <c r="Y184" s="1" t="s">
        <v>925</v>
      </c>
      <c r="Z184" s="1">
        <v>1</v>
      </c>
      <c r="AA184" s="6" t="s">
        <v>404</v>
      </c>
      <c r="AB184" s="6" t="s">
        <v>405</v>
      </c>
      <c r="AC184" s="6" t="s">
        <v>406</v>
      </c>
      <c r="AD184" s="1" t="s">
        <v>407</v>
      </c>
      <c r="AE184" s="1" t="s">
        <v>408</v>
      </c>
      <c r="AF184" s="1" t="s">
        <v>409</v>
      </c>
      <c r="AG184" s="1" t="s">
        <v>410</v>
      </c>
      <c r="AH184" s="1" t="s">
        <v>411</v>
      </c>
    </row>
    <row r="185" spans="1:34" ht="210" x14ac:dyDescent="0.25">
      <c r="A185" s="1">
        <v>66</v>
      </c>
      <c r="B185" s="1">
        <f t="shared" ref="B185:B219" si="1">C185</f>
        <v>0</v>
      </c>
      <c r="C185" s="1"/>
      <c r="D185" s="4" t="s">
        <v>1724</v>
      </c>
      <c r="E185" s="1" t="s">
        <v>1052</v>
      </c>
      <c r="F185" s="1" t="s">
        <v>484</v>
      </c>
      <c r="G185" s="1" t="s">
        <v>994</v>
      </c>
      <c r="H185" s="1">
        <v>200</v>
      </c>
      <c r="I185" s="1" t="s">
        <v>22</v>
      </c>
      <c r="J185" s="1" t="s">
        <v>398</v>
      </c>
      <c r="K185" s="7" t="s">
        <v>23</v>
      </c>
      <c r="L185" s="7" t="s">
        <v>926</v>
      </c>
      <c r="M185" s="7" t="s">
        <v>927</v>
      </c>
      <c r="N185" s="23" t="s">
        <v>921</v>
      </c>
      <c r="O185" s="1" t="s">
        <v>920</v>
      </c>
      <c r="P185" s="7" t="s">
        <v>922</v>
      </c>
      <c r="Q185" s="1" t="s">
        <v>23</v>
      </c>
      <c r="R185" s="1" t="s">
        <v>1812</v>
      </c>
      <c r="S185" s="4" t="s">
        <v>400</v>
      </c>
      <c r="T185" s="7" t="s">
        <v>27</v>
      </c>
      <c r="U185" s="11" t="s">
        <v>923</v>
      </c>
      <c r="V185" s="1" t="s">
        <v>924</v>
      </c>
      <c r="W185" s="1" t="s">
        <v>402</v>
      </c>
      <c r="X185" s="5">
        <v>200061812481</v>
      </c>
      <c r="Y185" s="1" t="s">
        <v>925</v>
      </c>
      <c r="Z185" s="1">
        <v>1</v>
      </c>
      <c r="AA185" s="6" t="s">
        <v>404</v>
      </c>
      <c r="AB185" s="6" t="s">
        <v>405</v>
      </c>
      <c r="AC185" s="6" t="s">
        <v>406</v>
      </c>
      <c r="AD185" s="1" t="s">
        <v>407</v>
      </c>
      <c r="AE185" s="1" t="s">
        <v>408</v>
      </c>
      <c r="AF185" s="1" t="s">
        <v>409</v>
      </c>
      <c r="AG185" s="1" t="s">
        <v>410</v>
      </c>
      <c r="AH185" s="1" t="s">
        <v>411</v>
      </c>
    </row>
    <row r="186" spans="1:34" ht="210" x14ac:dyDescent="0.25">
      <c r="A186" s="1">
        <v>67</v>
      </c>
      <c r="B186" s="1" t="str">
        <f t="shared" si="1"/>
        <v>Y</v>
      </c>
      <c r="C186" s="1" t="s">
        <v>17</v>
      </c>
      <c r="D186" s="4" t="s">
        <v>1725</v>
      </c>
      <c r="E186" s="1" t="s">
        <v>1053</v>
      </c>
      <c r="F186" s="1" t="s">
        <v>486</v>
      </c>
      <c r="G186" s="1" t="s">
        <v>994</v>
      </c>
      <c r="H186" s="1">
        <v>200</v>
      </c>
      <c r="I186" s="1" t="s">
        <v>22</v>
      </c>
      <c r="J186" s="1" t="s">
        <v>398</v>
      </c>
      <c r="K186" s="7" t="s">
        <v>23</v>
      </c>
      <c r="L186" s="7" t="s">
        <v>926</v>
      </c>
      <c r="M186" s="7" t="s">
        <v>927</v>
      </c>
      <c r="N186" s="23" t="s">
        <v>921</v>
      </c>
      <c r="O186" s="1" t="s">
        <v>920</v>
      </c>
      <c r="P186" s="7" t="s">
        <v>922</v>
      </c>
      <c r="Q186" s="1" t="s">
        <v>23</v>
      </c>
      <c r="R186" s="1" t="s">
        <v>1812</v>
      </c>
      <c r="S186" s="4" t="s">
        <v>400</v>
      </c>
      <c r="T186" s="7" t="s">
        <v>27</v>
      </c>
      <c r="U186" s="11" t="s">
        <v>923</v>
      </c>
      <c r="V186" s="1" t="s">
        <v>924</v>
      </c>
      <c r="W186" s="1" t="s">
        <v>402</v>
      </c>
      <c r="X186" s="5">
        <v>200061812481</v>
      </c>
      <c r="Y186" s="1" t="s">
        <v>925</v>
      </c>
      <c r="Z186" s="1">
        <v>1</v>
      </c>
      <c r="AA186" s="6" t="s">
        <v>404</v>
      </c>
      <c r="AB186" s="6" t="s">
        <v>405</v>
      </c>
      <c r="AC186" s="6" t="s">
        <v>406</v>
      </c>
      <c r="AD186" s="1" t="s">
        <v>407</v>
      </c>
      <c r="AE186" s="1" t="s">
        <v>408</v>
      </c>
      <c r="AF186" s="1" t="s">
        <v>409</v>
      </c>
      <c r="AG186" s="1" t="s">
        <v>410</v>
      </c>
      <c r="AH186" s="1" t="s">
        <v>411</v>
      </c>
    </row>
    <row r="187" spans="1:34" ht="210" x14ac:dyDescent="0.25">
      <c r="A187" s="1">
        <v>68</v>
      </c>
      <c r="B187" s="1" t="str">
        <f t="shared" si="1"/>
        <v>Y</v>
      </c>
      <c r="C187" s="1" t="s">
        <v>17</v>
      </c>
      <c r="D187" s="4" t="s">
        <v>1726</v>
      </c>
      <c r="E187" s="1" t="s">
        <v>1054</v>
      </c>
      <c r="F187" s="1" t="s">
        <v>488</v>
      </c>
      <c r="G187" s="1" t="s">
        <v>994</v>
      </c>
      <c r="H187" s="1">
        <v>200</v>
      </c>
      <c r="I187" s="1" t="s">
        <v>22</v>
      </c>
      <c r="J187" s="1" t="s">
        <v>398</v>
      </c>
      <c r="K187" s="7" t="s">
        <v>23</v>
      </c>
      <c r="L187" s="7" t="s">
        <v>926</v>
      </c>
      <c r="M187" s="7" t="s">
        <v>927</v>
      </c>
      <c r="N187" s="23" t="s">
        <v>921</v>
      </c>
      <c r="O187" s="1" t="s">
        <v>920</v>
      </c>
      <c r="P187" s="7" t="s">
        <v>922</v>
      </c>
      <c r="Q187" s="1" t="s">
        <v>23</v>
      </c>
      <c r="R187" s="1" t="s">
        <v>1812</v>
      </c>
      <c r="S187" s="4" t="s">
        <v>400</v>
      </c>
      <c r="T187" s="7" t="s">
        <v>27</v>
      </c>
      <c r="U187" s="11" t="s">
        <v>923</v>
      </c>
      <c r="V187" s="1" t="s">
        <v>924</v>
      </c>
      <c r="W187" s="1" t="s">
        <v>402</v>
      </c>
      <c r="X187" s="5">
        <v>200061812481</v>
      </c>
      <c r="Y187" s="1" t="s">
        <v>925</v>
      </c>
      <c r="Z187" s="1">
        <v>1</v>
      </c>
      <c r="AA187" s="6" t="s">
        <v>404</v>
      </c>
      <c r="AB187" s="6" t="s">
        <v>405</v>
      </c>
      <c r="AC187" s="6" t="s">
        <v>406</v>
      </c>
      <c r="AD187" s="1" t="s">
        <v>407</v>
      </c>
      <c r="AE187" s="1" t="s">
        <v>408</v>
      </c>
      <c r="AF187" s="1" t="s">
        <v>409</v>
      </c>
      <c r="AG187" s="1" t="s">
        <v>410</v>
      </c>
      <c r="AH187" s="1" t="s">
        <v>411</v>
      </c>
    </row>
    <row r="188" spans="1:34" ht="210" x14ac:dyDescent="0.25">
      <c r="A188" s="1">
        <v>69</v>
      </c>
      <c r="B188" s="1" t="str">
        <f t="shared" si="1"/>
        <v>Y</v>
      </c>
      <c r="C188" s="1" t="s">
        <v>17</v>
      </c>
      <c r="D188" s="4" t="s">
        <v>1727</v>
      </c>
      <c r="E188" s="1" t="s">
        <v>1055</v>
      </c>
      <c r="F188" s="1" t="s">
        <v>490</v>
      </c>
      <c r="G188" s="1" t="s">
        <v>994</v>
      </c>
      <c r="H188" s="1">
        <v>200</v>
      </c>
      <c r="I188" s="1" t="s">
        <v>22</v>
      </c>
      <c r="J188" s="1" t="s">
        <v>398</v>
      </c>
      <c r="K188" s="7" t="s">
        <v>23</v>
      </c>
      <c r="L188" s="7" t="s">
        <v>926</v>
      </c>
      <c r="M188" s="7" t="s">
        <v>927</v>
      </c>
      <c r="N188" s="23" t="s">
        <v>921</v>
      </c>
      <c r="O188" s="1" t="s">
        <v>920</v>
      </c>
      <c r="P188" s="7" t="s">
        <v>922</v>
      </c>
      <c r="Q188" s="1" t="s">
        <v>23</v>
      </c>
      <c r="R188" s="1" t="s">
        <v>1812</v>
      </c>
      <c r="S188" s="4" t="s">
        <v>400</v>
      </c>
      <c r="T188" s="7" t="s">
        <v>27</v>
      </c>
      <c r="U188" s="11" t="s">
        <v>923</v>
      </c>
      <c r="V188" s="1" t="s">
        <v>924</v>
      </c>
      <c r="W188" s="1" t="s">
        <v>402</v>
      </c>
      <c r="X188" s="5">
        <v>200061812481</v>
      </c>
      <c r="Y188" s="1" t="s">
        <v>925</v>
      </c>
      <c r="Z188" s="1">
        <v>1</v>
      </c>
      <c r="AA188" s="6" t="s">
        <v>404</v>
      </c>
      <c r="AB188" s="6" t="s">
        <v>405</v>
      </c>
      <c r="AC188" s="6" t="s">
        <v>406</v>
      </c>
      <c r="AD188" s="1" t="s">
        <v>407</v>
      </c>
      <c r="AE188" s="1" t="s">
        <v>408</v>
      </c>
      <c r="AF188" s="1" t="s">
        <v>409</v>
      </c>
      <c r="AG188" s="1" t="s">
        <v>410</v>
      </c>
      <c r="AH188" s="1" t="s">
        <v>411</v>
      </c>
    </row>
    <row r="189" spans="1:34" ht="60" x14ac:dyDescent="0.25">
      <c r="A189" s="1">
        <v>70</v>
      </c>
      <c r="B189" s="1">
        <f t="shared" si="1"/>
        <v>0</v>
      </c>
      <c r="C189" s="1"/>
      <c r="D189" s="4" t="s">
        <v>1728</v>
      </c>
      <c r="E189" s="1" t="s">
        <v>1056</v>
      </c>
      <c r="F189" s="1" t="s">
        <v>493</v>
      </c>
      <c r="G189" s="1" t="s">
        <v>1057</v>
      </c>
      <c r="H189" s="1">
        <v>200</v>
      </c>
      <c r="I189" s="1" t="s">
        <v>22</v>
      </c>
      <c r="J189" s="1" t="s">
        <v>398</v>
      </c>
      <c r="K189" s="7" t="s">
        <v>23</v>
      </c>
      <c r="L189" s="7" t="s">
        <v>926</v>
      </c>
      <c r="M189" s="7" t="s">
        <v>927</v>
      </c>
      <c r="N189" s="23" t="s">
        <v>921</v>
      </c>
      <c r="O189" s="1" t="s">
        <v>920</v>
      </c>
      <c r="P189" s="7" t="s">
        <v>922</v>
      </c>
      <c r="Q189" s="1" t="s">
        <v>23</v>
      </c>
      <c r="R189" s="1" t="s">
        <v>1812</v>
      </c>
      <c r="S189" s="4" t="s">
        <v>400</v>
      </c>
      <c r="T189" s="7" t="s">
        <v>27</v>
      </c>
      <c r="U189" s="11" t="s">
        <v>923</v>
      </c>
      <c r="V189" s="1" t="s">
        <v>924</v>
      </c>
      <c r="W189" s="1" t="s">
        <v>402</v>
      </c>
      <c r="X189" s="5">
        <v>200061812481</v>
      </c>
      <c r="Y189" s="1" t="s">
        <v>925</v>
      </c>
      <c r="Z189" s="1">
        <v>1</v>
      </c>
      <c r="AA189" s="6" t="s">
        <v>404</v>
      </c>
      <c r="AB189" s="6" t="s">
        <v>405</v>
      </c>
      <c r="AC189" s="6" t="s">
        <v>406</v>
      </c>
      <c r="AD189" s="1" t="s">
        <v>407</v>
      </c>
      <c r="AE189" s="1" t="s">
        <v>408</v>
      </c>
      <c r="AF189" s="1" t="s">
        <v>409</v>
      </c>
      <c r="AG189" s="1" t="s">
        <v>410</v>
      </c>
      <c r="AH189" s="1" t="s">
        <v>411</v>
      </c>
    </row>
    <row r="190" spans="1:34" ht="60" x14ac:dyDescent="0.25">
      <c r="A190" s="1">
        <v>71</v>
      </c>
      <c r="B190" s="1" t="str">
        <f t="shared" si="1"/>
        <v>Y</v>
      </c>
      <c r="C190" s="1" t="s">
        <v>17</v>
      </c>
      <c r="D190" s="4" t="s">
        <v>1729</v>
      </c>
      <c r="E190" s="1" t="s">
        <v>1058</v>
      </c>
      <c r="F190" s="1" t="s">
        <v>496</v>
      </c>
      <c r="G190" s="1" t="s">
        <v>1057</v>
      </c>
      <c r="H190" s="1">
        <v>200</v>
      </c>
      <c r="I190" s="1" t="s">
        <v>22</v>
      </c>
      <c r="J190" s="1" t="s">
        <v>398</v>
      </c>
      <c r="K190" s="7" t="s">
        <v>23</v>
      </c>
      <c r="L190" s="7" t="s">
        <v>926</v>
      </c>
      <c r="M190" s="7" t="s">
        <v>927</v>
      </c>
      <c r="N190" s="23" t="s">
        <v>921</v>
      </c>
      <c r="O190" s="1" t="s">
        <v>920</v>
      </c>
      <c r="P190" s="7" t="s">
        <v>922</v>
      </c>
      <c r="Q190" s="1" t="s">
        <v>23</v>
      </c>
      <c r="R190" s="1" t="s">
        <v>1812</v>
      </c>
      <c r="S190" s="4" t="s">
        <v>400</v>
      </c>
      <c r="T190" s="7" t="s">
        <v>27</v>
      </c>
      <c r="U190" s="11" t="s">
        <v>923</v>
      </c>
      <c r="V190" s="1" t="s">
        <v>924</v>
      </c>
      <c r="W190" s="1" t="s">
        <v>402</v>
      </c>
      <c r="X190" s="5">
        <v>200061812481</v>
      </c>
      <c r="Y190" s="1" t="s">
        <v>925</v>
      </c>
      <c r="Z190" s="1">
        <v>1</v>
      </c>
      <c r="AA190" s="6" t="s">
        <v>404</v>
      </c>
      <c r="AB190" s="6" t="s">
        <v>405</v>
      </c>
      <c r="AC190" s="6" t="s">
        <v>406</v>
      </c>
      <c r="AD190" s="1" t="s">
        <v>407</v>
      </c>
      <c r="AE190" s="1" t="s">
        <v>408</v>
      </c>
      <c r="AF190" s="1" t="s">
        <v>409</v>
      </c>
      <c r="AG190" s="1" t="s">
        <v>410</v>
      </c>
      <c r="AH190" s="1" t="s">
        <v>411</v>
      </c>
    </row>
    <row r="191" spans="1:34" ht="60" x14ac:dyDescent="0.25">
      <c r="A191" s="1">
        <v>72</v>
      </c>
      <c r="B191" s="1" t="str">
        <f t="shared" si="1"/>
        <v>Y</v>
      </c>
      <c r="C191" s="1" t="s">
        <v>17</v>
      </c>
      <c r="D191" s="4" t="s">
        <v>1730</v>
      </c>
      <c r="E191" s="1" t="s">
        <v>1059</v>
      </c>
      <c r="F191" s="1" t="s">
        <v>498</v>
      </c>
      <c r="G191" s="1" t="s">
        <v>1057</v>
      </c>
      <c r="H191" s="1">
        <v>200</v>
      </c>
      <c r="I191" s="1" t="s">
        <v>22</v>
      </c>
      <c r="J191" s="1" t="s">
        <v>398</v>
      </c>
      <c r="K191" s="7" t="s">
        <v>23</v>
      </c>
      <c r="L191" s="7" t="s">
        <v>926</v>
      </c>
      <c r="M191" s="7" t="s">
        <v>927</v>
      </c>
      <c r="N191" s="23" t="s">
        <v>921</v>
      </c>
      <c r="O191" s="1" t="s">
        <v>920</v>
      </c>
      <c r="P191" s="7" t="s">
        <v>922</v>
      </c>
      <c r="Q191" s="1" t="s">
        <v>23</v>
      </c>
      <c r="R191" s="1" t="s">
        <v>1812</v>
      </c>
      <c r="S191" s="4" t="s">
        <v>400</v>
      </c>
      <c r="T191" s="7" t="s">
        <v>27</v>
      </c>
      <c r="U191" s="11" t="s">
        <v>923</v>
      </c>
      <c r="V191" s="1" t="s">
        <v>924</v>
      </c>
      <c r="W191" s="1" t="s">
        <v>402</v>
      </c>
      <c r="X191" s="5">
        <v>200061812481</v>
      </c>
      <c r="Y191" s="1" t="s">
        <v>925</v>
      </c>
      <c r="Z191" s="1">
        <v>1</v>
      </c>
      <c r="AA191" s="6" t="s">
        <v>404</v>
      </c>
      <c r="AB191" s="6" t="s">
        <v>405</v>
      </c>
      <c r="AC191" s="6" t="s">
        <v>406</v>
      </c>
      <c r="AD191" s="1" t="s">
        <v>407</v>
      </c>
      <c r="AE191" s="1" t="s">
        <v>408</v>
      </c>
      <c r="AF191" s="1" t="s">
        <v>409</v>
      </c>
      <c r="AG191" s="1" t="s">
        <v>410</v>
      </c>
      <c r="AH191" s="1" t="s">
        <v>411</v>
      </c>
    </row>
    <row r="192" spans="1:34" ht="60" x14ac:dyDescent="0.25">
      <c r="A192" s="1">
        <v>73</v>
      </c>
      <c r="B192" s="1" t="str">
        <f t="shared" si="1"/>
        <v>Y</v>
      </c>
      <c r="C192" s="1" t="s">
        <v>17</v>
      </c>
      <c r="D192" s="4" t="s">
        <v>1731</v>
      </c>
      <c r="E192" s="1" t="s">
        <v>1060</v>
      </c>
      <c r="F192" s="1" t="s">
        <v>500</v>
      </c>
      <c r="G192" s="1" t="s">
        <v>1057</v>
      </c>
      <c r="H192" s="1">
        <v>200</v>
      </c>
      <c r="I192" s="1" t="s">
        <v>22</v>
      </c>
      <c r="J192" s="1" t="s">
        <v>398</v>
      </c>
      <c r="K192" s="7" t="s">
        <v>23</v>
      </c>
      <c r="L192" s="7" t="s">
        <v>926</v>
      </c>
      <c r="M192" s="7" t="s">
        <v>927</v>
      </c>
      <c r="N192" s="23" t="s">
        <v>921</v>
      </c>
      <c r="O192" s="1" t="s">
        <v>920</v>
      </c>
      <c r="P192" s="7" t="s">
        <v>922</v>
      </c>
      <c r="Q192" s="1" t="s">
        <v>23</v>
      </c>
      <c r="R192" s="1" t="s">
        <v>1812</v>
      </c>
      <c r="S192" s="4" t="s">
        <v>400</v>
      </c>
      <c r="T192" s="7" t="s">
        <v>27</v>
      </c>
      <c r="U192" s="11" t="s">
        <v>923</v>
      </c>
      <c r="V192" s="1" t="s">
        <v>924</v>
      </c>
      <c r="W192" s="1" t="s">
        <v>402</v>
      </c>
      <c r="X192" s="5">
        <v>200061812481</v>
      </c>
      <c r="Y192" s="1" t="s">
        <v>925</v>
      </c>
      <c r="Z192" s="1">
        <v>1</v>
      </c>
      <c r="AA192" s="6" t="s">
        <v>404</v>
      </c>
      <c r="AB192" s="6" t="s">
        <v>405</v>
      </c>
      <c r="AC192" s="6" t="s">
        <v>406</v>
      </c>
      <c r="AD192" s="1" t="s">
        <v>407</v>
      </c>
      <c r="AE192" s="1" t="s">
        <v>408</v>
      </c>
      <c r="AF192" s="1" t="s">
        <v>409</v>
      </c>
      <c r="AG192" s="1" t="s">
        <v>410</v>
      </c>
      <c r="AH192" s="1" t="s">
        <v>411</v>
      </c>
    </row>
    <row r="193" spans="1:34" ht="60" x14ac:dyDescent="0.25">
      <c r="A193" s="1">
        <v>74</v>
      </c>
      <c r="B193" s="1">
        <f t="shared" si="1"/>
        <v>0</v>
      </c>
      <c r="C193" s="1"/>
      <c r="D193" s="4" t="s">
        <v>1732</v>
      </c>
      <c r="E193" s="1" t="s">
        <v>1061</v>
      </c>
      <c r="F193" s="1" t="s">
        <v>502</v>
      </c>
      <c r="G193" s="1" t="s">
        <v>459</v>
      </c>
      <c r="H193" s="1">
        <v>200</v>
      </c>
      <c r="I193" s="1" t="s">
        <v>22</v>
      </c>
      <c r="J193" s="1" t="s">
        <v>398</v>
      </c>
      <c r="K193" s="7" t="s">
        <v>23</v>
      </c>
      <c r="L193" s="7" t="s">
        <v>926</v>
      </c>
      <c r="M193" s="7" t="s">
        <v>927</v>
      </c>
      <c r="N193" s="23" t="s">
        <v>921</v>
      </c>
      <c r="O193" s="1" t="s">
        <v>920</v>
      </c>
      <c r="P193" s="7" t="s">
        <v>922</v>
      </c>
      <c r="Q193" s="1" t="s">
        <v>23</v>
      </c>
      <c r="R193" s="1" t="s">
        <v>1812</v>
      </c>
      <c r="S193" s="4" t="s">
        <v>400</v>
      </c>
      <c r="T193" s="7" t="s">
        <v>27</v>
      </c>
      <c r="U193" s="11" t="s">
        <v>923</v>
      </c>
      <c r="V193" s="1" t="s">
        <v>924</v>
      </c>
      <c r="W193" s="1" t="s">
        <v>402</v>
      </c>
      <c r="X193" s="5">
        <v>200061812481</v>
      </c>
      <c r="Y193" s="1" t="s">
        <v>925</v>
      </c>
      <c r="Z193" s="1">
        <v>1</v>
      </c>
      <c r="AA193" s="6" t="s">
        <v>404</v>
      </c>
      <c r="AB193" s="6" t="s">
        <v>405</v>
      </c>
      <c r="AC193" s="6" t="s">
        <v>406</v>
      </c>
      <c r="AD193" s="1" t="s">
        <v>407</v>
      </c>
      <c r="AE193" s="1" t="s">
        <v>408</v>
      </c>
      <c r="AF193" s="1" t="s">
        <v>409</v>
      </c>
      <c r="AG193" s="1" t="s">
        <v>410</v>
      </c>
      <c r="AH193" s="1" t="s">
        <v>411</v>
      </c>
    </row>
    <row r="194" spans="1:34" ht="60" x14ac:dyDescent="0.25">
      <c r="A194" s="1">
        <v>75</v>
      </c>
      <c r="B194" s="1" t="str">
        <f t="shared" si="1"/>
        <v>Y</v>
      </c>
      <c r="C194" s="1" t="s">
        <v>17</v>
      </c>
      <c r="D194" s="4" t="s">
        <v>1733</v>
      </c>
      <c r="E194" s="1" t="s">
        <v>1062</v>
      </c>
      <c r="F194" s="1" t="s">
        <v>504</v>
      </c>
      <c r="G194" s="1" t="s">
        <v>459</v>
      </c>
      <c r="H194" s="1">
        <v>200</v>
      </c>
      <c r="I194" s="1" t="s">
        <v>22</v>
      </c>
      <c r="J194" s="1" t="s">
        <v>398</v>
      </c>
      <c r="K194" s="7" t="s">
        <v>23</v>
      </c>
      <c r="L194" s="7" t="s">
        <v>926</v>
      </c>
      <c r="M194" s="7" t="s">
        <v>927</v>
      </c>
      <c r="N194" s="23" t="s">
        <v>921</v>
      </c>
      <c r="O194" s="1" t="s">
        <v>920</v>
      </c>
      <c r="P194" s="7" t="s">
        <v>922</v>
      </c>
      <c r="Q194" s="1" t="s">
        <v>23</v>
      </c>
      <c r="R194" s="1" t="s">
        <v>1812</v>
      </c>
      <c r="S194" s="4" t="s">
        <v>400</v>
      </c>
      <c r="T194" s="7" t="s">
        <v>27</v>
      </c>
      <c r="U194" s="11" t="s">
        <v>923</v>
      </c>
      <c r="V194" s="1" t="s">
        <v>924</v>
      </c>
      <c r="W194" s="1" t="s">
        <v>402</v>
      </c>
      <c r="X194" s="5">
        <v>200061812481</v>
      </c>
      <c r="Y194" s="1" t="s">
        <v>925</v>
      </c>
      <c r="Z194" s="1">
        <v>1</v>
      </c>
      <c r="AA194" s="6" t="s">
        <v>404</v>
      </c>
      <c r="AB194" s="6" t="s">
        <v>405</v>
      </c>
      <c r="AC194" s="6" t="s">
        <v>406</v>
      </c>
      <c r="AD194" s="1" t="s">
        <v>407</v>
      </c>
      <c r="AE194" s="1" t="s">
        <v>408</v>
      </c>
      <c r="AF194" s="1" t="s">
        <v>409</v>
      </c>
      <c r="AG194" s="1" t="s">
        <v>410</v>
      </c>
      <c r="AH194" s="1" t="s">
        <v>411</v>
      </c>
    </row>
    <row r="195" spans="1:34" ht="60" x14ac:dyDescent="0.25">
      <c r="A195" s="1">
        <v>76</v>
      </c>
      <c r="B195" s="1" t="str">
        <f t="shared" si="1"/>
        <v>Y</v>
      </c>
      <c r="C195" s="1" t="s">
        <v>17</v>
      </c>
      <c r="D195" s="4" t="s">
        <v>1734</v>
      </c>
      <c r="E195" s="1" t="s">
        <v>1063</v>
      </c>
      <c r="F195" s="1" t="s">
        <v>506</v>
      </c>
      <c r="G195" s="1" t="s">
        <v>459</v>
      </c>
      <c r="H195" s="1">
        <v>200</v>
      </c>
      <c r="I195" s="1" t="s">
        <v>22</v>
      </c>
      <c r="J195" s="1" t="s">
        <v>398</v>
      </c>
      <c r="K195" s="7" t="s">
        <v>23</v>
      </c>
      <c r="L195" s="7" t="s">
        <v>926</v>
      </c>
      <c r="M195" s="7" t="s">
        <v>927</v>
      </c>
      <c r="N195" s="23" t="s">
        <v>921</v>
      </c>
      <c r="O195" s="1" t="s">
        <v>920</v>
      </c>
      <c r="P195" s="7" t="s">
        <v>922</v>
      </c>
      <c r="Q195" s="1" t="s">
        <v>23</v>
      </c>
      <c r="R195" s="1" t="s">
        <v>1812</v>
      </c>
      <c r="S195" s="4" t="s">
        <v>400</v>
      </c>
      <c r="T195" s="7" t="s">
        <v>27</v>
      </c>
      <c r="U195" s="11" t="s">
        <v>923</v>
      </c>
      <c r="V195" s="1" t="s">
        <v>924</v>
      </c>
      <c r="W195" s="1" t="s">
        <v>402</v>
      </c>
      <c r="X195" s="5">
        <v>200061812481</v>
      </c>
      <c r="Y195" s="1" t="s">
        <v>925</v>
      </c>
      <c r="Z195" s="1">
        <v>1</v>
      </c>
      <c r="AA195" s="6" t="s">
        <v>404</v>
      </c>
      <c r="AB195" s="6" t="s">
        <v>405</v>
      </c>
      <c r="AC195" s="6" t="s">
        <v>406</v>
      </c>
      <c r="AD195" s="1" t="s">
        <v>407</v>
      </c>
      <c r="AE195" s="1" t="s">
        <v>408</v>
      </c>
      <c r="AF195" s="1" t="s">
        <v>409</v>
      </c>
      <c r="AG195" s="1" t="s">
        <v>410</v>
      </c>
      <c r="AH195" s="1" t="s">
        <v>411</v>
      </c>
    </row>
    <row r="196" spans="1:34" ht="60" x14ac:dyDescent="0.25">
      <c r="A196" s="1">
        <v>77</v>
      </c>
      <c r="B196" s="1" t="str">
        <f t="shared" si="1"/>
        <v>Y</v>
      </c>
      <c r="C196" s="1" t="s">
        <v>17</v>
      </c>
      <c r="D196" s="4" t="s">
        <v>1735</v>
      </c>
      <c r="E196" s="1" t="s">
        <v>1064</v>
      </c>
      <c r="F196" s="1" t="s">
        <v>508</v>
      </c>
      <c r="G196" s="1" t="s">
        <v>459</v>
      </c>
      <c r="H196" s="1">
        <v>200</v>
      </c>
      <c r="I196" s="1" t="s">
        <v>22</v>
      </c>
      <c r="J196" s="1" t="s">
        <v>398</v>
      </c>
      <c r="K196" s="7" t="s">
        <v>23</v>
      </c>
      <c r="L196" s="7" t="s">
        <v>926</v>
      </c>
      <c r="M196" s="7" t="s">
        <v>927</v>
      </c>
      <c r="N196" s="23" t="s">
        <v>921</v>
      </c>
      <c r="O196" s="1" t="s">
        <v>920</v>
      </c>
      <c r="P196" s="7" t="s">
        <v>922</v>
      </c>
      <c r="Q196" s="1" t="s">
        <v>23</v>
      </c>
      <c r="R196" s="1" t="s">
        <v>1812</v>
      </c>
      <c r="S196" s="4" t="s">
        <v>400</v>
      </c>
      <c r="T196" s="7" t="s">
        <v>27</v>
      </c>
      <c r="U196" s="11" t="s">
        <v>923</v>
      </c>
      <c r="V196" s="1" t="s">
        <v>924</v>
      </c>
      <c r="W196" s="1" t="s">
        <v>402</v>
      </c>
      <c r="X196" s="5">
        <v>200061812481</v>
      </c>
      <c r="Y196" s="1" t="s">
        <v>925</v>
      </c>
      <c r="Z196" s="1">
        <v>1</v>
      </c>
      <c r="AA196" s="6" t="s">
        <v>404</v>
      </c>
      <c r="AB196" s="6" t="s">
        <v>405</v>
      </c>
      <c r="AC196" s="6" t="s">
        <v>406</v>
      </c>
      <c r="AD196" s="1" t="s">
        <v>407</v>
      </c>
      <c r="AE196" s="1" t="s">
        <v>408</v>
      </c>
      <c r="AF196" s="1" t="s">
        <v>409</v>
      </c>
      <c r="AG196" s="1" t="s">
        <v>410</v>
      </c>
      <c r="AH196" s="1" t="s">
        <v>411</v>
      </c>
    </row>
    <row r="197" spans="1:34" ht="105" x14ac:dyDescent="0.25">
      <c r="A197" s="1">
        <v>78</v>
      </c>
      <c r="B197" s="1">
        <f t="shared" si="1"/>
        <v>0</v>
      </c>
      <c r="C197" s="1"/>
      <c r="D197" s="4" t="s">
        <v>1736</v>
      </c>
      <c r="E197" s="1" t="s">
        <v>1067</v>
      </c>
      <c r="F197" s="1" t="s">
        <v>532</v>
      </c>
      <c r="G197" s="1" t="s">
        <v>1068</v>
      </c>
      <c r="H197" s="1">
        <v>200</v>
      </c>
      <c r="I197" s="1" t="s">
        <v>22</v>
      </c>
      <c r="J197" s="1" t="s">
        <v>398</v>
      </c>
      <c r="K197" s="7" t="s">
        <v>23</v>
      </c>
      <c r="L197" s="7" t="s">
        <v>926</v>
      </c>
      <c r="M197" s="7" t="s">
        <v>927</v>
      </c>
      <c r="N197" s="23" t="s">
        <v>921</v>
      </c>
      <c r="O197" s="1" t="s">
        <v>920</v>
      </c>
      <c r="P197" s="7" t="s">
        <v>922</v>
      </c>
      <c r="Q197" s="1" t="s">
        <v>23</v>
      </c>
      <c r="R197" s="1" t="s">
        <v>1812</v>
      </c>
      <c r="S197" s="4" t="s">
        <v>400</v>
      </c>
      <c r="T197" s="7" t="s">
        <v>27</v>
      </c>
      <c r="U197" s="11" t="s">
        <v>923</v>
      </c>
      <c r="V197" s="1" t="s">
        <v>924</v>
      </c>
      <c r="W197" s="1" t="s">
        <v>402</v>
      </c>
      <c r="X197" s="5">
        <v>200061812481</v>
      </c>
      <c r="Y197" s="1" t="s">
        <v>925</v>
      </c>
      <c r="Z197" s="1">
        <v>1</v>
      </c>
      <c r="AA197" s="6" t="s">
        <v>404</v>
      </c>
      <c r="AB197" s="6" t="s">
        <v>405</v>
      </c>
      <c r="AC197" s="6" t="s">
        <v>406</v>
      </c>
      <c r="AD197" s="1" t="s">
        <v>407</v>
      </c>
      <c r="AE197" s="1" t="s">
        <v>408</v>
      </c>
      <c r="AF197" s="1" t="s">
        <v>409</v>
      </c>
      <c r="AG197" s="1" t="s">
        <v>410</v>
      </c>
      <c r="AH197" s="1" t="s">
        <v>411</v>
      </c>
    </row>
    <row r="198" spans="1:34" ht="75" x14ac:dyDescent="0.25">
      <c r="A198" s="1">
        <v>79</v>
      </c>
      <c r="B198" s="1">
        <f t="shared" si="1"/>
        <v>0</v>
      </c>
      <c r="C198" s="1"/>
      <c r="D198" s="4" t="s">
        <v>1737</v>
      </c>
      <c r="E198" s="1" t="s">
        <v>1069</v>
      </c>
      <c r="F198" s="1" t="s">
        <v>964</v>
      </c>
      <c r="G198" s="1" t="s">
        <v>965</v>
      </c>
      <c r="H198" s="1">
        <v>200</v>
      </c>
      <c r="I198" s="1" t="s">
        <v>22</v>
      </c>
      <c r="J198" s="1" t="s">
        <v>398</v>
      </c>
      <c r="K198" s="7" t="s">
        <v>23</v>
      </c>
      <c r="L198" s="7" t="s">
        <v>926</v>
      </c>
      <c r="M198" s="7" t="s">
        <v>927</v>
      </c>
      <c r="N198" s="23" t="s">
        <v>921</v>
      </c>
      <c r="O198" s="1" t="s">
        <v>920</v>
      </c>
      <c r="P198" s="7" t="s">
        <v>922</v>
      </c>
      <c r="Q198" s="1" t="s">
        <v>23</v>
      </c>
      <c r="R198" s="1" t="s">
        <v>1812</v>
      </c>
      <c r="S198" s="4" t="s">
        <v>400</v>
      </c>
      <c r="T198" s="7" t="s">
        <v>27</v>
      </c>
      <c r="U198" s="11" t="s">
        <v>923</v>
      </c>
      <c r="V198" s="1" t="s">
        <v>924</v>
      </c>
      <c r="W198" s="1" t="s">
        <v>402</v>
      </c>
      <c r="X198" s="5">
        <v>200061812481</v>
      </c>
      <c r="Y198" s="1" t="s">
        <v>925</v>
      </c>
      <c r="Z198" s="1">
        <v>1</v>
      </c>
      <c r="AA198" s="6" t="s">
        <v>404</v>
      </c>
      <c r="AB198" s="6" t="s">
        <v>405</v>
      </c>
      <c r="AC198" s="6" t="s">
        <v>406</v>
      </c>
      <c r="AD198" s="1" t="s">
        <v>407</v>
      </c>
      <c r="AE198" s="1" t="s">
        <v>408</v>
      </c>
      <c r="AF198" s="1" t="s">
        <v>409</v>
      </c>
      <c r="AG198" s="1" t="s">
        <v>410</v>
      </c>
      <c r="AH198" s="1" t="s">
        <v>411</v>
      </c>
    </row>
    <row r="199" spans="1:34" ht="60" x14ac:dyDescent="0.25">
      <c r="A199" s="1">
        <v>80</v>
      </c>
      <c r="B199" s="1">
        <f t="shared" si="1"/>
        <v>0</v>
      </c>
      <c r="C199" s="1"/>
      <c r="D199" s="4" t="s">
        <v>1738</v>
      </c>
      <c r="E199" s="1" t="s">
        <v>1073</v>
      </c>
      <c r="F199" s="1" t="s">
        <v>1074</v>
      </c>
      <c r="G199" s="1" t="s">
        <v>1075</v>
      </c>
      <c r="H199" s="1">
        <v>200</v>
      </c>
      <c r="I199" s="1" t="s">
        <v>22</v>
      </c>
      <c r="J199" s="1" t="s">
        <v>398</v>
      </c>
      <c r="K199" s="7" t="s">
        <v>23</v>
      </c>
      <c r="L199" s="7" t="s">
        <v>926</v>
      </c>
      <c r="M199" s="7" t="s">
        <v>927</v>
      </c>
      <c r="N199" s="23" t="s">
        <v>921</v>
      </c>
      <c r="O199" s="1" t="s">
        <v>920</v>
      </c>
      <c r="P199" s="7" t="s">
        <v>922</v>
      </c>
      <c r="Q199" s="1" t="s">
        <v>23</v>
      </c>
      <c r="R199" s="1" t="s">
        <v>1812</v>
      </c>
      <c r="S199" s="4" t="s">
        <v>400</v>
      </c>
      <c r="T199" s="7" t="s">
        <v>27</v>
      </c>
      <c r="U199" s="11" t="s">
        <v>923</v>
      </c>
      <c r="V199" s="1" t="s">
        <v>924</v>
      </c>
      <c r="W199" s="1" t="s">
        <v>402</v>
      </c>
      <c r="X199" s="5">
        <v>200061812481</v>
      </c>
      <c r="Y199" s="1" t="s">
        <v>925</v>
      </c>
      <c r="Z199" s="1">
        <v>1</v>
      </c>
      <c r="AA199" s="6" t="s">
        <v>404</v>
      </c>
      <c r="AB199" s="6" t="s">
        <v>405</v>
      </c>
      <c r="AC199" s="6" t="s">
        <v>406</v>
      </c>
      <c r="AD199" s="1" t="s">
        <v>407</v>
      </c>
      <c r="AE199" s="1" t="s">
        <v>408</v>
      </c>
      <c r="AF199" s="1" t="s">
        <v>409</v>
      </c>
      <c r="AG199" s="1" t="s">
        <v>410</v>
      </c>
      <c r="AH199" s="1" t="s">
        <v>411</v>
      </c>
    </row>
    <row r="200" spans="1:34" ht="75" x14ac:dyDescent="0.25">
      <c r="A200" s="1">
        <v>81</v>
      </c>
      <c r="B200" s="1" t="str">
        <f t="shared" si="1"/>
        <v>Y</v>
      </c>
      <c r="C200" s="1" t="s">
        <v>17</v>
      </c>
      <c r="D200" s="4" t="s">
        <v>1739</v>
      </c>
      <c r="E200" s="1" t="s">
        <v>1076</v>
      </c>
      <c r="F200" s="1" t="s">
        <v>1077</v>
      </c>
      <c r="G200" s="1" t="s">
        <v>1078</v>
      </c>
      <c r="H200" s="1">
        <v>200</v>
      </c>
      <c r="I200" s="1" t="s">
        <v>22</v>
      </c>
      <c r="J200" s="1" t="s">
        <v>398</v>
      </c>
      <c r="K200" s="7" t="s">
        <v>23</v>
      </c>
      <c r="L200" s="7" t="s">
        <v>926</v>
      </c>
      <c r="M200" s="7" t="s">
        <v>927</v>
      </c>
      <c r="N200" s="23" t="s">
        <v>921</v>
      </c>
      <c r="O200" s="1" t="s">
        <v>920</v>
      </c>
      <c r="P200" s="7" t="s">
        <v>922</v>
      </c>
      <c r="Q200" s="1" t="s">
        <v>23</v>
      </c>
      <c r="R200" s="1" t="s">
        <v>1812</v>
      </c>
      <c r="S200" s="4" t="s">
        <v>400</v>
      </c>
      <c r="T200" s="7" t="s">
        <v>27</v>
      </c>
      <c r="U200" s="11" t="s">
        <v>923</v>
      </c>
      <c r="V200" s="1" t="s">
        <v>924</v>
      </c>
      <c r="W200" s="1" t="s">
        <v>402</v>
      </c>
      <c r="X200" s="5">
        <v>200061812481</v>
      </c>
      <c r="Y200" s="1" t="s">
        <v>925</v>
      </c>
      <c r="Z200" s="1">
        <v>1</v>
      </c>
      <c r="AA200" s="6" t="s">
        <v>404</v>
      </c>
      <c r="AB200" s="6" t="s">
        <v>405</v>
      </c>
      <c r="AC200" s="6" t="s">
        <v>406</v>
      </c>
      <c r="AD200" s="1" t="s">
        <v>407</v>
      </c>
      <c r="AE200" s="1" t="s">
        <v>408</v>
      </c>
      <c r="AF200" s="1" t="s">
        <v>409</v>
      </c>
      <c r="AG200" s="1" t="s">
        <v>410</v>
      </c>
      <c r="AH200" s="1" t="s">
        <v>411</v>
      </c>
    </row>
    <row r="201" spans="1:34" ht="90" x14ac:dyDescent="0.25">
      <c r="A201" s="1">
        <v>82</v>
      </c>
      <c r="B201" s="1">
        <f t="shared" si="1"/>
        <v>0</v>
      </c>
      <c r="C201" s="1"/>
      <c r="D201" s="4" t="s">
        <v>1740</v>
      </c>
      <c r="E201" s="1" t="s">
        <v>1082</v>
      </c>
      <c r="F201" s="1" t="s">
        <v>1083</v>
      </c>
      <c r="G201" s="1" t="s">
        <v>1084</v>
      </c>
      <c r="H201" s="1">
        <v>200</v>
      </c>
      <c r="I201" s="1" t="s">
        <v>22</v>
      </c>
      <c r="J201" s="1" t="s">
        <v>398</v>
      </c>
      <c r="K201" s="7" t="s">
        <v>23</v>
      </c>
      <c r="L201" s="7" t="s">
        <v>926</v>
      </c>
      <c r="M201" s="7" t="s">
        <v>927</v>
      </c>
      <c r="N201" s="23" t="s">
        <v>921</v>
      </c>
      <c r="O201" s="1" t="s">
        <v>920</v>
      </c>
      <c r="P201" s="7" t="s">
        <v>922</v>
      </c>
      <c r="Q201" s="1" t="s">
        <v>23</v>
      </c>
      <c r="R201" s="1" t="s">
        <v>1812</v>
      </c>
      <c r="S201" s="4" t="s">
        <v>400</v>
      </c>
      <c r="T201" s="7" t="s">
        <v>27</v>
      </c>
      <c r="U201" s="11" t="s">
        <v>923</v>
      </c>
      <c r="V201" s="1" t="s">
        <v>924</v>
      </c>
      <c r="W201" s="1" t="s">
        <v>402</v>
      </c>
      <c r="X201" s="5">
        <v>200061812481</v>
      </c>
      <c r="Y201" s="1" t="s">
        <v>925</v>
      </c>
      <c r="Z201" s="1">
        <v>1</v>
      </c>
      <c r="AA201" s="6" t="s">
        <v>404</v>
      </c>
      <c r="AB201" s="6" t="s">
        <v>405</v>
      </c>
      <c r="AC201" s="6" t="s">
        <v>406</v>
      </c>
      <c r="AD201" s="1" t="s">
        <v>407</v>
      </c>
      <c r="AE201" s="1" t="s">
        <v>408</v>
      </c>
      <c r="AF201" s="1" t="s">
        <v>409</v>
      </c>
      <c r="AG201" s="1" t="s">
        <v>410</v>
      </c>
      <c r="AH201" s="1" t="s">
        <v>411</v>
      </c>
    </row>
    <row r="202" spans="1:34" ht="60" x14ac:dyDescent="0.25">
      <c r="A202" s="1">
        <v>83</v>
      </c>
      <c r="B202" s="1">
        <f t="shared" si="1"/>
        <v>0</v>
      </c>
      <c r="C202" s="1"/>
      <c r="D202" s="4" t="s">
        <v>1741</v>
      </c>
      <c r="E202" s="1" t="s">
        <v>1085</v>
      </c>
      <c r="F202" s="1" t="s">
        <v>1086</v>
      </c>
      <c r="G202" s="1" t="s">
        <v>1087</v>
      </c>
      <c r="H202" s="1">
        <v>200</v>
      </c>
      <c r="I202" s="1" t="s">
        <v>22</v>
      </c>
      <c r="J202" s="1" t="s">
        <v>398</v>
      </c>
      <c r="K202" s="7" t="s">
        <v>23</v>
      </c>
      <c r="L202" s="7" t="s">
        <v>926</v>
      </c>
      <c r="M202" s="7" t="s">
        <v>927</v>
      </c>
      <c r="N202" s="23" t="s">
        <v>921</v>
      </c>
      <c r="O202" s="1" t="s">
        <v>920</v>
      </c>
      <c r="P202" s="7" t="s">
        <v>922</v>
      </c>
      <c r="Q202" s="1" t="s">
        <v>23</v>
      </c>
      <c r="R202" s="1" t="s">
        <v>1812</v>
      </c>
      <c r="S202" s="4" t="s">
        <v>400</v>
      </c>
      <c r="T202" s="7" t="s">
        <v>27</v>
      </c>
      <c r="U202" s="11" t="s">
        <v>923</v>
      </c>
      <c r="V202" s="1" t="s">
        <v>924</v>
      </c>
      <c r="W202" s="1" t="s">
        <v>402</v>
      </c>
      <c r="X202" s="5">
        <v>200061812481</v>
      </c>
      <c r="Y202" s="1" t="s">
        <v>925</v>
      </c>
      <c r="Z202" s="1">
        <v>1</v>
      </c>
      <c r="AA202" s="6" t="s">
        <v>404</v>
      </c>
      <c r="AB202" s="6" t="s">
        <v>405</v>
      </c>
      <c r="AC202" s="6" t="s">
        <v>406</v>
      </c>
      <c r="AD202" s="1" t="s">
        <v>407</v>
      </c>
      <c r="AE202" s="1" t="s">
        <v>408</v>
      </c>
      <c r="AF202" s="1" t="s">
        <v>409</v>
      </c>
      <c r="AG202" s="1" t="s">
        <v>410</v>
      </c>
      <c r="AH202" s="1" t="s">
        <v>411</v>
      </c>
    </row>
    <row r="203" spans="1:34" ht="75" x14ac:dyDescent="0.25">
      <c r="A203" s="1">
        <v>84</v>
      </c>
      <c r="B203" s="1">
        <f t="shared" si="1"/>
        <v>0</v>
      </c>
      <c r="C203" s="1"/>
      <c r="D203" s="4" t="s">
        <v>1742</v>
      </c>
      <c r="E203" s="1" t="s">
        <v>1091</v>
      </c>
      <c r="F203" s="1" t="s">
        <v>1092</v>
      </c>
      <c r="G203" s="1" t="s">
        <v>1093</v>
      </c>
      <c r="H203" s="1">
        <v>200</v>
      </c>
      <c r="I203" s="1" t="s">
        <v>22</v>
      </c>
      <c r="J203" s="1" t="s">
        <v>398</v>
      </c>
      <c r="K203" s="7" t="s">
        <v>23</v>
      </c>
      <c r="L203" s="7" t="s">
        <v>926</v>
      </c>
      <c r="M203" s="7" t="s">
        <v>927</v>
      </c>
      <c r="N203" s="23" t="s">
        <v>921</v>
      </c>
      <c r="O203" s="1" t="s">
        <v>920</v>
      </c>
      <c r="P203" s="7" t="s">
        <v>922</v>
      </c>
      <c r="Q203" s="1" t="s">
        <v>23</v>
      </c>
      <c r="R203" s="1" t="s">
        <v>1812</v>
      </c>
      <c r="S203" s="4" t="s">
        <v>400</v>
      </c>
      <c r="T203" s="7" t="s">
        <v>27</v>
      </c>
      <c r="U203" s="11" t="s">
        <v>923</v>
      </c>
      <c r="V203" s="1" t="s">
        <v>924</v>
      </c>
      <c r="W203" s="1" t="s">
        <v>402</v>
      </c>
      <c r="X203" s="5">
        <v>200061812481</v>
      </c>
      <c r="Y203" s="1" t="s">
        <v>925</v>
      </c>
      <c r="Z203" s="1">
        <v>1</v>
      </c>
      <c r="AA203" s="6" t="s">
        <v>404</v>
      </c>
      <c r="AB203" s="6" t="s">
        <v>405</v>
      </c>
      <c r="AC203" s="6" t="s">
        <v>406</v>
      </c>
      <c r="AD203" s="1" t="s">
        <v>407</v>
      </c>
      <c r="AE203" s="1" t="s">
        <v>408</v>
      </c>
      <c r="AF203" s="1" t="s">
        <v>409</v>
      </c>
      <c r="AG203" s="1" t="s">
        <v>410</v>
      </c>
      <c r="AH203" s="1" t="s">
        <v>411</v>
      </c>
    </row>
    <row r="204" spans="1:34" ht="75" x14ac:dyDescent="0.25">
      <c r="A204" s="1">
        <v>85</v>
      </c>
      <c r="B204" s="1" t="str">
        <f t="shared" si="1"/>
        <v>Y</v>
      </c>
      <c r="C204" s="1" t="s">
        <v>17</v>
      </c>
      <c r="D204" s="4" t="s">
        <v>1743</v>
      </c>
      <c r="E204" s="1" t="s">
        <v>1096</v>
      </c>
      <c r="F204" s="1" t="s">
        <v>1097</v>
      </c>
      <c r="G204" s="1" t="s">
        <v>1098</v>
      </c>
      <c r="H204" s="1">
        <v>200</v>
      </c>
      <c r="I204" s="1" t="s">
        <v>22</v>
      </c>
      <c r="J204" s="1" t="s">
        <v>398</v>
      </c>
      <c r="K204" s="7" t="s">
        <v>23</v>
      </c>
      <c r="L204" s="7" t="s">
        <v>926</v>
      </c>
      <c r="M204" s="7" t="s">
        <v>927</v>
      </c>
      <c r="N204" s="23" t="s">
        <v>921</v>
      </c>
      <c r="O204" s="1" t="s">
        <v>920</v>
      </c>
      <c r="P204" s="7" t="s">
        <v>922</v>
      </c>
      <c r="Q204" s="1" t="s">
        <v>23</v>
      </c>
      <c r="R204" s="1" t="s">
        <v>1812</v>
      </c>
      <c r="S204" s="4" t="s">
        <v>400</v>
      </c>
      <c r="T204" s="7" t="s">
        <v>27</v>
      </c>
      <c r="U204" s="11" t="s">
        <v>923</v>
      </c>
      <c r="V204" s="1" t="s">
        <v>924</v>
      </c>
      <c r="W204" s="1" t="s">
        <v>402</v>
      </c>
      <c r="X204" s="5">
        <v>200061812481</v>
      </c>
      <c r="Y204" s="1" t="s">
        <v>925</v>
      </c>
      <c r="Z204" s="1">
        <v>1</v>
      </c>
      <c r="AA204" s="6" t="s">
        <v>404</v>
      </c>
      <c r="AB204" s="6" t="s">
        <v>405</v>
      </c>
      <c r="AC204" s="6" t="s">
        <v>406</v>
      </c>
      <c r="AD204" s="1" t="s">
        <v>407</v>
      </c>
      <c r="AE204" s="1" t="s">
        <v>408</v>
      </c>
      <c r="AF204" s="1" t="s">
        <v>409</v>
      </c>
      <c r="AG204" s="1" t="s">
        <v>410</v>
      </c>
      <c r="AH204" s="1" t="s">
        <v>411</v>
      </c>
    </row>
    <row r="205" spans="1:34" ht="45" x14ac:dyDescent="0.25">
      <c r="A205" s="1">
        <v>86</v>
      </c>
      <c r="B205" s="1">
        <f t="shared" si="1"/>
        <v>0</v>
      </c>
      <c r="C205" s="1"/>
      <c r="D205" s="4" t="s">
        <v>1744</v>
      </c>
      <c r="E205" s="1" t="s">
        <v>1099</v>
      </c>
      <c r="F205" s="1" t="s">
        <v>538</v>
      </c>
      <c r="G205" s="1" t="s">
        <v>539</v>
      </c>
      <c r="H205" s="1">
        <v>200</v>
      </c>
      <c r="I205" s="1" t="s">
        <v>22</v>
      </c>
      <c r="J205" s="1" t="s">
        <v>398</v>
      </c>
      <c r="K205" s="7" t="s">
        <v>23</v>
      </c>
      <c r="L205" s="7" t="s">
        <v>926</v>
      </c>
      <c r="M205" s="7" t="s">
        <v>927</v>
      </c>
      <c r="N205" s="23" t="s">
        <v>921</v>
      </c>
      <c r="O205" s="1" t="s">
        <v>920</v>
      </c>
      <c r="P205" s="7" t="s">
        <v>922</v>
      </c>
      <c r="Q205" s="1" t="s">
        <v>23</v>
      </c>
      <c r="R205" s="1" t="s">
        <v>1812</v>
      </c>
      <c r="S205" s="4" t="s">
        <v>400</v>
      </c>
      <c r="T205" s="7" t="s">
        <v>27</v>
      </c>
      <c r="U205" s="11" t="s">
        <v>923</v>
      </c>
      <c r="V205" s="1" t="s">
        <v>924</v>
      </c>
      <c r="W205" s="1" t="s">
        <v>402</v>
      </c>
      <c r="X205" s="5">
        <v>200061812481</v>
      </c>
      <c r="Y205" s="1" t="s">
        <v>925</v>
      </c>
      <c r="Z205" s="1">
        <v>1</v>
      </c>
      <c r="AA205" s="6" t="s">
        <v>404</v>
      </c>
      <c r="AB205" s="6" t="s">
        <v>405</v>
      </c>
      <c r="AC205" s="6" t="s">
        <v>406</v>
      </c>
      <c r="AD205" s="1" t="s">
        <v>407</v>
      </c>
      <c r="AE205" s="1" t="s">
        <v>408</v>
      </c>
      <c r="AF205" s="1" t="s">
        <v>409</v>
      </c>
      <c r="AG205" s="1" t="s">
        <v>410</v>
      </c>
      <c r="AH205" s="1" t="s">
        <v>411</v>
      </c>
    </row>
    <row r="206" spans="1:34" ht="45" x14ac:dyDescent="0.25">
      <c r="A206" s="1">
        <v>87</v>
      </c>
      <c r="B206" s="1">
        <f t="shared" si="1"/>
        <v>0</v>
      </c>
      <c r="C206" s="1"/>
      <c r="D206" s="4" t="s">
        <v>1745</v>
      </c>
      <c r="E206" s="1" t="s">
        <v>1100</v>
      </c>
      <c r="F206" s="1" t="s">
        <v>542</v>
      </c>
      <c r="G206" s="1" t="s">
        <v>539</v>
      </c>
      <c r="H206" s="1">
        <v>200</v>
      </c>
      <c r="I206" s="1" t="s">
        <v>22</v>
      </c>
      <c r="J206" s="1" t="s">
        <v>398</v>
      </c>
      <c r="K206" s="7" t="s">
        <v>23</v>
      </c>
      <c r="L206" s="7" t="s">
        <v>926</v>
      </c>
      <c r="M206" s="7" t="s">
        <v>927</v>
      </c>
      <c r="N206" s="23" t="s">
        <v>921</v>
      </c>
      <c r="O206" s="1" t="s">
        <v>920</v>
      </c>
      <c r="P206" s="7" t="s">
        <v>922</v>
      </c>
      <c r="Q206" s="1" t="s">
        <v>23</v>
      </c>
      <c r="R206" s="1" t="s">
        <v>1812</v>
      </c>
      <c r="S206" s="4" t="s">
        <v>400</v>
      </c>
      <c r="T206" s="7" t="s">
        <v>27</v>
      </c>
      <c r="U206" s="11" t="s">
        <v>923</v>
      </c>
      <c r="V206" s="1" t="s">
        <v>924</v>
      </c>
      <c r="W206" s="1" t="s">
        <v>402</v>
      </c>
      <c r="X206" s="5">
        <v>200061812481</v>
      </c>
      <c r="Y206" s="1" t="s">
        <v>925</v>
      </c>
      <c r="Z206" s="1">
        <v>1</v>
      </c>
      <c r="AA206" s="6" t="s">
        <v>404</v>
      </c>
      <c r="AB206" s="6" t="s">
        <v>405</v>
      </c>
      <c r="AC206" s="6" t="s">
        <v>406</v>
      </c>
      <c r="AD206" s="1" t="s">
        <v>407</v>
      </c>
      <c r="AE206" s="1" t="s">
        <v>408</v>
      </c>
      <c r="AF206" s="1" t="s">
        <v>409</v>
      </c>
      <c r="AG206" s="1" t="s">
        <v>410</v>
      </c>
      <c r="AH206" s="1" t="s">
        <v>411</v>
      </c>
    </row>
    <row r="207" spans="1:34" ht="45" x14ac:dyDescent="0.25">
      <c r="A207" s="1">
        <v>88</v>
      </c>
      <c r="B207" s="1">
        <f t="shared" si="1"/>
        <v>0</v>
      </c>
      <c r="C207" s="1"/>
      <c r="D207" s="4" t="s">
        <v>1746</v>
      </c>
      <c r="E207" s="1" t="s">
        <v>1101</v>
      </c>
      <c r="F207" s="1" t="s">
        <v>544</v>
      </c>
      <c r="G207" s="1" t="s">
        <v>539</v>
      </c>
      <c r="H207" s="1">
        <v>200</v>
      </c>
      <c r="I207" s="1" t="s">
        <v>22</v>
      </c>
      <c r="J207" s="1" t="s">
        <v>398</v>
      </c>
      <c r="K207" s="7" t="s">
        <v>23</v>
      </c>
      <c r="L207" s="7" t="s">
        <v>926</v>
      </c>
      <c r="M207" s="7" t="s">
        <v>927</v>
      </c>
      <c r="N207" s="23" t="s">
        <v>921</v>
      </c>
      <c r="O207" s="1" t="s">
        <v>920</v>
      </c>
      <c r="P207" s="7" t="s">
        <v>922</v>
      </c>
      <c r="Q207" s="1" t="s">
        <v>23</v>
      </c>
      <c r="R207" s="1" t="s">
        <v>1812</v>
      </c>
      <c r="S207" s="4" t="s">
        <v>400</v>
      </c>
      <c r="T207" s="7" t="s">
        <v>27</v>
      </c>
      <c r="U207" s="11" t="s">
        <v>923</v>
      </c>
      <c r="V207" s="1" t="s">
        <v>924</v>
      </c>
      <c r="W207" s="1" t="s">
        <v>402</v>
      </c>
      <c r="X207" s="5">
        <v>200061812481</v>
      </c>
      <c r="Y207" s="1" t="s">
        <v>925</v>
      </c>
      <c r="Z207" s="1">
        <v>1</v>
      </c>
      <c r="AA207" s="6" t="s">
        <v>404</v>
      </c>
      <c r="AB207" s="6" t="s">
        <v>405</v>
      </c>
      <c r="AC207" s="6" t="s">
        <v>406</v>
      </c>
      <c r="AD207" s="1" t="s">
        <v>407</v>
      </c>
      <c r="AE207" s="1" t="s">
        <v>408</v>
      </c>
      <c r="AF207" s="1" t="s">
        <v>409</v>
      </c>
      <c r="AG207" s="1" t="s">
        <v>410</v>
      </c>
      <c r="AH207" s="1" t="s">
        <v>411</v>
      </c>
    </row>
    <row r="208" spans="1:34" ht="45" x14ac:dyDescent="0.25">
      <c r="A208" s="1">
        <v>89</v>
      </c>
      <c r="B208" s="1" t="str">
        <f t="shared" si="1"/>
        <v>Y</v>
      </c>
      <c r="C208" s="1" t="s">
        <v>17</v>
      </c>
      <c r="D208" s="4" t="s">
        <v>1747</v>
      </c>
      <c r="E208" s="1" t="s">
        <v>1102</v>
      </c>
      <c r="F208" s="1" t="s">
        <v>538</v>
      </c>
      <c r="G208" s="1" t="s">
        <v>547</v>
      </c>
      <c r="H208" s="1">
        <v>200</v>
      </c>
      <c r="I208" s="1" t="s">
        <v>22</v>
      </c>
      <c r="J208" s="1" t="s">
        <v>398</v>
      </c>
      <c r="K208" s="7" t="s">
        <v>23</v>
      </c>
      <c r="L208" s="7" t="s">
        <v>926</v>
      </c>
      <c r="M208" s="7" t="s">
        <v>927</v>
      </c>
      <c r="N208" s="23" t="s">
        <v>921</v>
      </c>
      <c r="O208" s="1" t="s">
        <v>920</v>
      </c>
      <c r="P208" s="7" t="s">
        <v>922</v>
      </c>
      <c r="Q208" s="1" t="s">
        <v>23</v>
      </c>
      <c r="R208" s="1" t="s">
        <v>1812</v>
      </c>
      <c r="S208" s="4" t="s">
        <v>400</v>
      </c>
      <c r="T208" s="7" t="s">
        <v>27</v>
      </c>
      <c r="U208" s="11" t="s">
        <v>923</v>
      </c>
      <c r="V208" s="1" t="s">
        <v>924</v>
      </c>
      <c r="W208" s="1" t="s">
        <v>402</v>
      </c>
      <c r="X208" s="5">
        <v>200061812481</v>
      </c>
      <c r="Y208" s="1" t="s">
        <v>925</v>
      </c>
      <c r="Z208" s="1">
        <v>1</v>
      </c>
      <c r="AA208" s="6" t="s">
        <v>404</v>
      </c>
      <c r="AB208" s="6" t="s">
        <v>405</v>
      </c>
      <c r="AC208" s="6" t="s">
        <v>406</v>
      </c>
      <c r="AD208" s="1" t="s">
        <v>407</v>
      </c>
      <c r="AE208" s="1" t="s">
        <v>408</v>
      </c>
      <c r="AF208" s="1" t="s">
        <v>409</v>
      </c>
      <c r="AG208" s="1" t="s">
        <v>410</v>
      </c>
      <c r="AH208" s="1" t="s">
        <v>411</v>
      </c>
    </row>
    <row r="209" spans="1:34" ht="45" x14ac:dyDescent="0.25">
      <c r="A209" s="1">
        <v>90</v>
      </c>
      <c r="B209" s="1">
        <f t="shared" si="1"/>
        <v>0</v>
      </c>
      <c r="C209" s="1"/>
      <c r="D209" s="4" t="s">
        <v>1748</v>
      </c>
      <c r="E209" s="1" t="s">
        <v>1103</v>
      </c>
      <c r="F209" s="1" t="s">
        <v>542</v>
      </c>
      <c r="G209" s="1" t="s">
        <v>547</v>
      </c>
      <c r="H209" s="1">
        <v>200</v>
      </c>
      <c r="I209" s="1" t="s">
        <v>22</v>
      </c>
      <c r="J209" s="1" t="s">
        <v>398</v>
      </c>
      <c r="K209" s="7" t="s">
        <v>23</v>
      </c>
      <c r="L209" s="7" t="s">
        <v>926</v>
      </c>
      <c r="M209" s="7" t="s">
        <v>927</v>
      </c>
      <c r="N209" s="23" t="s">
        <v>921</v>
      </c>
      <c r="O209" s="1" t="s">
        <v>920</v>
      </c>
      <c r="P209" s="7" t="s">
        <v>922</v>
      </c>
      <c r="Q209" s="1" t="s">
        <v>23</v>
      </c>
      <c r="R209" s="1" t="s">
        <v>1812</v>
      </c>
      <c r="S209" s="4" t="s">
        <v>400</v>
      </c>
      <c r="T209" s="7" t="s">
        <v>27</v>
      </c>
      <c r="U209" s="11" t="s">
        <v>923</v>
      </c>
      <c r="V209" s="1" t="s">
        <v>924</v>
      </c>
      <c r="W209" s="1" t="s">
        <v>402</v>
      </c>
      <c r="X209" s="5">
        <v>200061812481</v>
      </c>
      <c r="Y209" s="1" t="s">
        <v>925</v>
      </c>
      <c r="Z209" s="1">
        <v>1</v>
      </c>
      <c r="AA209" s="6" t="s">
        <v>404</v>
      </c>
      <c r="AB209" s="6" t="s">
        <v>405</v>
      </c>
      <c r="AC209" s="6" t="s">
        <v>406</v>
      </c>
      <c r="AD209" s="1" t="s">
        <v>407</v>
      </c>
      <c r="AE209" s="1" t="s">
        <v>408</v>
      </c>
      <c r="AF209" s="1" t="s">
        <v>409</v>
      </c>
      <c r="AG209" s="1" t="s">
        <v>410</v>
      </c>
      <c r="AH209" s="1" t="s">
        <v>411</v>
      </c>
    </row>
    <row r="210" spans="1:34" ht="45" x14ac:dyDescent="0.25">
      <c r="A210" s="1">
        <v>91</v>
      </c>
      <c r="B210" s="1">
        <f t="shared" si="1"/>
        <v>0</v>
      </c>
      <c r="C210" s="1"/>
      <c r="D210" s="4" t="s">
        <v>1749</v>
      </c>
      <c r="E210" s="1" t="s">
        <v>1104</v>
      </c>
      <c r="F210" s="1" t="s">
        <v>544</v>
      </c>
      <c r="G210" s="1" t="s">
        <v>547</v>
      </c>
      <c r="H210" s="1">
        <v>200</v>
      </c>
      <c r="I210" s="1" t="s">
        <v>22</v>
      </c>
      <c r="J210" s="1" t="s">
        <v>398</v>
      </c>
      <c r="K210" s="7" t="s">
        <v>23</v>
      </c>
      <c r="L210" s="7" t="s">
        <v>926</v>
      </c>
      <c r="M210" s="7" t="s">
        <v>927</v>
      </c>
      <c r="N210" s="23" t="s">
        <v>921</v>
      </c>
      <c r="O210" s="1" t="s">
        <v>920</v>
      </c>
      <c r="P210" s="7" t="s">
        <v>922</v>
      </c>
      <c r="Q210" s="1" t="s">
        <v>23</v>
      </c>
      <c r="R210" s="1" t="s">
        <v>1812</v>
      </c>
      <c r="S210" s="4" t="s">
        <v>400</v>
      </c>
      <c r="T210" s="7" t="s">
        <v>27</v>
      </c>
      <c r="U210" s="11" t="s">
        <v>923</v>
      </c>
      <c r="V210" s="1" t="s">
        <v>924</v>
      </c>
      <c r="W210" s="1" t="s">
        <v>402</v>
      </c>
      <c r="X210" s="5">
        <v>200061812481</v>
      </c>
      <c r="Y210" s="1" t="s">
        <v>925</v>
      </c>
      <c r="Z210" s="1">
        <v>1</v>
      </c>
      <c r="AA210" s="6" t="s">
        <v>404</v>
      </c>
      <c r="AB210" s="6" t="s">
        <v>405</v>
      </c>
      <c r="AC210" s="6" t="s">
        <v>406</v>
      </c>
      <c r="AD210" s="1" t="s">
        <v>407</v>
      </c>
      <c r="AE210" s="1" t="s">
        <v>408</v>
      </c>
      <c r="AF210" s="1" t="s">
        <v>409</v>
      </c>
      <c r="AG210" s="1" t="s">
        <v>410</v>
      </c>
      <c r="AH210" s="1" t="s">
        <v>411</v>
      </c>
    </row>
    <row r="211" spans="1:34" ht="45" x14ac:dyDescent="0.25">
      <c r="A211" s="1">
        <v>92</v>
      </c>
      <c r="B211" s="1">
        <f t="shared" si="1"/>
        <v>0</v>
      </c>
      <c r="C211" s="1"/>
      <c r="D211" s="4" t="s">
        <v>1750</v>
      </c>
      <c r="E211" s="1" t="s">
        <v>1111</v>
      </c>
      <c r="F211" s="1" t="s">
        <v>561</v>
      </c>
      <c r="G211" s="1" t="s">
        <v>1112</v>
      </c>
      <c r="H211" s="1">
        <v>200</v>
      </c>
      <c r="I211" s="1" t="s">
        <v>22</v>
      </c>
      <c r="J211" s="1" t="s">
        <v>398</v>
      </c>
      <c r="K211" s="7" t="s">
        <v>23</v>
      </c>
      <c r="L211" s="7" t="s">
        <v>926</v>
      </c>
      <c r="M211" s="7" t="s">
        <v>927</v>
      </c>
      <c r="N211" s="23" t="s">
        <v>921</v>
      </c>
      <c r="O211" s="1" t="s">
        <v>920</v>
      </c>
      <c r="P211" s="7" t="s">
        <v>922</v>
      </c>
      <c r="Q211" s="1" t="s">
        <v>23</v>
      </c>
      <c r="R211" s="1" t="s">
        <v>1812</v>
      </c>
      <c r="S211" s="4" t="s">
        <v>400</v>
      </c>
      <c r="T211" s="7" t="s">
        <v>27</v>
      </c>
      <c r="U211" s="11" t="s">
        <v>923</v>
      </c>
      <c r="V211" s="1" t="s">
        <v>924</v>
      </c>
      <c r="W211" s="1" t="s">
        <v>402</v>
      </c>
      <c r="X211" s="5">
        <v>200061812481</v>
      </c>
      <c r="Y211" s="1" t="s">
        <v>925</v>
      </c>
      <c r="Z211" s="1">
        <v>1</v>
      </c>
      <c r="AA211" s="6" t="s">
        <v>404</v>
      </c>
      <c r="AB211" s="6" t="s">
        <v>405</v>
      </c>
      <c r="AC211" s="6" t="s">
        <v>406</v>
      </c>
      <c r="AD211" s="1" t="s">
        <v>407</v>
      </c>
      <c r="AE211" s="1" t="s">
        <v>408</v>
      </c>
      <c r="AF211" s="1" t="s">
        <v>409</v>
      </c>
      <c r="AG211" s="1" t="s">
        <v>410</v>
      </c>
      <c r="AH211" s="1" t="s">
        <v>411</v>
      </c>
    </row>
    <row r="212" spans="1:34" ht="120" x14ac:dyDescent="0.25">
      <c r="A212" s="1">
        <v>93</v>
      </c>
      <c r="B212" s="1" t="str">
        <f t="shared" si="1"/>
        <v>Y</v>
      </c>
      <c r="C212" s="1" t="s">
        <v>17</v>
      </c>
      <c r="D212" s="4" t="s">
        <v>1751</v>
      </c>
      <c r="E212" s="1" t="s">
        <v>1113</v>
      </c>
      <c r="F212" s="1" t="s">
        <v>561</v>
      </c>
      <c r="G212" s="1" t="s">
        <v>1114</v>
      </c>
      <c r="H212" s="1">
        <v>409</v>
      </c>
      <c r="I212" s="1" t="s">
        <v>22</v>
      </c>
      <c r="J212" s="1" t="s">
        <v>398</v>
      </c>
      <c r="K212" s="7" t="s">
        <v>23</v>
      </c>
      <c r="L212" s="7" t="s">
        <v>926</v>
      </c>
      <c r="M212" s="7" t="s">
        <v>927</v>
      </c>
      <c r="N212" s="23" t="s">
        <v>921</v>
      </c>
      <c r="O212" s="1" t="s">
        <v>920</v>
      </c>
      <c r="P212" s="7" t="s">
        <v>922</v>
      </c>
      <c r="Q212" s="1" t="s">
        <v>23</v>
      </c>
      <c r="R212" s="1" t="s">
        <v>1812</v>
      </c>
      <c r="S212" s="4" t="s">
        <v>400</v>
      </c>
      <c r="T212" s="7" t="s">
        <v>27</v>
      </c>
      <c r="U212" s="11" t="s">
        <v>923</v>
      </c>
      <c r="V212" s="1" t="s">
        <v>924</v>
      </c>
      <c r="W212" s="1" t="s">
        <v>402</v>
      </c>
      <c r="X212" s="5">
        <v>200061812481</v>
      </c>
      <c r="Y212" s="1" t="s">
        <v>925</v>
      </c>
      <c r="Z212" s="1">
        <v>1</v>
      </c>
      <c r="AA212" s="6" t="s">
        <v>404</v>
      </c>
      <c r="AB212" s="6" t="s">
        <v>405</v>
      </c>
      <c r="AC212" s="6" t="s">
        <v>406</v>
      </c>
      <c r="AD212" s="1" t="s">
        <v>407</v>
      </c>
      <c r="AE212" s="1" t="s">
        <v>408</v>
      </c>
      <c r="AF212" s="1" t="s">
        <v>409</v>
      </c>
      <c r="AG212" s="1" t="s">
        <v>410</v>
      </c>
      <c r="AH212" s="1" t="s">
        <v>411</v>
      </c>
    </row>
    <row r="213" spans="1:34" ht="75" x14ac:dyDescent="0.25">
      <c r="A213" s="1">
        <v>94</v>
      </c>
      <c r="B213" s="1">
        <f t="shared" si="1"/>
        <v>0</v>
      </c>
      <c r="C213" s="1"/>
      <c r="D213" s="4" t="s">
        <v>1752</v>
      </c>
      <c r="E213" s="1" t="s">
        <v>1145</v>
      </c>
      <c r="F213" s="1" t="s">
        <v>1146</v>
      </c>
      <c r="G213" s="1" t="s">
        <v>1147</v>
      </c>
      <c r="H213" s="1">
        <v>409</v>
      </c>
      <c r="I213" s="1" t="s">
        <v>22</v>
      </c>
      <c r="J213" s="1" t="s">
        <v>398</v>
      </c>
      <c r="K213" s="7" t="s">
        <v>23</v>
      </c>
      <c r="L213" s="7" t="s">
        <v>926</v>
      </c>
      <c r="M213" s="7" t="s">
        <v>927</v>
      </c>
      <c r="N213" s="23" t="s">
        <v>921</v>
      </c>
      <c r="O213" s="1" t="s">
        <v>920</v>
      </c>
      <c r="P213" s="7" t="s">
        <v>922</v>
      </c>
      <c r="Q213" s="1" t="s">
        <v>23</v>
      </c>
      <c r="R213" s="1" t="s">
        <v>1812</v>
      </c>
      <c r="S213" s="4" t="s">
        <v>400</v>
      </c>
      <c r="T213" s="7" t="s">
        <v>27</v>
      </c>
      <c r="U213" s="11" t="s">
        <v>923</v>
      </c>
      <c r="V213" s="1" t="s">
        <v>924</v>
      </c>
      <c r="W213" s="1" t="s">
        <v>402</v>
      </c>
      <c r="X213" s="5">
        <v>200061812481</v>
      </c>
      <c r="Y213" s="1" t="s">
        <v>925</v>
      </c>
      <c r="Z213" s="1">
        <v>1</v>
      </c>
      <c r="AA213" s="6" t="s">
        <v>404</v>
      </c>
      <c r="AB213" s="6" t="s">
        <v>405</v>
      </c>
      <c r="AC213" s="6" t="s">
        <v>406</v>
      </c>
      <c r="AD213" s="1" t="s">
        <v>407</v>
      </c>
      <c r="AE213" s="1" t="s">
        <v>408</v>
      </c>
      <c r="AF213" s="1" t="s">
        <v>409</v>
      </c>
      <c r="AG213" s="1" t="s">
        <v>410</v>
      </c>
      <c r="AH213" s="1" t="s">
        <v>411</v>
      </c>
    </row>
    <row r="214" spans="1:34" ht="75" x14ac:dyDescent="0.25">
      <c r="A214" s="1">
        <v>95</v>
      </c>
      <c r="B214" s="1">
        <f t="shared" si="1"/>
        <v>0</v>
      </c>
      <c r="C214" s="1"/>
      <c r="D214" s="4" t="s">
        <v>1753</v>
      </c>
      <c r="E214" s="1" t="s">
        <v>1166</v>
      </c>
      <c r="F214" s="1" t="s">
        <v>1167</v>
      </c>
      <c r="G214" s="1" t="s">
        <v>1163</v>
      </c>
      <c r="H214" s="1">
        <v>409</v>
      </c>
      <c r="I214" s="1" t="s">
        <v>22</v>
      </c>
      <c r="J214" s="1" t="s">
        <v>398</v>
      </c>
      <c r="K214" s="7" t="s">
        <v>23</v>
      </c>
      <c r="L214" s="7" t="s">
        <v>926</v>
      </c>
      <c r="M214" s="7" t="s">
        <v>927</v>
      </c>
      <c r="N214" s="23" t="s">
        <v>921</v>
      </c>
      <c r="O214" s="1" t="s">
        <v>920</v>
      </c>
      <c r="P214" s="7" t="s">
        <v>922</v>
      </c>
      <c r="Q214" s="1" t="s">
        <v>23</v>
      </c>
      <c r="R214" s="1" t="s">
        <v>1812</v>
      </c>
      <c r="S214" s="4" t="s">
        <v>400</v>
      </c>
      <c r="T214" s="7" t="s">
        <v>27</v>
      </c>
      <c r="U214" s="11" t="s">
        <v>923</v>
      </c>
      <c r="V214" s="1" t="s">
        <v>924</v>
      </c>
      <c r="W214" s="1" t="s">
        <v>402</v>
      </c>
      <c r="X214" s="5">
        <v>200061812481</v>
      </c>
      <c r="Y214" s="1" t="s">
        <v>925</v>
      </c>
      <c r="Z214" s="1">
        <v>1</v>
      </c>
      <c r="AA214" s="6" t="s">
        <v>404</v>
      </c>
      <c r="AB214" s="6" t="s">
        <v>405</v>
      </c>
      <c r="AC214" s="6" t="s">
        <v>406</v>
      </c>
      <c r="AD214" s="1" t="s">
        <v>407</v>
      </c>
      <c r="AE214" s="1" t="s">
        <v>408</v>
      </c>
      <c r="AF214" s="1" t="s">
        <v>409</v>
      </c>
      <c r="AG214" s="1" t="s">
        <v>410</v>
      </c>
      <c r="AH214" s="1" t="s">
        <v>411</v>
      </c>
    </row>
    <row r="215" spans="1:34" ht="120" x14ac:dyDescent="0.25">
      <c r="A215" s="1">
        <v>96</v>
      </c>
      <c r="B215" s="1">
        <f t="shared" si="1"/>
        <v>0</v>
      </c>
      <c r="C215" s="1"/>
      <c r="D215" s="4" t="s">
        <v>1754</v>
      </c>
      <c r="E215" s="1" t="s">
        <v>1203</v>
      </c>
      <c r="F215" s="1" t="s">
        <v>1204</v>
      </c>
      <c r="G215" s="1" t="s">
        <v>1205</v>
      </c>
      <c r="H215" s="1">
        <v>409</v>
      </c>
      <c r="I215" s="1" t="s">
        <v>22</v>
      </c>
      <c r="J215" s="1" t="s">
        <v>398</v>
      </c>
      <c r="K215" s="7" t="s">
        <v>23</v>
      </c>
      <c r="L215" s="7" t="s">
        <v>926</v>
      </c>
      <c r="M215" s="7" t="s">
        <v>927</v>
      </c>
      <c r="N215" s="23" t="s">
        <v>921</v>
      </c>
      <c r="O215" s="1" t="s">
        <v>920</v>
      </c>
      <c r="P215" s="7" t="s">
        <v>922</v>
      </c>
      <c r="Q215" s="1" t="s">
        <v>23</v>
      </c>
      <c r="R215" s="1" t="s">
        <v>1812</v>
      </c>
      <c r="S215" s="4" t="s">
        <v>400</v>
      </c>
      <c r="T215" s="7" t="s">
        <v>27</v>
      </c>
      <c r="U215" s="11" t="s">
        <v>923</v>
      </c>
      <c r="V215" s="1" t="s">
        <v>924</v>
      </c>
      <c r="W215" s="1" t="s">
        <v>402</v>
      </c>
      <c r="X215" s="5">
        <v>200061812481</v>
      </c>
      <c r="Y215" s="1" t="s">
        <v>925</v>
      </c>
      <c r="Z215" s="1">
        <v>1</v>
      </c>
      <c r="AA215" s="6" t="s">
        <v>404</v>
      </c>
      <c r="AB215" s="6" t="s">
        <v>405</v>
      </c>
      <c r="AC215" s="6" t="s">
        <v>406</v>
      </c>
      <c r="AD215" s="1" t="s">
        <v>407</v>
      </c>
      <c r="AE215" s="1" t="s">
        <v>408</v>
      </c>
      <c r="AF215" s="1" t="s">
        <v>409</v>
      </c>
      <c r="AG215" s="1" t="s">
        <v>410</v>
      </c>
      <c r="AH215" s="1" t="s">
        <v>411</v>
      </c>
    </row>
    <row r="216" spans="1:34" ht="210" x14ac:dyDescent="0.25">
      <c r="A216" s="1">
        <v>97</v>
      </c>
      <c r="B216" s="1" t="str">
        <f t="shared" si="1"/>
        <v>Y</v>
      </c>
      <c r="C216" s="1" t="s">
        <v>17</v>
      </c>
      <c r="D216" s="4" t="s">
        <v>1755</v>
      </c>
      <c r="E216" s="1" t="s">
        <v>1623</v>
      </c>
      <c r="F216" s="1" t="s">
        <v>417</v>
      </c>
      <c r="G216" s="1" t="s">
        <v>1636</v>
      </c>
      <c r="H216" s="1"/>
      <c r="I216" s="1" t="s">
        <v>22</v>
      </c>
      <c r="J216" s="1" t="s">
        <v>398</v>
      </c>
      <c r="K216" s="7" t="s">
        <v>23</v>
      </c>
      <c r="L216" s="7" t="s">
        <v>926</v>
      </c>
      <c r="M216" s="7" t="s">
        <v>927</v>
      </c>
      <c r="N216" s="23" t="s">
        <v>921</v>
      </c>
      <c r="O216" s="1" t="s">
        <v>920</v>
      </c>
      <c r="P216" s="7" t="s">
        <v>922</v>
      </c>
      <c r="Q216" s="1" t="s">
        <v>23</v>
      </c>
      <c r="R216" s="1" t="s">
        <v>1812</v>
      </c>
      <c r="S216" s="4" t="s">
        <v>400</v>
      </c>
      <c r="T216" s="7" t="s">
        <v>27</v>
      </c>
      <c r="U216" s="11" t="s">
        <v>923</v>
      </c>
      <c r="V216" s="1" t="s">
        <v>924</v>
      </c>
      <c r="W216" s="1" t="s">
        <v>402</v>
      </c>
      <c r="X216" s="5">
        <v>200061812481</v>
      </c>
      <c r="Y216" s="1" t="s">
        <v>925</v>
      </c>
      <c r="Z216" s="1">
        <v>1</v>
      </c>
      <c r="AA216" s="6" t="s">
        <v>404</v>
      </c>
      <c r="AB216" s="6" t="s">
        <v>405</v>
      </c>
      <c r="AC216" s="6" t="s">
        <v>406</v>
      </c>
      <c r="AD216" s="1" t="s">
        <v>407</v>
      </c>
      <c r="AE216" s="1" t="s">
        <v>408</v>
      </c>
      <c r="AF216" s="1" t="s">
        <v>409</v>
      </c>
      <c r="AG216" s="1" t="s">
        <v>410</v>
      </c>
      <c r="AH216" s="1" t="s">
        <v>411</v>
      </c>
    </row>
    <row r="217" spans="1:34" ht="60" x14ac:dyDescent="0.25">
      <c r="A217" s="1">
        <v>98</v>
      </c>
      <c r="B217" s="1">
        <f t="shared" si="1"/>
        <v>0</v>
      </c>
      <c r="C217" s="1"/>
      <c r="D217" s="4" t="s">
        <v>1756</v>
      </c>
      <c r="E217" s="1" t="s">
        <v>1624</v>
      </c>
      <c r="F217" s="1" t="s">
        <v>980</v>
      </c>
      <c r="G217" s="1" t="s">
        <v>1650</v>
      </c>
      <c r="H217" s="1"/>
      <c r="I217" s="1" t="s">
        <v>22</v>
      </c>
      <c r="J217" s="1" t="s">
        <v>398</v>
      </c>
      <c r="K217" s="7" t="s">
        <v>23</v>
      </c>
      <c r="L217" s="7" t="s">
        <v>926</v>
      </c>
      <c r="M217" s="7" t="s">
        <v>927</v>
      </c>
      <c r="N217" s="23" t="s">
        <v>921</v>
      </c>
      <c r="O217" s="1" t="s">
        <v>920</v>
      </c>
      <c r="P217" s="7" t="s">
        <v>922</v>
      </c>
      <c r="Q217" s="1" t="s">
        <v>23</v>
      </c>
      <c r="R217" s="1" t="s">
        <v>1812</v>
      </c>
      <c r="S217" s="4" t="s">
        <v>400</v>
      </c>
      <c r="T217" s="7" t="s">
        <v>27</v>
      </c>
      <c r="U217" s="11" t="s">
        <v>923</v>
      </c>
      <c r="V217" s="1" t="s">
        <v>924</v>
      </c>
      <c r="W217" s="1" t="s">
        <v>402</v>
      </c>
      <c r="X217" s="5">
        <v>200061812481</v>
      </c>
      <c r="Y217" s="1" t="s">
        <v>925</v>
      </c>
      <c r="Z217" s="1">
        <v>1</v>
      </c>
      <c r="AA217" s="6" t="s">
        <v>404</v>
      </c>
      <c r="AB217" s="6" t="s">
        <v>405</v>
      </c>
      <c r="AC217" s="6" t="s">
        <v>406</v>
      </c>
      <c r="AD217" s="1" t="s">
        <v>407</v>
      </c>
      <c r="AE217" s="1" t="s">
        <v>408</v>
      </c>
      <c r="AF217" s="1" t="s">
        <v>409</v>
      </c>
      <c r="AG217" s="1" t="s">
        <v>410</v>
      </c>
      <c r="AH217" s="1" t="s">
        <v>411</v>
      </c>
    </row>
    <row r="218" spans="1:34" ht="45" x14ac:dyDescent="0.25">
      <c r="A218" s="1">
        <v>99</v>
      </c>
      <c r="B218" s="1">
        <f t="shared" si="1"/>
        <v>0</v>
      </c>
      <c r="D218" s="4" t="s">
        <v>1757</v>
      </c>
      <c r="E218" s="1" t="s">
        <v>1625</v>
      </c>
      <c r="F218" s="1" t="s">
        <v>990</v>
      </c>
      <c r="G218" s="1" t="s">
        <v>991</v>
      </c>
      <c r="I218" s="1" t="s">
        <v>22</v>
      </c>
      <c r="J218" s="1" t="s">
        <v>398</v>
      </c>
      <c r="K218" s="7" t="s">
        <v>23</v>
      </c>
      <c r="L218" s="7" t="s">
        <v>926</v>
      </c>
      <c r="M218" s="7" t="s">
        <v>927</v>
      </c>
      <c r="N218" s="23" t="s">
        <v>921</v>
      </c>
      <c r="O218" s="1" t="s">
        <v>920</v>
      </c>
      <c r="P218" s="7" t="s">
        <v>922</v>
      </c>
      <c r="Q218" s="1" t="s">
        <v>23</v>
      </c>
      <c r="R218" s="1" t="s">
        <v>1812</v>
      </c>
      <c r="S218" s="4" t="s">
        <v>400</v>
      </c>
      <c r="T218" s="7" t="s">
        <v>27</v>
      </c>
      <c r="U218" s="11" t="s">
        <v>923</v>
      </c>
      <c r="V218" s="1" t="s">
        <v>924</v>
      </c>
      <c r="W218" s="1" t="s">
        <v>402</v>
      </c>
      <c r="X218" s="5">
        <v>200061812481</v>
      </c>
      <c r="Y218" s="1" t="s">
        <v>925</v>
      </c>
      <c r="Z218" s="1">
        <v>1</v>
      </c>
      <c r="AA218" s="6" t="s">
        <v>404</v>
      </c>
      <c r="AB218" s="6" t="s">
        <v>405</v>
      </c>
      <c r="AC218" s="6" t="s">
        <v>406</v>
      </c>
      <c r="AD218" s="1" t="s">
        <v>407</v>
      </c>
      <c r="AE218" s="1" t="s">
        <v>408</v>
      </c>
      <c r="AF218" s="1" t="s">
        <v>409</v>
      </c>
      <c r="AG218" s="1" t="s">
        <v>410</v>
      </c>
      <c r="AH218" s="1" t="s">
        <v>411</v>
      </c>
    </row>
    <row r="219" spans="1:34" ht="45" x14ac:dyDescent="0.25">
      <c r="A219" s="1">
        <v>100</v>
      </c>
      <c r="B219" s="1">
        <f t="shared" si="1"/>
        <v>0</v>
      </c>
      <c r="D219" s="4" t="s">
        <v>1758</v>
      </c>
      <c r="E219" s="1" t="s">
        <v>1626</v>
      </c>
      <c r="F219" s="1" t="s">
        <v>1651</v>
      </c>
      <c r="G219" s="1" t="s">
        <v>433</v>
      </c>
      <c r="I219" s="1" t="s">
        <v>22</v>
      </c>
      <c r="J219" s="1" t="s">
        <v>398</v>
      </c>
      <c r="K219" s="7" t="s">
        <v>23</v>
      </c>
      <c r="L219" s="7" t="s">
        <v>926</v>
      </c>
      <c r="M219" s="7" t="s">
        <v>927</v>
      </c>
      <c r="N219" s="23" t="s">
        <v>921</v>
      </c>
      <c r="O219" s="1" t="s">
        <v>920</v>
      </c>
      <c r="P219" s="7" t="s">
        <v>922</v>
      </c>
      <c r="Q219" s="1" t="s">
        <v>23</v>
      </c>
      <c r="R219" s="1" t="s">
        <v>1812</v>
      </c>
      <c r="S219" s="4" t="s">
        <v>400</v>
      </c>
      <c r="T219" s="7" t="s">
        <v>27</v>
      </c>
      <c r="U219" s="11" t="s">
        <v>923</v>
      </c>
      <c r="V219" s="1" t="s">
        <v>924</v>
      </c>
      <c r="W219" s="1" t="s">
        <v>402</v>
      </c>
      <c r="X219" s="5">
        <v>200061812481</v>
      </c>
      <c r="Y219" s="1" t="s">
        <v>925</v>
      </c>
      <c r="Z219" s="1">
        <v>1</v>
      </c>
      <c r="AA219" s="6" t="s">
        <v>404</v>
      </c>
      <c r="AB219" s="6" t="s">
        <v>405</v>
      </c>
      <c r="AC219" s="6" t="s">
        <v>406</v>
      </c>
      <c r="AD219" s="1" t="s">
        <v>407</v>
      </c>
      <c r="AE219" s="1" t="s">
        <v>408</v>
      </c>
      <c r="AF219" s="1" t="s">
        <v>409</v>
      </c>
      <c r="AG219" s="1" t="s">
        <v>410</v>
      </c>
      <c r="AH219" s="1" t="s">
        <v>411</v>
      </c>
    </row>
    <row r="220" spans="1:34" ht="45" x14ac:dyDescent="0.25">
      <c r="A220" s="1">
        <v>101</v>
      </c>
      <c r="D220" s="4" t="s">
        <v>1759</v>
      </c>
      <c r="E220" s="1" t="s">
        <v>1627</v>
      </c>
      <c r="F220" s="1" t="s">
        <v>1652</v>
      </c>
      <c r="G220" s="1" t="s">
        <v>433</v>
      </c>
    </row>
    <row r="221" spans="1:34" ht="210" x14ac:dyDescent="0.25">
      <c r="A221" s="1">
        <v>102</v>
      </c>
      <c r="D221" s="4" t="s">
        <v>1760</v>
      </c>
      <c r="E221" s="1" t="s">
        <v>1628</v>
      </c>
      <c r="F221" s="1" t="s">
        <v>1653</v>
      </c>
      <c r="G221" s="1" t="s">
        <v>994</v>
      </c>
    </row>
    <row r="222" spans="1:34" ht="210" x14ac:dyDescent="0.25">
      <c r="A222" s="1">
        <v>103</v>
      </c>
      <c r="D222" s="4" t="s">
        <v>1761</v>
      </c>
      <c r="E222" s="1" t="s">
        <v>1629</v>
      </c>
      <c r="F222" s="1" t="s">
        <v>998</v>
      </c>
      <c r="G222" s="1" t="s">
        <v>994</v>
      </c>
    </row>
    <row r="223" spans="1:34" ht="210" x14ac:dyDescent="0.25">
      <c r="A223" s="1">
        <v>104</v>
      </c>
      <c r="D223" s="4" t="s">
        <v>1762</v>
      </c>
      <c r="E223" s="1" t="s">
        <v>1630</v>
      </c>
      <c r="F223" s="1" t="s">
        <v>999</v>
      </c>
      <c r="G223" s="1" t="s">
        <v>994</v>
      </c>
    </row>
    <row r="224" spans="1:34" ht="210" x14ac:dyDescent="0.25">
      <c r="A224" s="1">
        <v>105</v>
      </c>
      <c r="D224" s="4" t="s">
        <v>1763</v>
      </c>
      <c r="E224" s="1" t="s">
        <v>1631</v>
      </c>
      <c r="F224" s="1" t="s">
        <v>1000</v>
      </c>
      <c r="G224" s="1" t="s">
        <v>994</v>
      </c>
    </row>
    <row r="225" spans="1:7" ht="210" x14ac:dyDescent="0.25">
      <c r="A225" s="1">
        <v>106</v>
      </c>
      <c r="D225" s="4" t="s">
        <v>1764</v>
      </c>
      <c r="E225" s="1" t="s">
        <v>1632</v>
      </c>
      <c r="F225" s="1" t="s">
        <v>1001</v>
      </c>
      <c r="G225" s="1" t="s">
        <v>994</v>
      </c>
    </row>
    <row r="226" spans="1:7" ht="180" x14ac:dyDescent="0.25">
      <c r="A226" s="1">
        <v>107</v>
      </c>
      <c r="D226" s="4" t="s">
        <v>1765</v>
      </c>
      <c r="E226" s="1" t="s">
        <v>1065</v>
      </c>
      <c r="F226" s="1" t="s">
        <v>526</v>
      </c>
      <c r="G226" s="1" t="s">
        <v>1066</v>
      </c>
    </row>
    <row r="227" spans="1:7" ht="75" x14ac:dyDescent="0.25">
      <c r="A227" s="1">
        <v>108</v>
      </c>
      <c r="D227" s="4" t="s">
        <v>1766</v>
      </c>
      <c r="E227" s="1" t="s">
        <v>1070</v>
      </c>
      <c r="F227" s="1" t="s">
        <v>1071</v>
      </c>
      <c r="G227" s="1" t="s">
        <v>1072</v>
      </c>
    </row>
    <row r="228" spans="1:7" ht="60" x14ac:dyDescent="0.25">
      <c r="A228" s="1">
        <v>109</v>
      </c>
      <c r="D228" s="4" t="s">
        <v>1767</v>
      </c>
      <c r="E228" s="1" t="s">
        <v>1079</v>
      </c>
      <c r="F228" s="1" t="s">
        <v>1080</v>
      </c>
      <c r="G228" s="1" t="s">
        <v>1081</v>
      </c>
    </row>
    <row r="229" spans="1:7" ht="75" x14ac:dyDescent="0.25">
      <c r="A229" s="1">
        <v>110</v>
      </c>
      <c r="D229" s="4" t="s">
        <v>1768</v>
      </c>
      <c r="E229" s="1" t="s">
        <v>1088</v>
      </c>
      <c r="F229" s="1" t="s">
        <v>1089</v>
      </c>
      <c r="G229" s="1" t="s">
        <v>1090</v>
      </c>
    </row>
    <row r="230" spans="1:7" ht="75" x14ac:dyDescent="0.25">
      <c r="A230" s="1">
        <v>111</v>
      </c>
      <c r="D230" s="4" t="s">
        <v>1769</v>
      </c>
      <c r="E230" s="1" t="s">
        <v>1094</v>
      </c>
      <c r="F230" s="1" t="s">
        <v>561</v>
      </c>
      <c r="G230" s="1" t="s">
        <v>1095</v>
      </c>
    </row>
    <row r="231" spans="1:7" ht="45" x14ac:dyDescent="0.25">
      <c r="A231" s="1">
        <v>112</v>
      </c>
      <c r="D231" s="4" t="s">
        <v>1770</v>
      </c>
      <c r="E231" s="1" t="s">
        <v>1105</v>
      </c>
      <c r="F231" s="1" t="s">
        <v>538</v>
      </c>
      <c r="G231" s="1" t="s">
        <v>551</v>
      </c>
    </row>
    <row r="232" spans="1:7" ht="45" x14ac:dyDescent="0.25">
      <c r="A232" s="1">
        <v>113</v>
      </c>
      <c r="D232" s="4" t="s">
        <v>1771</v>
      </c>
      <c r="E232" s="1" t="s">
        <v>1106</v>
      </c>
      <c r="F232" s="1" t="s">
        <v>542</v>
      </c>
      <c r="G232" s="1" t="s">
        <v>551</v>
      </c>
    </row>
    <row r="233" spans="1:7" ht="45" x14ac:dyDescent="0.25">
      <c r="A233" s="1">
        <v>114</v>
      </c>
      <c r="D233" s="4" t="s">
        <v>1772</v>
      </c>
      <c r="E233" s="1" t="s">
        <v>1107</v>
      </c>
      <c r="F233" s="1" t="s">
        <v>544</v>
      </c>
      <c r="G233" s="1" t="s">
        <v>551</v>
      </c>
    </row>
    <row r="234" spans="1:7" ht="45" x14ac:dyDescent="0.25">
      <c r="A234" s="1">
        <v>115</v>
      </c>
      <c r="D234" s="4" t="s">
        <v>1773</v>
      </c>
      <c r="E234" s="1" t="s">
        <v>1115</v>
      </c>
      <c r="F234" s="1" t="s">
        <v>1116</v>
      </c>
      <c r="G234" s="1" t="s">
        <v>1117</v>
      </c>
    </row>
    <row r="235" spans="1:7" ht="90" x14ac:dyDescent="0.25">
      <c r="A235" s="1">
        <v>116</v>
      </c>
      <c r="D235" s="4" t="s">
        <v>1774</v>
      </c>
      <c r="E235" s="1" t="s">
        <v>1121</v>
      </c>
      <c r="F235" s="1" t="s">
        <v>1122</v>
      </c>
      <c r="G235" s="1" t="s">
        <v>1123</v>
      </c>
    </row>
    <row r="236" spans="1:7" ht="45" x14ac:dyDescent="0.25">
      <c r="A236" s="1">
        <v>117</v>
      </c>
      <c r="D236" s="4" t="s">
        <v>1775</v>
      </c>
      <c r="E236" s="1" t="s">
        <v>1127</v>
      </c>
      <c r="F236" s="1" t="s">
        <v>570</v>
      </c>
      <c r="G236" s="1" t="s">
        <v>1128</v>
      </c>
    </row>
    <row r="237" spans="1:7" ht="60" x14ac:dyDescent="0.25">
      <c r="A237" s="1">
        <v>118</v>
      </c>
      <c r="D237" s="4" t="s">
        <v>1776</v>
      </c>
      <c r="E237" s="1" t="s">
        <v>1129</v>
      </c>
      <c r="F237" s="1" t="s">
        <v>538</v>
      </c>
      <c r="G237" s="1" t="s">
        <v>1130</v>
      </c>
    </row>
    <row r="238" spans="1:7" ht="45" x14ac:dyDescent="0.25">
      <c r="A238" s="1">
        <v>119</v>
      </c>
      <c r="D238" s="4" t="s">
        <v>1777</v>
      </c>
      <c r="E238" s="1" t="s">
        <v>1131</v>
      </c>
      <c r="F238" s="1" t="s">
        <v>1132</v>
      </c>
      <c r="G238" s="1" t="s">
        <v>1133</v>
      </c>
    </row>
    <row r="239" spans="1:7" ht="60" x14ac:dyDescent="0.25">
      <c r="A239" s="1">
        <v>120</v>
      </c>
      <c r="D239" s="4" t="s">
        <v>1778</v>
      </c>
      <c r="E239" s="1" t="s">
        <v>1134</v>
      </c>
      <c r="F239" s="1" t="s">
        <v>544</v>
      </c>
      <c r="G239" s="1" t="s">
        <v>1135</v>
      </c>
    </row>
    <row r="240" spans="1:7" ht="105" x14ac:dyDescent="0.25">
      <c r="A240" s="1">
        <v>121</v>
      </c>
      <c r="D240" s="4" t="s">
        <v>1779</v>
      </c>
      <c r="E240" s="1" t="s">
        <v>1136</v>
      </c>
      <c r="F240" s="1" t="s">
        <v>1137</v>
      </c>
      <c r="G240" s="1" t="s">
        <v>1138</v>
      </c>
    </row>
    <row r="241" spans="1:7" ht="75" x14ac:dyDescent="0.25">
      <c r="A241" s="1">
        <v>122</v>
      </c>
      <c r="D241" s="4" t="s">
        <v>1780</v>
      </c>
      <c r="E241" s="1" t="s">
        <v>1139</v>
      </c>
      <c r="F241" s="1" t="s">
        <v>1140</v>
      </c>
      <c r="G241" s="1" t="s">
        <v>1141</v>
      </c>
    </row>
    <row r="242" spans="1:7" ht="75" x14ac:dyDescent="0.25">
      <c r="A242" s="1">
        <v>123</v>
      </c>
      <c r="D242" s="4" t="s">
        <v>1781</v>
      </c>
      <c r="E242" s="1" t="s">
        <v>1142</v>
      </c>
      <c r="F242" s="1" t="s">
        <v>1143</v>
      </c>
      <c r="G242" s="1" t="s">
        <v>1144</v>
      </c>
    </row>
    <row r="243" spans="1:7" ht="60" x14ac:dyDescent="0.25">
      <c r="A243" s="1">
        <v>124</v>
      </c>
      <c r="D243" s="4" t="s">
        <v>1782</v>
      </c>
      <c r="E243" s="1" t="s">
        <v>1148</v>
      </c>
      <c r="F243" s="1" t="s">
        <v>1149</v>
      </c>
      <c r="G243" s="1" t="s">
        <v>1150</v>
      </c>
    </row>
    <row r="244" spans="1:7" ht="75" x14ac:dyDescent="0.25">
      <c r="A244" s="1">
        <v>125</v>
      </c>
      <c r="D244" s="4" t="s">
        <v>1783</v>
      </c>
      <c r="E244" s="1" t="s">
        <v>1151</v>
      </c>
      <c r="F244" s="1" t="s">
        <v>580</v>
      </c>
      <c r="G244" s="1" t="s">
        <v>1152</v>
      </c>
    </row>
    <row r="245" spans="1:7" ht="75" x14ac:dyDescent="0.25">
      <c r="A245" s="1">
        <v>126</v>
      </c>
      <c r="D245" s="4" t="s">
        <v>1784</v>
      </c>
      <c r="E245" s="1" t="s">
        <v>1153</v>
      </c>
      <c r="F245" s="1" t="s">
        <v>585</v>
      </c>
      <c r="G245" s="1" t="s">
        <v>1154</v>
      </c>
    </row>
    <row r="246" spans="1:7" ht="60" x14ac:dyDescent="0.25">
      <c r="A246" s="1">
        <v>127</v>
      </c>
      <c r="D246" s="4" t="s">
        <v>1785</v>
      </c>
      <c r="E246" s="1" t="s">
        <v>1155</v>
      </c>
      <c r="F246" s="1" t="s">
        <v>1156</v>
      </c>
      <c r="G246" s="1" t="s">
        <v>1157</v>
      </c>
    </row>
    <row r="247" spans="1:7" ht="75" x14ac:dyDescent="0.25">
      <c r="A247" s="1">
        <v>128</v>
      </c>
      <c r="D247" s="4" t="s">
        <v>1786</v>
      </c>
      <c r="E247" s="1" t="s">
        <v>1158</v>
      </c>
      <c r="F247" s="1" t="s">
        <v>1159</v>
      </c>
      <c r="G247" s="1" t="s">
        <v>1160</v>
      </c>
    </row>
    <row r="248" spans="1:7" ht="75" x14ac:dyDescent="0.25">
      <c r="A248" s="1">
        <v>129</v>
      </c>
      <c r="D248" s="4" t="s">
        <v>1787</v>
      </c>
      <c r="E248" s="1" t="s">
        <v>1161</v>
      </c>
      <c r="F248" s="1" t="s">
        <v>1162</v>
      </c>
      <c r="G248" s="1" t="s">
        <v>1163</v>
      </c>
    </row>
    <row r="249" spans="1:7" ht="75" x14ac:dyDescent="0.25">
      <c r="A249" s="1">
        <v>130</v>
      </c>
      <c r="D249" s="4" t="s">
        <v>1788</v>
      </c>
      <c r="E249" s="1" t="s">
        <v>1164</v>
      </c>
      <c r="F249" s="1" t="s">
        <v>1165</v>
      </c>
      <c r="G249" s="1" t="s">
        <v>1163</v>
      </c>
    </row>
    <row r="250" spans="1:7" ht="75" x14ac:dyDescent="0.25">
      <c r="A250" s="1">
        <v>131</v>
      </c>
      <c r="D250" s="4" t="s">
        <v>1789</v>
      </c>
      <c r="E250" s="1" t="s">
        <v>1171</v>
      </c>
      <c r="F250" s="1" t="s">
        <v>1172</v>
      </c>
      <c r="G250" s="1" t="s">
        <v>1163</v>
      </c>
    </row>
    <row r="251" spans="1:7" ht="120" x14ac:dyDescent="0.25">
      <c r="A251" s="1">
        <v>132</v>
      </c>
      <c r="D251" s="4" t="s">
        <v>1790</v>
      </c>
      <c r="E251" s="1" t="s">
        <v>1173</v>
      </c>
      <c r="F251" s="1" t="s">
        <v>1174</v>
      </c>
      <c r="G251" s="1" t="s">
        <v>1175</v>
      </c>
    </row>
    <row r="252" spans="1:7" ht="255" x14ac:dyDescent="0.25">
      <c r="A252" s="1">
        <v>133</v>
      </c>
      <c r="D252" s="4" t="s">
        <v>1791</v>
      </c>
      <c r="E252" s="1" t="s">
        <v>1176</v>
      </c>
      <c r="F252" s="1" t="s">
        <v>1177</v>
      </c>
      <c r="G252" s="1" t="s">
        <v>1178</v>
      </c>
    </row>
    <row r="253" spans="1:7" ht="165" x14ac:dyDescent="0.25">
      <c r="A253" s="1">
        <v>134</v>
      </c>
      <c r="D253" s="4" t="s">
        <v>1792</v>
      </c>
      <c r="E253" s="1" t="s">
        <v>1206</v>
      </c>
      <c r="F253" s="1" t="s">
        <v>1204</v>
      </c>
      <c r="G253" s="1" t="s">
        <v>1207</v>
      </c>
    </row>
    <row r="254" spans="1:7" ht="60" x14ac:dyDescent="0.25">
      <c r="A254" s="1">
        <v>135</v>
      </c>
      <c r="D254" s="4" t="s">
        <v>1793</v>
      </c>
      <c r="E254" s="1" t="s">
        <v>1633</v>
      </c>
      <c r="F254" s="1" t="s">
        <v>981</v>
      </c>
      <c r="G254" s="1" t="s">
        <v>1650</v>
      </c>
    </row>
    <row r="255" spans="1:7" ht="105" x14ac:dyDescent="0.25">
      <c r="A255" s="1">
        <v>136</v>
      </c>
      <c r="D255" s="4" t="s">
        <v>1794</v>
      </c>
      <c r="E255" s="1" t="s">
        <v>1634</v>
      </c>
      <c r="F255" s="1" t="s">
        <v>1654</v>
      </c>
      <c r="G255" s="1" t="s">
        <v>1639</v>
      </c>
    </row>
    <row r="256" spans="1:7" ht="45" x14ac:dyDescent="0.25">
      <c r="A256" s="1">
        <v>137</v>
      </c>
      <c r="D256" s="4" t="s">
        <v>1795</v>
      </c>
      <c r="E256" s="1" t="s">
        <v>1108</v>
      </c>
      <c r="F256" s="1" t="s">
        <v>538</v>
      </c>
      <c r="G256" s="1" t="s">
        <v>556</v>
      </c>
    </row>
    <row r="257" spans="1:7" ht="45" x14ac:dyDescent="0.25">
      <c r="A257" s="1">
        <v>138</v>
      </c>
      <c r="D257" s="4" t="s">
        <v>1796</v>
      </c>
      <c r="E257" s="1" t="s">
        <v>1109</v>
      </c>
      <c r="F257" s="1" t="s">
        <v>542</v>
      </c>
      <c r="G257" s="1" t="s">
        <v>556</v>
      </c>
    </row>
    <row r="258" spans="1:7" ht="45" x14ac:dyDescent="0.25">
      <c r="A258" s="1">
        <v>139</v>
      </c>
      <c r="D258" s="4" t="s">
        <v>1797</v>
      </c>
      <c r="E258" s="1" t="s">
        <v>1110</v>
      </c>
      <c r="F258" s="1" t="s">
        <v>544</v>
      </c>
      <c r="G258" s="1" t="s">
        <v>556</v>
      </c>
    </row>
    <row r="259" spans="1:7" ht="75" x14ac:dyDescent="0.25">
      <c r="A259" s="1">
        <v>140</v>
      </c>
      <c r="D259" s="4" t="s">
        <v>1798</v>
      </c>
      <c r="E259" s="1" t="s">
        <v>1118</v>
      </c>
      <c r="F259" s="1" t="s">
        <v>1119</v>
      </c>
      <c r="G259" s="1" t="s">
        <v>1120</v>
      </c>
    </row>
    <row r="260" spans="1:7" ht="75" x14ac:dyDescent="0.25">
      <c r="A260" s="1">
        <v>141</v>
      </c>
      <c r="D260" s="4" t="s">
        <v>1799</v>
      </c>
      <c r="E260" s="1" t="s">
        <v>1124</v>
      </c>
      <c r="F260" s="1" t="s">
        <v>1125</v>
      </c>
      <c r="G260" s="1" t="s">
        <v>1126</v>
      </c>
    </row>
    <row r="261" spans="1:7" ht="90" x14ac:dyDescent="0.25">
      <c r="A261" s="1">
        <v>142</v>
      </c>
      <c r="D261" s="4" t="s">
        <v>1800</v>
      </c>
      <c r="E261" s="1" t="s">
        <v>1168</v>
      </c>
      <c r="F261" s="1" t="s">
        <v>1169</v>
      </c>
      <c r="G261" s="1" t="s">
        <v>1170</v>
      </c>
    </row>
    <row r="262" spans="1:7" ht="255" x14ac:dyDescent="0.25">
      <c r="A262" s="1">
        <v>143</v>
      </c>
      <c r="D262" s="4" t="s">
        <v>1801</v>
      </c>
      <c r="E262" s="1" t="s">
        <v>1655</v>
      </c>
      <c r="F262" s="1" t="s">
        <v>1180</v>
      </c>
      <c r="G262" s="1" t="s">
        <v>1178</v>
      </c>
    </row>
    <row r="263" spans="1:7" ht="270" x14ac:dyDescent="0.25">
      <c r="A263" s="1">
        <v>144</v>
      </c>
      <c r="D263" s="4" t="s">
        <v>1802</v>
      </c>
      <c r="E263" s="1" t="s">
        <v>1181</v>
      </c>
      <c r="F263" s="1" t="s">
        <v>1182</v>
      </c>
      <c r="G263" s="1" t="s">
        <v>1183</v>
      </c>
    </row>
    <row r="264" spans="1:7" ht="270" x14ac:dyDescent="0.25">
      <c r="A264" s="1">
        <v>145</v>
      </c>
      <c r="D264" s="4" t="s">
        <v>1803</v>
      </c>
      <c r="E264" s="1" t="s">
        <v>1184</v>
      </c>
      <c r="F264" s="1" t="s">
        <v>1185</v>
      </c>
      <c r="G264" s="1" t="s">
        <v>1183</v>
      </c>
    </row>
    <row r="265" spans="1:7" ht="255" x14ac:dyDescent="0.25">
      <c r="A265" s="1">
        <v>146</v>
      </c>
      <c r="D265" s="4" t="s">
        <v>1804</v>
      </c>
      <c r="E265" s="1" t="s">
        <v>1186</v>
      </c>
      <c r="F265" s="1" t="s">
        <v>1187</v>
      </c>
      <c r="G265" s="1" t="s">
        <v>1188</v>
      </c>
    </row>
    <row r="266" spans="1:7" ht="255" x14ac:dyDescent="0.25">
      <c r="A266" s="1">
        <v>147</v>
      </c>
      <c r="D266" s="4" t="s">
        <v>1805</v>
      </c>
      <c r="E266" s="1" t="s">
        <v>1189</v>
      </c>
      <c r="F266" s="1" t="s">
        <v>1190</v>
      </c>
      <c r="G266" s="1" t="s">
        <v>1188</v>
      </c>
    </row>
    <row r="267" spans="1:7" ht="225" x14ac:dyDescent="0.25">
      <c r="A267" s="1">
        <v>148</v>
      </c>
      <c r="D267" s="4" t="s">
        <v>1806</v>
      </c>
      <c r="E267" s="1" t="s">
        <v>1191</v>
      </c>
      <c r="F267" s="1" t="s">
        <v>1192</v>
      </c>
      <c r="G267" s="1" t="s">
        <v>1193</v>
      </c>
    </row>
    <row r="268" spans="1:7" ht="225" x14ac:dyDescent="0.25">
      <c r="A268" s="1">
        <v>149</v>
      </c>
      <c r="D268" s="4" t="s">
        <v>1807</v>
      </c>
      <c r="E268" s="1" t="s">
        <v>1194</v>
      </c>
      <c r="F268" s="1" t="s">
        <v>1192</v>
      </c>
      <c r="G268" s="1" t="s">
        <v>1193</v>
      </c>
    </row>
    <row r="269" spans="1:7" ht="210" x14ac:dyDescent="0.25">
      <c r="A269" s="1">
        <v>150</v>
      </c>
      <c r="D269" s="4" t="s">
        <v>1808</v>
      </c>
      <c r="E269" s="1" t="s">
        <v>1195</v>
      </c>
      <c r="F269" s="1" t="s">
        <v>1196</v>
      </c>
      <c r="G269" s="1" t="s">
        <v>1197</v>
      </c>
    </row>
    <row r="270" spans="1:7" ht="210" x14ac:dyDescent="0.25">
      <c r="A270" s="1">
        <v>151</v>
      </c>
      <c r="D270" s="4" t="s">
        <v>1809</v>
      </c>
      <c r="E270" s="1" t="s">
        <v>1198</v>
      </c>
      <c r="F270" s="1" t="s">
        <v>1199</v>
      </c>
      <c r="G270" s="1" t="s">
        <v>1197</v>
      </c>
    </row>
    <row r="271" spans="1:7" ht="240" x14ac:dyDescent="0.25">
      <c r="A271" s="1">
        <v>152</v>
      </c>
      <c r="D271" s="4" t="s">
        <v>1810</v>
      </c>
      <c r="E271" s="1" t="s">
        <v>1200</v>
      </c>
      <c r="F271" s="1" t="s">
        <v>1201</v>
      </c>
      <c r="G271" s="1" t="s">
        <v>1202</v>
      </c>
    </row>
  </sheetData>
  <autoFilter ref="A1:AM219" xr:uid="{6E645A5C-F0A2-441C-8DBD-6B6295C119FD}"/>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4CD7F-822E-4D4A-BC5C-3BE040E0FF6B}">
  <sheetPr>
    <tabColor rgb="FFFFC000"/>
  </sheetPr>
  <dimension ref="A1:U23"/>
  <sheetViews>
    <sheetView topLeftCell="F1" zoomScale="85" zoomScaleNormal="85" workbookViewId="0">
      <pane ySplit="1" topLeftCell="A2" activePane="bottomLeft" state="frozen"/>
      <selection pane="bottomLeft" activeCell="M5" sqref="M5"/>
    </sheetView>
  </sheetViews>
  <sheetFormatPr defaultRowHeight="15" x14ac:dyDescent="0.25"/>
  <cols>
    <col min="1" max="1" width="3.140625" bestFit="1" customWidth="1"/>
    <col min="2" max="2" width="13.7109375" style="3" bestFit="1" customWidth="1"/>
    <col min="3" max="3" width="9.140625" style="3"/>
    <col min="4" max="4" width="32.42578125" style="4"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8" t="s">
        <v>0</v>
      </c>
      <c r="B1" s="2" t="s">
        <v>1</v>
      </c>
      <c r="C1" s="2" t="s">
        <v>2</v>
      </c>
      <c r="D1" s="2" t="s">
        <v>3</v>
      </c>
      <c r="E1" s="2" t="s">
        <v>4</v>
      </c>
      <c r="F1" s="2" t="s">
        <v>5</v>
      </c>
      <c r="G1" s="2" t="s">
        <v>6</v>
      </c>
      <c r="H1" s="2" t="s">
        <v>7</v>
      </c>
      <c r="I1" s="13" t="s">
        <v>8</v>
      </c>
      <c r="J1" s="9" t="s">
        <v>9</v>
      </c>
      <c r="K1" s="9" t="s">
        <v>10</v>
      </c>
      <c r="L1" s="9" t="s">
        <v>11</v>
      </c>
      <c r="M1" s="9" t="s">
        <v>12</v>
      </c>
      <c r="N1" s="9" t="s">
        <v>13</v>
      </c>
      <c r="O1" s="9" t="s">
        <v>14</v>
      </c>
      <c r="P1" s="10" t="s">
        <v>15</v>
      </c>
      <c r="Q1" s="10" t="s">
        <v>16</v>
      </c>
      <c r="R1" s="26" t="s">
        <v>1484</v>
      </c>
      <c r="S1" s="26" t="s">
        <v>1485</v>
      </c>
      <c r="T1" s="26" t="s">
        <v>1486</v>
      </c>
      <c r="U1" s="26" t="s">
        <v>1487</v>
      </c>
    </row>
    <row r="2" spans="1:21" ht="135" x14ac:dyDescent="0.25">
      <c r="A2">
        <v>1</v>
      </c>
      <c r="B2" s="1" t="str">
        <f t="shared" ref="B2:B16" si="0">C2</f>
        <v>Y</v>
      </c>
      <c r="C2" s="1" t="s">
        <v>17</v>
      </c>
      <c r="D2" s="1" t="s">
        <v>51</v>
      </c>
      <c r="E2" s="1" t="s">
        <v>52</v>
      </c>
      <c r="F2" s="1" t="s">
        <v>53</v>
      </c>
      <c r="G2" s="1" t="s">
        <v>54</v>
      </c>
      <c r="H2" s="5">
        <v>200</v>
      </c>
      <c r="I2" s="1" t="s">
        <v>22</v>
      </c>
      <c r="J2" s="1" t="s">
        <v>23</v>
      </c>
      <c r="K2" s="1" t="s">
        <v>24</v>
      </c>
      <c r="L2" s="1" t="s">
        <v>25</v>
      </c>
      <c r="M2" s="6" t="s">
        <v>1839</v>
      </c>
      <c r="N2" s="25" t="s">
        <v>1840</v>
      </c>
      <c r="O2" s="1" t="s">
        <v>23</v>
      </c>
      <c r="P2" s="92">
        <v>200061777902</v>
      </c>
      <c r="Q2" s="1" t="s">
        <v>27</v>
      </c>
    </row>
    <row r="3" spans="1:21" ht="60" x14ac:dyDescent="0.25">
      <c r="A3">
        <v>2</v>
      </c>
      <c r="B3" s="1" t="str">
        <f t="shared" si="0"/>
        <v>Y</v>
      </c>
      <c r="C3" s="1" t="s">
        <v>17</v>
      </c>
      <c r="D3" s="1" t="s">
        <v>1841</v>
      </c>
      <c r="E3" s="1" t="s">
        <v>1843</v>
      </c>
      <c r="F3" s="1" t="s">
        <v>55</v>
      </c>
      <c r="G3" s="1" t="s">
        <v>56</v>
      </c>
      <c r="H3" s="5">
        <v>400</v>
      </c>
      <c r="I3" s="1" t="s">
        <v>22</v>
      </c>
      <c r="J3" s="1" t="s">
        <v>23</v>
      </c>
      <c r="K3" s="1" t="s">
        <v>24</v>
      </c>
      <c r="L3" s="1" t="s">
        <v>25</v>
      </c>
      <c r="M3" s="6">
        <v>1042346954</v>
      </c>
      <c r="N3" s="25" t="s">
        <v>813</v>
      </c>
      <c r="O3" s="1" t="s">
        <v>23</v>
      </c>
      <c r="P3" s="92">
        <v>200061777902</v>
      </c>
    </row>
    <row r="4" spans="1:21" ht="60" x14ac:dyDescent="0.25">
      <c r="B4" s="1" t="str">
        <f t="shared" ref="B4" si="1">C4</f>
        <v>Y</v>
      </c>
      <c r="C4" s="1" t="s">
        <v>17</v>
      </c>
      <c r="D4" s="1" t="s">
        <v>1842</v>
      </c>
      <c r="E4" s="1" t="s">
        <v>1844</v>
      </c>
      <c r="F4" s="1" t="s">
        <v>55</v>
      </c>
      <c r="G4" s="1" t="s">
        <v>56</v>
      </c>
      <c r="H4" s="5">
        <v>400</v>
      </c>
      <c r="I4" s="1" t="s">
        <v>22</v>
      </c>
      <c r="J4" s="1" t="s">
        <v>23</v>
      </c>
      <c r="K4" s="1" t="s">
        <v>24</v>
      </c>
      <c r="L4" s="1" t="s">
        <v>25</v>
      </c>
      <c r="M4" s="6">
        <v>1042346954</v>
      </c>
      <c r="N4" s="25" t="s">
        <v>813</v>
      </c>
      <c r="O4" s="1" t="s">
        <v>23</v>
      </c>
      <c r="P4" s="92"/>
      <c r="Q4" s="1" t="s">
        <v>27</v>
      </c>
    </row>
    <row r="5" spans="1:21" ht="60" x14ac:dyDescent="0.25">
      <c r="A5" s="86">
        <v>3</v>
      </c>
      <c r="B5" s="87" t="str">
        <f t="shared" si="0"/>
        <v>Y</v>
      </c>
      <c r="C5" s="87" t="s">
        <v>17</v>
      </c>
      <c r="D5" s="87" t="s">
        <v>57</v>
      </c>
      <c r="E5" s="87" t="s">
        <v>58</v>
      </c>
      <c r="F5" s="87" t="s">
        <v>59</v>
      </c>
      <c r="G5" s="87" t="s">
        <v>60</v>
      </c>
      <c r="H5" s="88">
        <v>403</v>
      </c>
      <c r="I5" s="1" t="s">
        <v>22</v>
      </c>
      <c r="J5" s="1" t="s">
        <v>23</v>
      </c>
      <c r="K5" s="1" t="s">
        <v>24</v>
      </c>
      <c r="L5" s="1" t="s">
        <v>25</v>
      </c>
      <c r="M5" s="6">
        <v>1042346954</v>
      </c>
      <c r="N5" s="25" t="s">
        <v>813</v>
      </c>
      <c r="O5" s="1" t="s">
        <v>23</v>
      </c>
      <c r="P5" s="92">
        <v>200061777902</v>
      </c>
      <c r="Q5" s="1" t="s">
        <v>27</v>
      </c>
    </row>
    <row r="6" spans="1:21" ht="120" x14ac:dyDescent="0.25">
      <c r="A6">
        <v>4</v>
      </c>
      <c r="B6" s="1" t="str">
        <f t="shared" si="0"/>
        <v>Y</v>
      </c>
      <c r="C6" s="1" t="s">
        <v>17</v>
      </c>
      <c r="D6" s="1" t="s">
        <v>61</v>
      </c>
      <c r="E6" s="1" t="s">
        <v>62</v>
      </c>
      <c r="F6" s="1" t="s">
        <v>63</v>
      </c>
      <c r="G6" s="1" t="s">
        <v>64</v>
      </c>
      <c r="H6" s="5">
        <v>200</v>
      </c>
      <c r="I6" s="1" t="s">
        <v>22</v>
      </c>
      <c r="J6" s="1" t="s">
        <v>23</v>
      </c>
      <c r="K6" s="1" t="s">
        <v>24</v>
      </c>
      <c r="L6" s="1" t="s">
        <v>25</v>
      </c>
      <c r="M6" s="6" t="s">
        <v>1839</v>
      </c>
      <c r="N6" s="25" t="s">
        <v>1840</v>
      </c>
      <c r="O6" s="1" t="s">
        <v>23</v>
      </c>
      <c r="P6" s="92">
        <v>200061777902</v>
      </c>
      <c r="Q6" s="1" t="s">
        <v>27</v>
      </c>
    </row>
    <row r="7" spans="1:21" ht="60" x14ac:dyDescent="0.25">
      <c r="A7">
        <v>5</v>
      </c>
      <c r="B7" s="1" t="str">
        <f t="shared" si="0"/>
        <v>Y</v>
      </c>
      <c r="C7" s="1" t="s">
        <v>17</v>
      </c>
      <c r="D7" s="1" t="s">
        <v>65</v>
      </c>
      <c r="E7" s="1" t="s">
        <v>66</v>
      </c>
      <c r="F7" s="1" t="s">
        <v>67</v>
      </c>
      <c r="G7" s="1" t="s">
        <v>68</v>
      </c>
      <c r="H7" s="4">
        <v>200</v>
      </c>
      <c r="I7" s="1" t="s">
        <v>22</v>
      </c>
      <c r="J7" s="1" t="s">
        <v>23</v>
      </c>
      <c r="K7" s="1" t="s">
        <v>24</v>
      </c>
      <c r="L7" s="1" t="s">
        <v>25</v>
      </c>
      <c r="M7" s="6">
        <v>1042346954</v>
      </c>
      <c r="N7" s="25" t="s">
        <v>813</v>
      </c>
      <c r="O7" s="1" t="s">
        <v>23</v>
      </c>
      <c r="P7" s="92">
        <v>200061777902</v>
      </c>
      <c r="Q7" s="1" t="s">
        <v>27</v>
      </c>
    </row>
    <row r="8" spans="1:21" ht="60" x14ac:dyDescent="0.25">
      <c r="A8">
        <v>6</v>
      </c>
      <c r="B8" s="1" t="str">
        <f t="shared" si="0"/>
        <v>Y</v>
      </c>
      <c r="C8" s="1" t="s">
        <v>17</v>
      </c>
      <c r="D8" s="1" t="s">
        <v>69</v>
      </c>
      <c r="E8" s="1" t="s">
        <v>70</v>
      </c>
      <c r="F8" s="1" t="s">
        <v>71</v>
      </c>
      <c r="G8" s="1" t="s">
        <v>72</v>
      </c>
      <c r="H8" s="4">
        <v>200</v>
      </c>
      <c r="I8" s="1" t="s">
        <v>22</v>
      </c>
      <c r="J8" s="1" t="s">
        <v>23</v>
      </c>
      <c r="K8" s="1" t="s">
        <v>24</v>
      </c>
      <c r="L8" s="1" t="s">
        <v>25</v>
      </c>
      <c r="M8" s="6" t="s">
        <v>1839</v>
      </c>
      <c r="N8" s="25" t="s">
        <v>1840</v>
      </c>
      <c r="O8" s="1" t="s">
        <v>23</v>
      </c>
      <c r="P8" s="92">
        <v>200061777902</v>
      </c>
      <c r="Q8" s="1" t="s">
        <v>27</v>
      </c>
    </row>
    <row r="9" spans="1:21" ht="60" x14ac:dyDescent="0.25">
      <c r="A9">
        <v>7</v>
      </c>
      <c r="B9" s="1" t="str">
        <f t="shared" si="0"/>
        <v>Y</v>
      </c>
      <c r="C9" s="1" t="s">
        <v>17</v>
      </c>
      <c r="D9" s="1" t="s">
        <v>73</v>
      </c>
      <c r="E9" s="1" t="s">
        <v>74</v>
      </c>
      <c r="F9" s="1" t="s">
        <v>75</v>
      </c>
      <c r="G9" s="1" t="s">
        <v>76</v>
      </c>
      <c r="H9" s="1">
        <v>401</v>
      </c>
      <c r="I9" s="1" t="s">
        <v>22</v>
      </c>
      <c r="J9" s="1" t="s">
        <v>23</v>
      </c>
      <c r="K9" s="1" t="s">
        <v>24</v>
      </c>
      <c r="L9" s="1" t="s">
        <v>25</v>
      </c>
      <c r="M9" s="6">
        <v>1042346954</v>
      </c>
      <c r="N9" s="25" t="s">
        <v>813</v>
      </c>
      <c r="O9" s="1" t="s">
        <v>23</v>
      </c>
      <c r="P9" s="92">
        <v>200061777902</v>
      </c>
      <c r="Q9" s="1" t="s">
        <v>27</v>
      </c>
    </row>
    <row r="10" spans="1:21" ht="60" x14ac:dyDescent="0.25">
      <c r="A10">
        <v>8</v>
      </c>
      <c r="B10" s="1" t="str">
        <f t="shared" si="0"/>
        <v>Y</v>
      </c>
      <c r="C10" s="1" t="s">
        <v>17</v>
      </c>
      <c r="D10" s="1" t="s">
        <v>77</v>
      </c>
      <c r="E10" s="1" t="s">
        <v>78</v>
      </c>
      <c r="F10" s="1" t="s">
        <v>79</v>
      </c>
      <c r="G10" s="1" t="s">
        <v>80</v>
      </c>
      <c r="H10" s="4">
        <v>200</v>
      </c>
      <c r="I10" s="1" t="s">
        <v>22</v>
      </c>
      <c r="J10" s="1" t="s">
        <v>23</v>
      </c>
      <c r="K10" s="1" t="s">
        <v>24</v>
      </c>
      <c r="L10" s="1" t="s">
        <v>25</v>
      </c>
      <c r="M10" s="6">
        <v>1042346954</v>
      </c>
      <c r="N10" s="25" t="s">
        <v>813</v>
      </c>
      <c r="O10" s="1" t="s">
        <v>23</v>
      </c>
      <c r="P10" s="92">
        <v>200061777902</v>
      </c>
      <c r="Q10" s="1" t="s">
        <v>27</v>
      </c>
    </row>
    <row r="11" spans="1:21" ht="90" x14ac:dyDescent="0.25">
      <c r="A11">
        <v>9</v>
      </c>
      <c r="B11" s="1" t="str">
        <f t="shared" si="0"/>
        <v>Y</v>
      </c>
      <c r="C11" s="1" t="s">
        <v>17</v>
      </c>
      <c r="D11" s="1" t="s">
        <v>81</v>
      </c>
      <c r="E11" s="1" t="s">
        <v>82</v>
      </c>
      <c r="F11" s="1" t="s">
        <v>83</v>
      </c>
      <c r="G11" s="1" t="s">
        <v>84</v>
      </c>
      <c r="H11" s="4">
        <v>400</v>
      </c>
      <c r="I11" s="1" t="s">
        <v>22</v>
      </c>
      <c r="J11" s="1" t="s">
        <v>23</v>
      </c>
      <c r="K11" s="1" t="s">
        <v>24</v>
      </c>
      <c r="L11" s="1" t="s">
        <v>25</v>
      </c>
      <c r="M11" s="6">
        <v>1042346954</v>
      </c>
      <c r="N11" s="25" t="s">
        <v>813</v>
      </c>
      <c r="O11" s="1" t="s">
        <v>23</v>
      </c>
      <c r="P11" s="92">
        <v>200061777902</v>
      </c>
      <c r="Q11" s="1" t="s">
        <v>27</v>
      </c>
    </row>
    <row r="12" spans="1:21" ht="90" x14ac:dyDescent="0.25">
      <c r="A12">
        <v>10</v>
      </c>
      <c r="B12" s="1" t="str">
        <f t="shared" si="0"/>
        <v>Y</v>
      </c>
      <c r="C12" s="1" t="s">
        <v>17</v>
      </c>
      <c r="D12" s="1" t="s">
        <v>85</v>
      </c>
      <c r="E12" s="1" t="s">
        <v>86</v>
      </c>
      <c r="F12" s="1" t="s">
        <v>87</v>
      </c>
      <c r="G12" s="1" t="s">
        <v>88</v>
      </c>
      <c r="H12" s="4">
        <v>400</v>
      </c>
      <c r="I12" s="1" t="s">
        <v>22</v>
      </c>
      <c r="J12" s="1" t="s">
        <v>23</v>
      </c>
      <c r="K12" s="1" t="s">
        <v>24</v>
      </c>
      <c r="L12" s="1" t="s">
        <v>25</v>
      </c>
      <c r="M12" s="6">
        <v>1042346954</v>
      </c>
      <c r="N12" s="25" t="s">
        <v>813</v>
      </c>
      <c r="O12" s="1" t="s">
        <v>23</v>
      </c>
      <c r="P12" s="92">
        <v>200061777902</v>
      </c>
      <c r="Q12" s="1" t="s">
        <v>27</v>
      </c>
    </row>
    <row r="13" spans="1:21" ht="90" x14ac:dyDescent="0.25">
      <c r="A13">
        <v>11</v>
      </c>
      <c r="B13" s="1" t="str">
        <f t="shared" si="0"/>
        <v>Y</v>
      </c>
      <c r="C13" s="1" t="s">
        <v>17</v>
      </c>
      <c r="D13" s="1" t="s">
        <v>89</v>
      </c>
      <c r="E13" s="1" t="s">
        <v>90</v>
      </c>
      <c r="F13" s="1" t="s">
        <v>91</v>
      </c>
      <c r="G13" s="1" t="s">
        <v>84</v>
      </c>
      <c r="H13" s="4">
        <v>400</v>
      </c>
      <c r="I13" s="1" t="s">
        <v>22</v>
      </c>
      <c r="J13" s="1" t="s">
        <v>23</v>
      </c>
      <c r="K13" s="1" t="s">
        <v>24</v>
      </c>
      <c r="L13" s="1" t="s">
        <v>25</v>
      </c>
      <c r="M13" s="6">
        <v>1042346954</v>
      </c>
      <c r="N13" s="25" t="s">
        <v>813</v>
      </c>
      <c r="O13" s="1" t="s">
        <v>23</v>
      </c>
      <c r="P13" s="92">
        <v>200061777902</v>
      </c>
      <c r="Q13" s="1" t="s">
        <v>27</v>
      </c>
    </row>
    <row r="14" spans="1:21" ht="90" x14ac:dyDescent="0.25">
      <c r="A14">
        <v>12</v>
      </c>
      <c r="B14" s="1" t="str">
        <f t="shared" si="0"/>
        <v>Y</v>
      </c>
      <c r="C14" s="1" t="s">
        <v>17</v>
      </c>
      <c r="D14" s="1" t="s">
        <v>92</v>
      </c>
      <c r="E14" s="1" t="s">
        <v>93</v>
      </c>
      <c r="F14" s="1" t="s">
        <v>94</v>
      </c>
      <c r="G14" s="1" t="s">
        <v>84</v>
      </c>
      <c r="H14" s="4">
        <v>400</v>
      </c>
      <c r="I14" s="1" t="s">
        <v>22</v>
      </c>
      <c r="J14" s="1" t="s">
        <v>23</v>
      </c>
      <c r="K14" s="1" t="s">
        <v>24</v>
      </c>
      <c r="L14" s="1" t="s">
        <v>25</v>
      </c>
      <c r="M14" s="6">
        <v>1042346954</v>
      </c>
      <c r="N14" s="25" t="s">
        <v>813</v>
      </c>
      <c r="O14" s="1" t="s">
        <v>23</v>
      </c>
      <c r="P14" s="92">
        <v>200061777902</v>
      </c>
      <c r="Q14" s="1" t="s">
        <v>27</v>
      </c>
    </row>
    <row r="15" spans="1:21" ht="75" x14ac:dyDescent="0.25">
      <c r="A15">
        <v>13</v>
      </c>
      <c r="B15" s="1" t="str">
        <f t="shared" si="0"/>
        <v>Y</v>
      </c>
      <c r="C15" s="1" t="s">
        <v>17</v>
      </c>
      <c r="D15" s="1" t="s">
        <v>95</v>
      </c>
      <c r="E15" s="1" t="s">
        <v>96</v>
      </c>
      <c r="F15" s="1" t="s">
        <v>97</v>
      </c>
      <c r="G15" s="1" t="s">
        <v>98</v>
      </c>
      <c r="H15" s="4">
        <v>200</v>
      </c>
      <c r="I15" s="1" t="s">
        <v>22</v>
      </c>
      <c r="J15" s="1" t="s">
        <v>23</v>
      </c>
      <c r="K15" s="1" t="s">
        <v>24</v>
      </c>
      <c r="L15" s="1" t="s">
        <v>25</v>
      </c>
      <c r="M15" s="6">
        <v>1042346954</v>
      </c>
      <c r="N15" s="25" t="s">
        <v>813</v>
      </c>
      <c r="O15" s="1" t="s">
        <v>23</v>
      </c>
      <c r="P15" s="92">
        <v>200061777902</v>
      </c>
      <c r="Q15" s="1" t="s">
        <v>27</v>
      </c>
    </row>
    <row r="16" spans="1:21" ht="75" x14ac:dyDescent="0.25">
      <c r="A16">
        <v>14</v>
      </c>
      <c r="B16" s="1" t="str">
        <f t="shared" si="0"/>
        <v>Y</v>
      </c>
      <c r="C16" s="1" t="s">
        <v>17</v>
      </c>
      <c r="D16" s="1" t="s">
        <v>99</v>
      </c>
      <c r="E16" s="1" t="s">
        <v>100</v>
      </c>
      <c r="F16" s="1" t="s">
        <v>101</v>
      </c>
      <c r="G16" s="1" t="s">
        <v>102</v>
      </c>
      <c r="H16" s="4">
        <v>400</v>
      </c>
      <c r="I16" s="1" t="s">
        <v>22</v>
      </c>
      <c r="J16" s="1" t="s">
        <v>23</v>
      </c>
      <c r="K16" s="1" t="s">
        <v>24</v>
      </c>
      <c r="L16" s="1" t="s">
        <v>25</v>
      </c>
      <c r="M16" s="6">
        <v>1042346954</v>
      </c>
      <c r="N16" s="25" t="s">
        <v>813</v>
      </c>
      <c r="O16" s="1" t="s">
        <v>23</v>
      </c>
      <c r="P16" s="92">
        <v>200061777902</v>
      </c>
      <c r="Q16" s="1" t="s">
        <v>27</v>
      </c>
    </row>
    <row r="17" spans="1:21" ht="75" x14ac:dyDescent="0.25">
      <c r="A17" s="86">
        <v>1</v>
      </c>
      <c r="B17" s="87" t="str">
        <f>C17</f>
        <v>N</v>
      </c>
      <c r="C17" s="87" t="s">
        <v>915</v>
      </c>
      <c r="D17" s="87" t="s">
        <v>18</v>
      </c>
      <c r="E17" s="87" t="s">
        <v>19</v>
      </c>
      <c r="F17" s="87" t="s">
        <v>20</v>
      </c>
      <c r="G17" s="87" t="s">
        <v>21</v>
      </c>
      <c r="H17" s="88">
        <v>200</v>
      </c>
      <c r="I17" s="87" t="s">
        <v>22</v>
      </c>
      <c r="J17" s="77" t="s">
        <v>23</v>
      </c>
      <c r="K17" s="77" t="s">
        <v>24</v>
      </c>
      <c r="L17" s="77" t="s">
        <v>25</v>
      </c>
      <c r="M17" s="89">
        <v>1042346954</v>
      </c>
      <c r="N17" s="90" t="s">
        <v>813</v>
      </c>
      <c r="O17" s="1" t="s">
        <v>23</v>
      </c>
      <c r="P17" s="91">
        <v>200061777902</v>
      </c>
      <c r="Q17" s="77" t="s">
        <v>27</v>
      </c>
      <c r="R17" s="86"/>
      <c r="S17" s="86"/>
      <c r="T17" s="86"/>
      <c r="U17" s="86"/>
    </row>
    <row r="18" spans="1:21" ht="75" x14ac:dyDescent="0.25">
      <c r="A18" s="86">
        <v>2</v>
      </c>
      <c r="B18" s="87" t="str">
        <f t="shared" ref="B18:B23" si="2">C18</f>
        <v>N</v>
      </c>
      <c r="C18" s="87" t="s">
        <v>915</v>
      </c>
      <c r="D18" s="87" t="s">
        <v>28</v>
      </c>
      <c r="E18" s="87" t="s">
        <v>29</v>
      </c>
      <c r="F18" s="87" t="s">
        <v>30</v>
      </c>
      <c r="G18" s="87" t="s">
        <v>31</v>
      </c>
      <c r="H18" s="88">
        <v>401</v>
      </c>
      <c r="I18" s="87" t="s">
        <v>22</v>
      </c>
      <c r="J18" s="87" t="s">
        <v>23</v>
      </c>
      <c r="K18" s="77" t="s">
        <v>24</v>
      </c>
      <c r="L18" s="87" t="s">
        <v>25</v>
      </c>
      <c r="M18" s="89">
        <v>1042346954</v>
      </c>
      <c r="N18" s="90" t="s">
        <v>813</v>
      </c>
      <c r="O18" s="1" t="s">
        <v>23</v>
      </c>
      <c r="P18" s="91">
        <v>200061777902</v>
      </c>
      <c r="Q18" s="87" t="s">
        <v>27</v>
      </c>
      <c r="R18" s="86"/>
      <c r="S18" s="86"/>
      <c r="T18" s="86"/>
      <c r="U18" s="86"/>
    </row>
    <row r="19" spans="1:21" ht="75" x14ac:dyDescent="0.25">
      <c r="A19" s="86">
        <v>3</v>
      </c>
      <c r="B19" s="87" t="str">
        <f t="shared" si="2"/>
        <v>N</v>
      </c>
      <c r="C19" s="87" t="s">
        <v>915</v>
      </c>
      <c r="D19" s="87" t="s">
        <v>32</v>
      </c>
      <c r="E19" s="87" t="s">
        <v>33</v>
      </c>
      <c r="F19" s="87" t="s">
        <v>34</v>
      </c>
      <c r="G19" s="87" t="s">
        <v>35</v>
      </c>
      <c r="H19" s="88">
        <v>401</v>
      </c>
      <c r="I19" s="87" t="s">
        <v>22</v>
      </c>
      <c r="J19" s="87" t="s">
        <v>23</v>
      </c>
      <c r="K19" s="87" t="s">
        <v>24</v>
      </c>
      <c r="L19" s="87" t="s">
        <v>25</v>
      </c>
      <c r="M19" s="89">
        <v>1042346954</v>
      </c>
      <c r="N19" s="90" t="s">
        <v>813</v>
      </c>
      <c r="O19" s="1" t="s">
        <v>23</v>
      </c>
      <c r="P19" s="91">
        <v>200061777902</v>
      </c>
      <c r="Q19" s="87" t="s">
        <v>27</v>
      </c>
      <c r="R19" s="86"/>
      <c r="S19" s="86"/>
      <c r="T19" s="86"/>
      <c r="U19" s="86"/>
    </row>
    <row r="20" spans="1:21" ht="75" x14ac:dyDescent="0.25">
      <c r="A20" s="86">
        <v>4</v>
      </c>
      <c r="B20" s="87" t="str">
        <f t="shared" si="2"/>
        <v>N</v>
      </c>
      <c r="C20" s="87" t="s">
        <v>915</v>
      </c>
      <c r="D20" s="87" t="s">
        <v>36</v>
      </c>
      <c r="E20" s="87" t="s">
        <v>37</v>
      </c>
      <c r="F20" s="87" t="s">
        <v>38</v>
      </c>
      <c r="G20" s="87" t="s">
        <v>35</v>
      </c>
      <c r="H20" s="88">
        <v>401</v>
      </c>
      <c r="I20" s="87" t="s">
        <v>22</v>
      </c>
      <c r="J20" s="87" t="s">
        <v>23</v>
      </c>
      <c r="K20" s="87" t="s">
        <v>24</v>
      </c>
      <c r="L20" s="87" t="s">
        <v>25</v>
      </c>
      <c r="M20" s="89">
        <v>1042346954</v>
      </c>
      <c r="N20" s="90" t="s">
        <v>813</v>
      </c>
      <c r="O20" s="1" t="s">
        <v>23</v>
      </c>
      <c r="P20" s="91">
        <v>200061777902</v>
      </c>
      <c r="Q20" s="87" t="s">
        <v>27</v>
      </c>
      <c r="R20" s="86"/>
      <c r="S20" s="86"/>
      <c r="T20" s="86"/>
      <c r="U20" s="86"/>
    </row>
    <row r="21" spans="1:21" ht="75" x14ac:dyDescent="0.25">
      <c r="A21" s="86">
        <v>5</v>
      </c>
      <c r="B21" s="87" t="str">
        <f t="shared" si="2"/>
        <v>N</v>
      </c>
      <c r="C21" s="87" t="s">
        <v>915</v>
      </c>
      <c r="D21" s="87" t="s">
        <v>39</v>
      </c>
      <c r="E21" s="87" t="s">
        <v>40</v>
      </c>
      <c r="F21" s="87" t="s">
        <v>41</v>
      </c>
      <c r="G21" s="87" t="s">
        <v>35</v>
      </c>
      <c r="H21" s="88">
        <v>401</v>
      </c>
      <c r="I21" s="87" t="s">
        <v>22</v>
      </c>
      <c r="J21" s="87" t="s">
        <v>23</v>
      </c>
      <c r="K21" s="87" t="s">
        <v>24</v>
      </c>
      <c r="L21" s="87" t="s">
        <v>25</v>
      </c>
      <c r="M21" s="89">
        <v>1042346954</v>
      </c>
      <c r="N21" s="90" t="s">
        <v>813</v>
      </c>
      <c r="O21" s="1" t="s">
        <v>23</v>
      </c>
      <c r="P21" s="91">
        <v>200061777902</v>
      </c>
      <c r="Q21" s="87" t="s">
        <v>27</v>
      </c>
      <c r="R21" s="86"/>
      <c r="S21" s="86"/>
      <c r="T21" s="86"/>
      <c r="U21" s="86"/>
    </row>
    <row r="22" spans="1:21" ht="90" x14ac:dyDescent="0.25">
      <c r="A22" s="86">
        <v>6</v>
      </c>
      <c r="B22" s="87" t="str">
        <f t="shared" si="2"/>
        <v>N</v>
      </c>
      <c r="C22" s="87" t="s">
        <v>915</v>
      </c>
      <c r="D22" s="87" t="s">
        <v>42</v>
      </c>
      <c r="E22" s="87" t="s">
        <v>43</v>
      </c>
      <c r="F22" s="87" t="s">
        <v>44</v>
      </c>
      <c r="G22" s="87" t="s">
        <v>45</v>
      </c>
      <c r="H22" s="88">
        <v>401</v>
      </c>
      <c r="I22" s="87" t="s">
        <v>22</v>
      </c>
      <c r="J22" s="87" t="s">
        <v>23</v>
      </c>
      <c r="K22" s="87" t="s">
        <v>1494</v>
      </c>
      <c r="L22" s="87" t="s">
        <v>1495</v>
      </c>
      <c r="M22" s="89">
        <v>1042346954</v>
      </c>
      <c r="N22" s="90" t="s">
        <v>813</v>
      </c>
      <c r="O22" s="1" t="s">
        <v>23</v>
      </c>
      <c r="P22" s="91">
        <v>200061777902</v>
      </c>
      <c r="Q22" s="87" t="s">
        <v>27</v>
      </c>
      <c r="R22" s="86"/>
      <c r="S22" s="86"/>
      <c r="T22" s="86"/>
      <c r="U22" s="86"/>
    </row>
    <row r="23" spans="1:21" ht="90" x14ac:dyDescent="0.25">
      <c r="A23" s="86">
        <v>7</v>
      </c>
      <c r="B23" s="87" t="str">
        <f t="shared" si="2"/>
        <v>N</v>
      </c>
      <c r="C23" s="87" t="s">
        <v>915</v>
      </c>
      <c r="D23" s="87" t="s">
        <v>47</v>
      </c>
      <c r="E23" s="87" t="s">
        <v>48</v>
      </c>
      <c r="F23" s="87" t="s">
        <v>49</v>
      </c>
      <c r="G23" s="87" t="s">
        <v>50</v>
      </c>
      <c r="H23" s="88">
        <v>401</v>
      </c>
      <c r="I23" s="87" t="s">
        <v>22</v>
      </c>
      <c r="J23" s="87" t="s">
        <v>23</v>
      </c>
      <c r="K23" s="87" t="s">
        <v>24</v>
      </c>
      <c r="L23" s="87" t="s">
        <v>25</v>
      </c>
      <c r="M23" s="89">
        <v>1042346954</v>
      </c>
      <c r="N23" s="90" t="s">
        <v>813</v>
      </c>
      <c r="O23" s="1" t="s">
        <v>23</v>
      </c>
      <c r="P23" s="91">
        <v>200061777902</v>
      </c>
      <c r="Q23" s="87" t="s">
        <v>27</v>
      </c>
      <c r="R23" s="86"/>
      <c r="S23" s="86"/>
      <c r="T23" s="86"/>
      <c r="U23" s="86"/>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9EC0E-F5B2-42DA-A2B4-5D60B02A9AE5}">
  <sheetPr>
    <tabColor rgb="FFFFC000"/>
  </sheetPr>
  <dimension ref="A1:Q15"/>
  <sheetViews>
    <sheetView tabSelected="1" zoomScale="85" zoomScaleNormal="85" workbookViewId="0">
      <pane ySplit="1" topLeftCell="A7" activePane="bottomLeft" state="frozen"/>
      <selection activeCell="E8" sqref="E8"/>
      <selection pane="bottomLeft" activeCell="G14" sqref="G14"/>
    </sheetView>
  </sheetViews>
  <sheetFormatPr defaultColWidth="9.140625" defaultRowHeight="15" x14ac:dyDescent="0.25"/>
  <cols>
    <col min="1" max="1" width="3.140625" style="4" bestFit="1" customWidth="1"/>
    <col min="2" max="3" width="9.140625" style="4"/>
    <col min="4" max="4" width="24" style="1" bestFit="1" customWidth="1"/>
    <col min="5" max="5" width="58.140625" style="1" customWidth="1"/>
    <col min="6" max="6" width="35.140625" style="1" customWidth="1"/>
    <col min="7" max="7" width="54.5703125" style="4"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4" max="17" width="8.85546875" customWidth="1"/>
    <col min="18" max="16384" width="9.140625" style="4"/>
  </cols>
  <sheetData>
    <row r="1" spans="1:17" s="8" customFormat="1" ht="45" x14ac:dyDescent="0.25">
      <c r="A1" s="8" t="s">
        <v>0</v>
      </c>
      <c r="B1" s="2" t="s">
        <v>1</v>
      </c>
      <c r="C1" s="2" t="s">
        <v>2</v>
      </c>
      <c r="D1" s="2" t="s">
        <v>3</v>
      </c>
      <c r="E1" s="2" t="s">
        <v>4</v>
      </c>
      <c r="F1" s="2" t="s">
        <v>5</v>
      </c>
      <c r="G1" s="2" t="s">
        <v>6</v>
      </c>
      <c r="H1" s="2" t="s">
        <v>7</v>
      </c>
      <c r="I1" s="13" t="s">
        <v>8</v>
      </c>
      <c r="J1" s="14" t="s">
        <v>103</v>
      </c>
      <c r="K1" s="9" t="s">
        <v>12</v>
      </c>
      <c r="L1" s="9" t="s">
        <v>13</v>
      </c>
      <c r="M1" s="9" t="s">
        <v>104</v>
      </c>
      <c r="N1" s="26" t="s">
        <v>1484</v>
      </c>
      <c r="O1" s="26" t="s">
        <v>1485</v>
      </c>
      <c r="P1" s="26" t="s">
        <v>1486</v>
      </c>
      <c r="Q1" s="26" t="s">
        <v>1487</v>
      </c>
    </row>
    <row r="2" spans="1:17" ht="60" x14ac:dyDescent="0.25">
      <c r="A2" s="4">
        <v>1</v>
      </c>
      <c r="B2" s="1" t="s">
        <v>17</v>
      </c>
      <c r="C2" s="1"/>
      <c r="D2" s="1" t="s">
        <v>105</v>
      </c>
      <c r="E2" s="1" t="s">
        <v>106</v>
      </c>
      <c r="F2" s="1" t="s">
        <v>107</v>
      </c>
      <c r="G2" s="12" t="s">
        <v>108</v>
      </c>
      <c r="H2" s="5">
        <v>200</v>
      </c>
      <c r="I2" s="1" t="str">
        <f>"/send-funds/localft/v1/list/institutions?channel="&amp;J2</f>
        <v>/send-funds/localft/v1/list/institutions?channel=PESONET</v>
      </c>
      <c r="J2" s="1" t="s">
        <v>109</v>
      </c>
      <c r="K2" s="6">
        <v>1042346954</v>
      </c>
      <c r="L2" s="25" t="s">
        <v>813</v>
      </c>
      <c r="M2" s="7" t="s">
        <v>26</v>
      </c>
    </row>
    <row r="3" spans="1:17" ht="60" x14ac:dyDescent="0.25">
      <c r="A3" s="4">
        <v>2</v>
      </c>
      <c r="B3" s="1" t="s">
        <v>17</v>
      </c>
      <c r="C3" s="1"/>
      <c r="D3" s="1" t="s">
        <v>113</v>
      </c>
      <c r="E3" s="1" t="s">
        <v>114</v>
      </c>
      <c r="F3" s="1" t="s">
        <v>115</v>
      </c>
      <c r="G3" s="12" t="s">
        <v>116</v>
      </c>
      <c r="H3" s="5">
        <v>200</v>
      </c>
      <c r="I3" s="1" t="str">
        <f t="shared" ref="I3:I15" si="0">"/send-funds/localft/v1/list/institutions?channel="&amp;J3</f>
        <v>/send-funds/localft/v1/list/institutions?channel=</v>
      </c>
      <c r="K3" s="6">
        <v>1042346954</v>
      </c>
      <c r="L3" s="25" t="s">
        <v>813</v>
      </c>
      <c r="M3" s="7" t="s">
        <v>26</v>
      </c>
    </row>
    <row r="4" spans="1:17" ht="60" x14ac:dyDescent="0.25">
      <c r="A4" s="4">
        <v>3</v>
      </c>
      <c r="B4" s="1" t="s">
        <v>17</v>
      </c>
      <c r="C4" s="1"/>
      <c r="D4" s="1" t="s">
        <v>117</v>
      </c>
      <c r="E4" s="1" t="s">
        <v>118</v>
      </c>
      <c r="F4" s="1" t="s">
        <v>119</v>
      </c>
      <c r="G4" s="12" t="s">
        <v>120</v>
      </c>
      <c r="H4" s="5">
        <v>200</v>
      </c>
      <c r="I4" s="1" t="str">
        <f t="shared" si="0"/>
        <v>/send-funds/localft/v1/list/institutions?channel=Instapay</v>
      </c>
      <c r="J4" s="1" t="s">
        <v>121</v>
      </c>
      <c r="K4" s="6">
        <v>1042346954</v>
      </c>
      <c r="L4" s="25" t="s">
        <v>813</v>
      </c>
      <c r="M4" s="7" t="s">
        <v>26</v>
      </c>
    </row>
    <row r="5" spans="1:17" ht="60" x14ac:dyDescent="0.25">
      <c r="A5" s="4">
        <v>4</v>
      </c>
      <c r="B5" s="1" t="s">
        <v>17</v>
      </c>
      <c r="C5" s="1"/>
      <c r="D5" s="1" t="s">
        <v>122</v>
      </c>
      <c r="E5" s="1" t="s">
        <v>123</v>
      </c>
      <c r="F5" s="1" t="s">
        <v>124</v>
      </c>
      <c r="G5" s="12" t="s">
        <v>125</v>
      </c>
      <c r="H5" s="5">
        <v>200</v>
      </c>
      <c r="I5" s="1" t="str">
        <f t="shared" si="0"/>
        <v>/send-funds/localft/v1/list/institutions?channel=PESONET</v>
      </c>
      <c r="J5" s="1" t="s">
        <v>109</v>
      </c>
      <c r="K5" s="6">
        <v>1042346954</v>
      </c>
      <c r="L5" s="25" t="s">
        <v>813</v>
      </c>
      <c r="M5" s="7" t="s">
        <v>26</v>
      </c>
    </row>
    <row r="6" spans="1:17" ht="75" x14ac:dyDescent="0.25">
      <c r="A6" s="4">
        <v>5</v>
      </c>
      <c r="B6" s="1" t="s">
        <v>17</v>
      </c>
      <c r="C6" s="1"/>
      <c r="D6" s="1" t="s">
        <v>126</v>
      </c>
      <c r="E6" s="1" t="s">
        <v>127</v>
      </c>
      <c r="F6" s="1" t="s">
        <v>128</v>
      </c>
      <c r="G6" s="12" t="s">
        <v>129</v>
      </c>
      <c r="H6" s="5">
        <v>200</v>
      </c>
      <c r="I6" s="1" t="str">
        <f t="shared" si="0"/>
        <v>/send-funds/localft/v1/list/institutions?channel=</v>
      </c>
      <c r="K6" s="6">
        <v>1042346954</v>
      </c>
      <c r="L6" s="25" t="s">
        <v>813</v>
      </c>
      <c r="M6" s="7" t="s">
        <v>26</v>
      </c>
    </row>
    <row r="7" spans="1:17" ht="60" x14ac:dyDescent="0.25">
      <c r="A7" s="4">
        <v>6</v>
      </c>
      <c r="B7" s="1" t="s">
        <v>17</v>
      </c>
      <c r="C7" s="1"/>
      <c r="D7" s="1" t="s">
        <v>130</v>
      </c>
      <c r="E7" s="1" t="s">
        <v>131</v>
      </c>
      <c r="F7" s="1" t="s">
        <v>132</v>
      </c>
      <c r="G7" s="12" t="s">
        <v>133</v>
      </c>
      <c r="H7" s="5">
        <v>400</v>
      </c>
      <c r="I7" s="1" t="str">
        <f t="shared" si="0"/>
        <v>/send-funds/localft/v1/list/institutions?channel=</v>
      </c>
      <c r="K7" s="6">
        <v>1042346954</v>
      </c>
      <c r="L7" s="25" t="s">
        <v>813</v>
      </c>
      <c r="M7" s="7" t="s">
        <v>26</v>
      </c>
    </row>
    <row r="8" spans="1:17" ht="60" x14ac:dyDescent="0.25">
      <c r="A8" s="4">
        <v>7</v>
      </c>
      <c r="B8" s="1" t="s">
        <v>17</v>
      </c>
      <c r="C8" s="1"/>
      <c r="D8" s="1" t="s">
        <v>134</v>
      </c>
      <c r="E8" s="1" t="s">
        <v>135</v>
      </c>
      <c r="F8" s="1" t="s">
        <v>136</v>
      </c>
      <c r="G8" s="12" t="s">
        <v>137</v>
      </c>
      <c r="H8" s="5">
        <v>400</v>
      </c>
      <c r="I8" s="1" t="str">
        <f t="shared" si="0"/>
        <v>/send-funds/localft/v1/list/institutions?channel=</v>
      </c>
      <c r="K8" s="6">
        <v>1042346954</v>
      </c>
      <c r="L8" s="25" t="s">
        <v>813</v>
      </c>
      <c r="M8" s="7" t="s">
        <v>26</v>
      </c>
    </row>
    <row r="9" spans="1:17" ht="60" x14ac:dyDescent="0.25">
      <c r="A9" s="4">
        <v>8</v>
      </c>
      <c r="B9" s="1" t="s">
        <v>17</v>
      </c>
      <c r="C9" s="1"/>
      <c r="D9" s="1" t="s">
        <v>138</v>
      </c>
      <c r="E9" s="1" t="s">
        <v>139</v>
      </c>
      <c r="F9" s="1" t="s">
        <v>140</v>
      </c>
      <c r="G9" s="12" t="s">
        <v>137</v>
      </c>
      <c r="H9" s="5">
        <v>400</v>
      </c>
      <c r="I9" s="1" t="str">
        <f t="shared" si="0"/>
        <v>/send-funds/localft/v1/list/institutions?channel=</v>
      </c>
      <c r="K9" s="6">
        <v>1042346954</v>
      </c>
      <c r="L9" s="25" t="s">
        <v>813</v>
      </c>
      <c r="M9" s="7" t="s">
        <v>26</v>
      </c>
    </row>
    <row r="10" spans="1:17" ht="60" x14ac:dyDescent="0.25">
      <c r="A10" s="4">
        <v>9</v>
      </c>
      <c r="B10" s="1" t="s">
        <v>17</v>
      </c>
      <c r="C10" s="1"/>
      <c r="D10" s="1" t="s">
        <v>141</v>
      </c>
      <c r="E10" s="1" t="s">
        <v>142</v>
      </c>
      <c r="F10" s="1" t="s">
        <v>143</v>
      </c>
      <c r="G10" s="12" t="s">
        <v>144</v>
      </c>
      <c r="H10" s="5">
        <v>401</v>
      </c>
      <c r="I10" s="1" t="str">
        <f t="shared" si="0"/>
        <v>/send-funds/localft/v1/list/institutions?channel=</v>
      </c>
      <c r="K10" s="6">
        <v>1042346954</v>
      </c>
      <c r="L10" s="25" t="s">
        <v>813</v>
      </c>
      <c r="M10" s="7" t="s">
        <v>26</v>
      </c>
    </row>
    <row r="11" spans="1:17" ht="60" x14ac:dyDescent="0.25">
      <c r="A11" s="4">
        <v>10</v>
      </c>
      <c r="B11" s="1" t="s">
        <v>17</v>
      </c>
      <c r="C11" s="1"/>
      <c r="D11" s="1" t="s">
        <v>145</v>
      </c>
      <c r="E11" s="1" t="s">
        <v>146</v>
      </c>
      <c r="F11" s="1" t="s">
        <v>147</v>
      </c>
      <c r="G11" s="12" t="s">
        <v>144</v>
      </c>
      <c r="H11" s="5">
        <v>401</v>
      </c>
      <c r="I11" s="1" t="str">
        <f t="shared" si="0"/>
        <v>/send-funds/localft/v1/list/institutions?channel=</v>
      </c>
      <c r="K11" s="6">
        <v>1042346954</v>
      </c>
      <c r="L11" s="25" t="s">
        <v>813</v>
      </c>
      <c r="M11" s="7" t="s">
        <v>26</v>
      </c>
    </row>
    <row r="12" spans="1:17" ht="60" x14ac:dyDescent="0.25">
      <c r="A12" s="4">
        <v>11</v>
      </c>
      <c r="B12" s="1" t="s">
        <v>17</v>
      </c>
      <c r="C12" s="1"/>
      <c r="D12" s="1" t="s">
        <v>148</v>
      </c>
      <c r="E12" s="1" t="s">
        <v>149</v>
      </c>
      <c r="F12" s="1" t="s">
        <v>150</v>
      </c>
      <c r="G12" s="12" t="s">
        <v>151</v>
      </c>
      <c r="H12" s="5">
        <v>403</v>
      </c>
      <c r="I12" s="1" t="str">
        <f t="shared" si="0"/>
        <v>/send-funds/localft/v1/list/institutions?channel=</v>
      </c>
      <c r="K12" s="6">
        <v>1042346954</v>
      </c>
      <c r="L12" s="25" t="s">
        <v>813</v>
      </c>
      <c r="M12" s="7" t="s">
        <v>26</v>
      </c>
    </row>
    <row r="13" spans="1:17" ht="60" x14ac:dyDescent="0.25">
      <c r="A13" s="4">
        <v>12</v>
      </c>
      <c r="B13" s="1" t="s">
        <v>17</v>
      </c>
      <c r="C13" s="1"/>
      <c r="D13" s="1" t="s">
        <v>152</v>
      </c>
      <c r="E13" s="1" t="s">
        <v>153</v>
      </c>
      <c r="F13" s="1" t="s">
        <v>107</v>
      </c>
      <c r="G13" s="12" t="s">
        <v>154</v>
      </c>
      <c r="H13" s="4">
        <v>200</v>
      </c>
      <c r="I13" s="1" t="str">
        <f t="shared" si="0"/>
        <v>/send-funds/localft/v1/list/institutions?channel=</v>
      </c>
      <c r="K13" s="6">
        <v>1042346954</v>
      </c>
      <c r="L13" s="25" t="s">
        <v>813</v>
      </c>
      <c r="M13" s="7" t="s">
        <v>26</v>
      </c>
    </row>
    <row r="14" spans="1:17" ht="60" x14ac:dyDescent="0.25">
      <c r="A14" s="4">
        <v>13</v>
      </c>
      <c r="B14" s="1" t="s">
        <v>17</v>
      </c>
      <c r="C14" s="1"/>
      <c r="D14" s="1" t="s">
        <v>155</v>
      </c>
      <c r="E14" s="1" t="s">
        <v>156</v>
      </c>
      <c r="F14" s="1" t="s">
        <v>157</v>
      </c>
      <c r="G14" s="12" t="s">
        <v>158</v>
      </c>
      <c r="H14" s="94">
        <v>200</v>
      </c>
      <c r="I14" s="1" t="str">
        <f t="shared" si="0"/>
        <v>/send-funds/localft/v1/list/institutions?channel=</v>
      </c>
      <c r="K14" s="6">
        <v>1042346954</v>
      </c>
      <c r="L14" s="25" t="s">
        <v>813</v>
      </c>
      <c r="M14" s="7" t="s">
        <v>26</v>
      </c>
    </row>
    <row r="15" spans="1:17" ht="60" x14ac:dyDescent="0.25">
      <c r="A15" s="4">
        <v>14</v>
      </c>
      <c r="B15" s="1" t="s">
        <v>17</v>
      </c>
      <c r="C15" s="1"/>
      <c r="D15" s="1" t="s">
        <v>159</v>
      </c>
      <c r="E15" s="1" t="s">
        <v>160</v>
      </c>
      <c r="F15" s="1" t="s">
        <v>161</v>
      </c>
      <c r="G15" s="12" t="s">
        <v>162</v>
      </c>
      <c r="H15" s="93" t="s">
        <v>1847</v>
      </c>
      <c r="I15" s="1" t="str">
        <f t="shared" si="0"/>
        <v>/send-funds/localft/v1/list/institutions?channel=</v>
      </c>
      <c r="K15" s="6">
        <v>1042346954</v>
      </c>
      <c r="L15" s="25" t="s">
        <v>813</v>
      </c>
      <c r="M15" s="7" t="s">
        <v>26</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F97A1-05B8-4371-9CCD-4CFF54A0E45D}">
  <sheetPr>
    <tabColor rgb="FFFFC000"/>
  </sheetPr>
  <dimension ref="A1:R66"/>
  <sheetViews>
    <sheetView zoomScale="85" zoomScaleNormal="85" workbookViewId="0">
      <pane ySplit="1" topLeftCell="A16" activePane="bottomLeft" state="frozen"/>
      <selection activeCell="D9" sqref="D9"/>
      <selection pane="bottomLeft" activeCell="G1" sqref="G1:G1048576"/>
    </sheetView>
  </sheetViews>
  <sheetFormatPr defaultColWidth="9.140625" defaultRowHeight="15" x14ac:dyDescent="0.25"/>
  <cols>
    <col min="1" max="1" width="3.140625" style="4" bestFit="1" customWidth="1"/>
    <col min="2" max="3" width="9.140625" style="4"/>
    <col min="4" max="4" width="24" style="1" bestFit="1" customWidth="1"/>
    <col min="5" max="5" width="80.7109375" style="1" customWidth="1"/>
    <col min="6" max="6" width="35.140625" style="1" customWidth="1"/>
    <col min="7" max="7" width="54.5703125" style="4" customWidth="1"/>
    <col min="8" max="8" width="15.28515625" style="4" bestFit="1" customWidth="1"/>
    <col min="9" max="9" width="29.7109375" style="1" bestFit="1" customWidth="1"/>
    <col min="10" max="10" width="14" style="1" customWidth="1"/>
    <col min="11" max="12" width="11.42578125" style="1" customWidth="1"/>
    <col min="13" max="14" width="9.140625" style="4"/>
    <col min="15" max="18" width="8.85546875" customWidth="1"/>
    <col min="19" max="16384" width="9.140625" style="4"/>
  </cols>
  <sheetData>
    <row r="1" spans="1:18" s="8" customFormat="1" ht="45" x14ac:dyDescent="0.25">
      <c r="A1" s="8" t="s">
        <v>0</v>
      </c>
      <c r="B1" s="2" t="s">
        <v>1</v>
      </c>
      <c r="C1" s="2" t="s">
        <v>2</v>
      </c>
      <c r="D1" s="2" t="s">
        <v>3</v>
      </c>
      <c r="E1" s="2" t="s">
        <v>4</v>
      </c>
      <c r="F1" s="2" t="s">
        <v>5</v>
      </c>
      <c r="G1" s="2" t="s">
        <v>6</v>
      </c>
      <c r="H1" s="2" t="s">
        <v>7</v>
      </c>
      <c r="I1" s="13" t="s">
        <v>8</v>
      </c>
      <c r="J1" s="14" t="s">
        <v>630</v>
      </c>
      <c r="K1" s="14" t="s">
        <v>631</v>
      </c>
      <c r="L1" s="9" t="s">
        <v>12</v>
      </c>
      <c r="M1" s="9" t="s">
        <v>13</v>
      </c>
      <c r="N1" s="9" t="s">
        <v>14</v>
      </c>
      <c r="O1" s="26" t="s">
        <v>1484</v>
      </c>
      <c r="P1" s="26" t="s">
        <v>1485</v>
      </c>
      <c r="Q1" s="26" t="s">
        <v>1486</v>
      </c>
      <c r="R1" s="26" t="s">
        <v>1487</v>
      </c>
    </row>
    <row r="2" spans="1:18" ht="75" x14ac:dyDescent="0.25">
      <c r="A2" s="4">
        <v>1</v>
      </c>
      <c r="B2" s="1" t="s">
        <v>17</v>
      </c>
      <c r="C2" s="1"/>
      <c r="D2" s="1" t="s">
        <v>163</v>
      </c>
      <c r="E2" s="25" t="s">
        <v>164</v>
      </c>
      <c r="F2" t="s">
        <v>165</v>
      </c>
      <c r="G2" t="s">
        <v>166</v>
      </c>
      <c r="H2" s="5">
        <v>400</v>
      </c>
      <c r="I2" s="15" t="s">
        <v>167</v>
      </c>
      <c r="J2" s="1">
        <v>459</v>
      </c>
      <c r="K2" s="7" t="s">
        <v>1488</v>
      </c>
      <c r="L2" s="1">
        <v>1042346954</v>
      </c>
      <c r="M2" s="7" t="s">
        <v>813</v>
      </c>
      <c r="N2" s="7" t="s">
        <v>23</v>
      </c>
    </row>
    <row r="3" spans="1:18" ht="75" x14ac:dyDescent="0.25">
      <c r="A3" s="4">
        <v>2</v>
      </c>
      <c r="B3" s="1" t="s">
        <v>17</v>
      </c>
      <c r="C3" s="1"/>
      <c r="D3" s="1" t="s">
        <v>168</v>
      </c>
      <c r="E3" s="25" t="s">
        <v>169</v>
      </c>
      <c r="F3" t="s">
        <v>170</v>
      </c>
      <c r="G3" t="s">
        <v>166</v>
      </c>
      <c r="H3" s="5">
        <v>400</v>
      </c>
      <c r="I3" s="15" t="s">
        <v>167</v>
      </c>
      <c r="J3" s="1">
        <v>10218</v>
      </c>
      <c r="K3" s="7" t="s">
        <v>919</v>
      </c>
      <c r="L3" s="1">
        <v>1042346954</v>
      </c>
      <c r="M3" s="7" t="s">
        <v>813</v>
      </c>
      <c r="N3" s="7" t="s">
        <v>23</v>
      </c>
    </row>
    <row r="4" spans="1:18" ht="75" x14ac:dyDescent="0.25">
      <c r="A4" s="4">
        <v>3</v>
      </c>
      <c r="B4" s="1" t="s">
        <v>17</v>
      </c>
      <c r="C4" s="1"/>
      <c r="D4" s="1" t="s">
        <v>171</v>
      </c>
      <c r="E4" s="25" t="s">
        <v>172</v>
      </c>
      <c r="F4" t="s">
        <v>173</v>
      </c>
      <c r="G4" t="s">
        <v>174</v>
      </c>
      <c r="H4" s="5">
        <v>400</v>
      </c>
      <c r="I4" s="15" t="s">
        <v>167</v>
      </c>
      <c r="J4" s="1">
        <v>10218</v>
      </c>
      <c r="K4" s="7" t="s">
        <v>919</v>
      </c>
      <c r="L4" s="1">
        <v>1042346954</v>
      </c>
      <c r="M4" s="7" t="s">
        <v>813</v>
      </c>
      <c r="N4" s="7" t="s">
        <v>23</v>
      </c>
    </row>
    <row r="5" spans="1:18" ht="75" x14ac:dyDescent="0.25">
      <c r="A5" s="4">
        <v>4</v>
      </c>
      <c r="B5" s="1" t="s">
        <v>17</v>
      </c>
      <c r="C5" s="1"/>
      <c r="D5" s="1" t="s">
        <v>175</v>
      </c>
      <c r="E5" s="25" t="s">
        <v>176</v>
      </c>
      <c r="F5" t="s">
        <v>177</v>
      </c>
      <c r="G5" t="s">
        <v>174</v>
      </c>
      <c r="H5" s="5">
        <v>400</v>
      </c>
      <c r="I5" s="15" t="s">
        <v>167</v>
      </c>
      <c r="J5" s="1">
        <v>10218</v>
      </c>
      <c r="K5" s="7" t="s">
        <v>919</v>
      </c>
      <c r="L5" s="1">
        <v>1042346954</v>
      </c>
      <c r="M5" s="7" t="s">
        <v>813</v>
      </c>
      <c r="N5" s="7" t="s">
        <v>23</v>
      </c>
    </row>
    <row r="6" spans="1:18" ht="75" x14ac:dyDescent="0.25">
      <c r="A6" s="4">
        <v>5</v>
      </c>
      <c r="B6" s="1" t="s">
        <v>17</v>
      </c>
      <c r="C6" s="1"/>
      <c r="D6" s="1" t="s">
        <v>178</v>
      </c>
      <c r="E6" s="25" t="s">
        <v>179</v>
      </c>
      <c r="F6" t="s">
        <v>180</v>
      </c>
      <c r="G6" t="s">
        <v>174</v>
      </c>
      <c r="H6" s="5">
        <v>400</v>
      </c>
      <c r="I6" s="15" t="s">
        <v>167</v>
      </c>
      <c r="J6" s="1">
        <v>10218</v>
      </c>
      <c r="K6" s="7" t="s">
        <v>919</v>
      </c>
      <c r="L6" s="1">
        <v>1042346954</v>
      </c>
      <c r="M6" s="7" t="s">
        <v>813</v>
      </c>
      <c r="N6" s="7" t="s">
        <v>23</v>
      </c>
    </row>
    <row r="7" spans="1:18" ht="75" x14ac:dyDescent="0.25">
      <c r="A7" s="4">
        <v>6</v>
      </c>
      <c r="B7" s="1" t="s">
        <v>17</v>
      </c>
      <c r="C7" s="1"/>
      <c r="D7" s="1" t="s">
        <v>181</v>
      </c>
      <c r="E7" s="25" t="s">
        <v>182</v>
      </c>
      <c r="F7" t="s">
        <v>183</v>
      </c>
      <c r="G7" t="s">
        <v>174</v>
      </c>
      <c r="H7" s="5">
        <v>400</v>
      </c>
      <c r="I7" s="15" t="s">
        <v>167</v>
      </c>
      <c r="J7" s="1">
        <v>10218</v>
      </c>
      <c r="K7" s="7" t="s">
        <v>919</v>
      </c>
      <c r="L7" s="1">
        <v>1042346954</v>
      </c>
      <c r="M7" s="7" t="s">
        <v>813</v>
      </c>
      <c r="N7" s="7" t="s">
        <v>23</v>
      </c>
    </row>
    <row r="8" spans="1:18" ht="75" x14ac:dyDescent="0.25">
      <c r="A8" s="4">
        <v>7</v>
      </c>
      <c r="B8" s="1" t="s">
        <v>17</v>
      </c>
      <c r="C8" s="1"/>
      <c r="D8" s="1" t="s">
        <v>184</v>
      </c>
      <c r="E8" s="25" t="s">
        <v>185</v>
      </c>
      <c r="F8" t="s">
        <v>186</v>
      </c>
      <c r="G8" t="s">
        <v>187</v>
      </c>
      <c r="H8" s="5">
        <v>200</v>
      </c>
      <c r="I8" s="15" t="s">
        <v>167</v>
      </c>
      <c r="J8" s="1">
        <v>10218</v>
      </c>
      <c r="K8" s="7" t="s">
        <v>919</v>
      </c>
      <c r="L8" s="1">
        <v>1042346954</v>
      </c>
      <c r="M8" s="7" t="s">
        <v>813</v>
      </c>
      <c r="N8" s="7" t="s">
        <v>23</v>
      </c>
    </row>
    <row r="9" spans="1:18" ht="75" x14ac:dyDescent="0.25">
      <c r="A9" s="4">
        <v>8</v>
      </c>
      <c r="B9" s="1" t="s">
        <v>17</v>
      </c>
      <c r="C9" s="1"/>
      <c r="D9" s="1" t="s">
        <v>188</v>
      </c>
      <c r="E9" s="25" t="s">
        <v>189</v>
      </c>
      <c r="F9" t="s">
        <v>190</v>
      </c>
      <c r="G9" t="s">
        <v>191</v>
      </c>
      <c r="H9" s="5">
        <v>400</v>
      </c>
      <c r="I9" s="15" t="s">
        <v>167</v>
      </c>
      <c r="J9" s="1">
        <v>10218</v>
      </c>
      <c r="K9" s="7" t="s">
        <v>919</v>
      </c>
      <c r="L9" s="1">
        <v>1042346954</v>
      </c>
      <c r="M9" s="7" t="s">
        <v>813</v>
      </c>
      <c r="N9" s="7" t="s">
        <v>23</v>
      </c>
    </row>
    <row r="10" spans="1:18" ht="75" x14ac:dyDescent="0.25">
      <c r="A10" s="4">
        <v>9</v>
      </c>
      <c r="B10" s="1" t="s">
        <v>17</v>
      </c>
      <c r="C10" s="1"/>
      <c r="D10" s="1" t="s">
        <v>192</v>
      </c>
      <c r="E10" s="25" t="s">
        <v>193</v>
      </c>
      <c r="F10" t="s">
        <v>194</v>
      </c>
      <c r="G10" t="s">
        <v>195</v>
      </c>
      <c r="H10" s="5">
        <v>401</v>
      </c>
      <c r="I10" s="15" t="s">
        <v>167</v>
      </c>
      <c r="J10" s="1">
        <v>10218</v>
      </c>
      <c r="K10" s="7" t="s">
        <v>919</v>
      </c>
      <c r="L10" s="1">
        <v>1042346954</v>
      </c>
      <c r="M10" s="7" t="s">
        <v>813</v>
      </c>
      <c r="N10" s="7" t="s">
        <v>23</v>
      </c>
    </row>
    <row r="11" spans="1:18" ht="75" x14ac:dyDescent="0.25">
      <c r="A11" s="4">
        <v>10</v>
      </c>
      <c r="B11" s="1" t="s">
        <v>17</v>
      </c>
      <c r="C11" s="1"/>
      <c r="D11" s="1" t="s">
        <v>196</v>
      </c>
      <c r="E11" s="25" t="s">
        <v>197</v>
      </c>
      <c r="F11" t="s">
        <v>198</v>
      </c>
      <c r="G11" t="s">
        <v>199</v>
      </c>
      <c r="H11" s="5">
        <v>401</v>
      </c>
      <c r="I11" s="15" t="s">
        <v>167</v>
      </c>
      <c r="J11" s="1">
        <v>10218</v>
      </c>
      <c r="K11" s="7" t="s">
        <v>919</v>
      </c>
      <c r="L11" s="1">
        <v>1042346954</v>
      </c>
      <c r="M11" s="7" t="s">
        <v>813</v>
      </c>
      <c r="N11" s="7" t="s">
        <v>23</v>
      </c>
    </row>
    <row r="12" spans="1:18" ht="75" x14ac:dyDescent="0.25">
      <c r="A12" s="4">
        <v>11</v>
      </c>
      <c r="B12" s="1" t="s">
        <v>17</v>
      </c>
      <c r="C12" s="1"/>
      <c r="D12" s="1" t="s">
        <v>200</v>
      </c>
      <c r="E12" s="25" t="s">
        <v>201</v>
      </c>
      <c r="F12" t="s">
        <v>202</v>
      </c>
      <c r="G12" t="s">
        <v>203</v>
      </c>
      <c r="H12" s="5">
        <v>403</v>
      </c>
      <c r="I12" s="15" t="s">
        <v>167</v>
      </c>
      <c r="J12" s="1">
        <v>10218</v>
      </c>
      <c r="K12" s="7" t="s">
        <v>919</v>
      </c>
      <c r="L12" s="1">
        <v>1042346954</v>
      </c>
      <c r="M12" s="7" t="s">
        <v>813</v>
      </c>
      <c r="N12" s="7" t="s">
        <v>23</v>
      </c>
    </row>
    <row r="13" spans="1:18" ht="75" x14ac:dyDescent="0.25">
      <c r="A13" s="4">
        <v>12</v>
      </c>
      <c r="B13" s="1" t="s">
        <v>17</v>
      </c>
      <c r="C13" s="1"/>
      <c r="D13" s="1" t="s">
        <v>204</v>
      </c>
      <c r="E13" s="25" t="s">
        <v>205</v>
      </c>
      <c r="F13" t="s">
        <v>206</v>
      </c>
      <c r="G13" t="s">
        <v>207</v>
      </c>
      <c r="I13" s="15" t="s">
        <v>167</v>
      </c>
      <c r="J13" s="1">
        <v>10218</v>
      </c>
      <c r="K13" s="7" t="s">
        <v>919</v>
      </c>
      <c r="L13" s="1">
        <v>1042346954</v>
      </c>
      <c r="M13" s="7" t="s">
        <v>813</v>
      </c>
      <c r="N13" s="7" t="s">
        <v>23</v>
      </c>
    </row>
    <row r="14" spans="1:18" ht="75" x14ac:dyDescent="0.25">
      <c r="A14" s="4">
        <v>13</v>
      </c>
      <c r="B14" s="1" t="s">
        <v>17</v>
      </c>
      <c r="C14" s="1"/>
      <c r="D14" s="1" t="s">
        <v>208</v>
      </c>
      <c r="E14" s="25" t="s">
        <v>209</v>
      </c>
      <c r="F14" t="s">
        <v>210</v>
      </c>
      <c r="G14" t="s">
        <v>207</v>
      </c>
      <c r="H14" s="4">
        <v>200</v>
      </c>
      <c r="I14" s="15" t="s">
        <v>167</v>
      </c>
      <c r="J14" s="1">
        <v>10218</v>
      </c>
      <c r="K14" s="7" t="s">
        <v>919</v>
      </c>
      <c r="L14" s="1">
        <v>1042346954</v>
      </c>
      <c r="M14" s="7" t="s">
        <v>813</v>
      </c>
      <c r="N14" s="7" t="s">
        <v>23</v>
      </c>
    </row>
    <row r="15" spans="1:18" ht="75" x14ac:dyDescent="0.25">
      <c r="A15" s="4">
        <v>14</v>
      </c>
      <c r="B15" s="1" t="s">
        <v>17</v>
      </c>
      <c r="C15" s="1"/>
      <c r="D15" s="1" t="s">
        <v>211</v>
      </c>
      <c r="E15" s="25" t="s">
        <v>212</v>
      </c>
      <c r="F15" t="s">
        <v>213</v>
      </c>
      <c r="G15" t="s">
        <v>214</v>
      </c>
      <c r="H15" s="1" t="s">
        <v>215</v>
      </c>
      <c r="I15" s="15" t="s">
        <v>167</v>
      </c>
      <c r="J15" s="1">
        <v>10218</v>
      </c>
      <c r="K15" s="7" t="s">
        <v>919</v>
      </c>
      <c r="L15" s="1">
        <v>1042346954</v>
      </c>
      <c r="M15" s="7" t="s">
        <v>813</v>
      </c>
      <c r="N15" s="7" t="s">
        <v>23</v>
      </c>
    </row>
    <row r="16" spans="1:18" ht="75" x14ac:dyDescent="0.25">
      <c r="A16" s="4">
        <v>15</v>
      </c>
      <c r="B16" s="1" t="s">
        <v>17</v>
      </c>
      <c r="D16" s="1" t="s">
        <v>216</v>
      </c>
      <c r="E16" s="25" t="s">
        <v>217</v>
      </c>
      <c r="F16" t="s">
        <v>218</v>
      </c>
      <c r="G16" t="s">
        <v>219</v>
      </c>
      <c r="H16" s="4">
        <v>20</v>
      </c>
      <c r="I16" s="15" t="s">
        <v>167</v>
      </c>
      <c r="J16" s="1">
        <v>10218</v>
      </c>
      <c r="K16" s="7" t="s">
        <v>919</v>
      </c>
      <c r="L16" s="1">
        <v>1042346954</v>
      </c>
      <c r="M16" s="7" t="s">
        <v>813</v>
      </c>
      <c r="N16" s="7" t="s">
        <v>23</v>
      </c>
    </row>
    <row r="17" spans="1:14" ht="75" x14ac:dyDescent="0.25">
      <c r="A17" s="4">
        <v>16</v>
      </c>
      <c r="B17" s="1" t="s">
        <v>17</v>
      </c>
      <c r="D17" s="1" t="s">
        <v>220</v>
      </c>
      <c r="E17" s="25" t="s">
        <v>221</v>
      </c>
      <c r="F17" t="s">
        <v>222</v>
      </c>
      <c r="G17" t="s">
        <v>223</v>
      </c>
      <c r="H17" s="23" t="s">
        <v>918</v>
      </c>
      <c r="I17" s="15" t="s">
        <v>167</v>
      </c>
      <c r="J17" s="1">
        <v>10218</v>
      </c>
      <c r="K17" s="7" t="s">
        <v>919</v>
      </c>
      <c r="L17" s="1">
        <v>1042346954</v>
      </c>
      <c r="M17" s="7" t="s">
        <v>813</v>
      </c>
      <c r="N17" s="7" t="s">
        <v>23</v>
      </c>
    </row>
    <row r="18" spans="1:14" ht="75" x14ac:dyDescent="0.25">
      <c r="A18" s="4">
        <v>17</v>
      </c>
      <c r="B18" s="1" t="s">
        <v>17</v>
      </c>
      <c r="D18" s="1" t="s">
        <v>224</v>
      </c>
      <c r="E18" s="25" t="s">
        <v>225</v>
      </c>
      <c r="F18" t="s">
        <v>226</v>
      </c>
      <c r="G18" t="s">
        <v>227</v>
      </c>
      <c r="I18" s="15" t="s">
        <v>167</v>
      </c>
      <c r="J18" s="1">
        <v>10218</v>
      </c>
      <c r="K18" s="7" t="s">
        <v>919</v>
      </c>
      <c r="L18" s="1">
        <v>1042346954</v>
      </c>
      <c r="M18" s="7" t="s">
        <v>813</v>
      </c>
      <c r="N18" s="7" t="s">
        <v>23</v>
      </c>
    </row>
    <row r="19" spans="1:14" ht="75" x14ac:dyDescent="0.25">
      <c r="A19" s="4">
        <v>18</v>
      </c>
      <c r="B19" s="1" t="s">
        <v>17</v>
      </c>
      <c r="D19" s="1" t="s">
        <v>228</v>
      </c>
      <c r="E19" s="25" t="s">
        <v>229</v>
      </c>
      <c r="F19" t="s">
        <v>230</v>
      </c>
      <c r="G19" t="s">
        <v>219</v>
      </c>
      <c r="I19" s="15" t="s">
        <v>167</v>
      </c>
      <c r="J19" s="1">
        <v>10218</v>
      </c>
      <c r="K19" s="7" t="s">
        <v>919</v>
      </c>
      <c r="L19" s="1">
        <v>1042346954</v>
      </c>
      <c r="M19" s="7" t="s">
        <v>813</v>
      </c>
      <c r="N19" s="7" t="s">
        <v>23</v>
      </c>
    </row>
    <row r="20" spans="1:14" ht="75" x14ac:dyDescent="0.25">
      <c r="A20" s="4">
        <v>19</v>
      </c>
      <c r="B20" s="1" t="s">
        <v>17</v>
      </c>
      <c r="D20" s="1" t="s">
        <v>231</v>
      </c>
      <c r="E20" s="25" t="s">
        <v>232</v>
      </c>
      <c r="F20" t="s">
        <v>233</v>
      </c>
      <c r="G20" t="s">
        <v>234</v>
      </c>
      <c r="I20" s="15" t="s">
        <v>167</v>
      </c>
      <c r="J20" s="1">
        <v>10218</v>
      </c>
      <c r="K20" s="7" t="s">
        <v>919</v>
      </c>
      <c r="L20" s="1">
        <v>1042346954</v>
      </c>
      <c r="M20" s="7" t="s">
        <v>813</v>
      </c>
      <c r="N20" s="7" t="s">
        <v>23</v>
      </c>
    </row>
    <row r="21" spans="1:14" ht="75" x14ac:dyDescent="0.25">
      <c r="A21" s="4">
        <v>22</v>
      </c>
      <c r="B21" s="1" t="s">
        <v>17</v>
      </c>
      <c r="D21" s="1" t="s">
        <v>235</v>
      </c>
      <c r="E21" s="25" t="s">
        <v>236</v>
      </c>
      <c r="F21" t="s">
        <v>237</v>
      </c>
      <c r="G21" t="s">
        <v>238</v>
      </c>
      <c r="I21" s="15" t="s">
        <v>167</v>
      </c>
      <c r="J21" s="1">
        <v>10218</v>
      </c>
      <c r="K21" s="7" t="s">
        <v>919</v>
      </c>
      <c r="L21" s="1">
        <v>1042346954</v>
      </c>
      <c r="M21" s="7" t="s">
        <v>813</v>
      </c>
      <c r="N21" s="7" t="s">
        <v>23</v>
      </c>
    </row>
    <row r="22" spans="1:14" ht="75" x14ac:dyDescent="0.25">
      <c r="A22" s="4">
        <v>23</v>
      </c>
      <c r="B22" s="1" t="s">
        <v>17</v>
      </c>
      <c r="D22" s="1" t="s">
        <v>239</v>
      </c>
      <c r="E22" s="25" t="s">
        <v>240</v>
      </c>
      <c r="F22" t="s">
        <v>241</v>
      </c>
      <c r="G22" t="s">
        <v>242</v>
      </c>
      <c r="I22" s="15" t="s">
        <v>167</v>
      </c>
      <c r="J22" s="1">
        <v>10218</v>
      </c>
      <c r="K22" s="7" t="s">
        <v>919</v>
      </c>
      <c r="L22" s="1">
        <v>1042346954</v>
      </c>
      <c r="M22" s="7" t="s">
        <v>813</v>
      </c>
      <c r="N22" s="7" t="s">
        <v>23</v>
      </c>
    </row>
    <row r="23" spans="1:14" ht="75" x14ac:dyDescent="0.25">
      <c r="A23" s="4">
        <v>24</v>
      </c>
      <c r="B23" s="1" t="s">
        <v>17</v>
      </c>
      <c r="D23" s="1" t="s">
        <v>243</v>
      </c>
      <c r="E23" s="25" t="s">
        <v>244</v>
      </c>
      <c r="F23" t="s">
        <v>245</v>
      </c>
      <c r="G23" t="s">
        <v>246</v>
      </c>
      <c r="I23" s="15" t="s">
        <v>167</v>
      </c>
      <c r="J23" s="1">
        <v>10218</v>
      </c>
      <c r="K23" s="7" t="s">
        <v>919</v>
      </c>
      <c r="L23" s="1">
        <v>1042346954</v>
      </c>
      <c r="M23" s="7" t="s">
        <v>813</v>
      </c>
      <c r="N23" s="7" t="s">
        <v>23</v>
      </c>
    </row>
    <row r="24" spans="1:14" ht="75" x14ac:dyDescent="0.25">
      <c r="A24" s="4">
        <v>25</v>
      </c>
      <c r="B24" s="1" t="s">
        <v>17</v>
      </c>
      <c r="D24" s="1" t="s">
        <v>247</v>
      </c>
      <c r="E24" s="25" t="s">
        <v>248</v>
      </c>
      <c r="F24" t="s">
        <v>249</v>
      </c>
      <c r="G24" t="s">
        <v>250</v>
      </c>
      <c r="I24" s="15" t="s">
        <v>167</v>
      </c>
      <c r="J24" s="1">
        <v>10218</v>
      </c>
      <c r="K24" s="7" t="s">
        <v>919</v>
      </c>
      <c r="L24" s="1">
        <v>1042346954</v>
      </c>
      <c r="M24" s="7" t="s">
        <v>813</v>
      </c>
      <c r="N24" s="7" t="s">
        <v>23</v>
      </c>
    </row>
    <row r="25" spans="1:14" ht="75" x14ac:dyDescent="0.25">
      <c r="A25" s="4">
        <v>26</v>
      </c>
      <c r="B25" s="1" t="s">
        <v>17</v>
      </c>
      <c r="D25" s="1" t="s">
        <v>251</v>
      </c>
      <c r="E25" s="25" t="s">
        <v>252</v>
      </c>
      <c r="F25" t="s">
        <v>253</v>
      </c>
      <c r="G25" t="s">
        <v>254</v>
      </c>
      <c r="I25" s="15" t="s">
        <v>167</v>
      </c>
      <c r="J25" s="1">
        <v>10218</v>
      </c>
      <c r="K25" s="7" t="s">
        <v>919</v>
      </c>
      <c r="L25" s="1">
        <v>1042346954</v>
      </c>
      <c r="M25" s="7" t="s">
        <v>813</v>
      </c>
      <c r="N25" s="7" t="s">
        <v>23</v>
      </c>
    </row>
    <row r="26" spans="1:14" ht="75" x14ac:dyDescent="0.25">
      <c r="A26" s="4">
        <v>27</v>
      </c>
      <c r="B26" s="1" t="s">
        <v>17</v>
      </c>
      <c r="D26" s="1" t="s">
        <v>255</v>
      </c>
      <c r="E26" s="25" t="s">
        <v>256</v>
      </c>
      <c r="F26" t="s">
        <v>257</v>
      </c>
      <c r="G26" t="s">
        <v>258</v>
      </c>
      <c r="I26" s="15" t="s">
        <v>167</v>
      </c>
      <c r="J26" s="1">
        <v>10218</v>
      </c>
      <c r="K26" s="7" t="s">
        <v>919</v>
      </c>
      <c r="L26" s="1">
        <v>1042346954</v>
      </c>
      <c r="M26" s="7" t="s">
        <v>813</v>
      </c>
      <c r="N26" s="7" t="s">
        <v>23</v>
      </c>
    </row>
    <row r="27" spans="1:14" ht="75" x14ac:dyDescent="0.25">
      <c r="A27" s="4">
        <v>28</v>
      </c>
      <c r="B27" s="1" t="s">
        <v>17</v>
      </c>
      <c r="D27" s="1" t="s">
        <v>259</v>
      </c>
      <c r="E27" s="25" t="s">
        <v>260</v>
      </c>
      <c r="F27" t="s">
        <v>261</v>
      </c>
      <c r="G27" t="s">
        <v>262</v>
      </c>
      <c r="I27" s="15" t="s">
        <v>167</v>
      </c>
      <c r="J27" s="1">
        <v>10218</v>
      </c>
      <c r="K27" s="7" t="s">
        <v>919</v>
      </c>
      <c r="L27" s="1">
        <v>1042346954</v>
      </c>
      <c r="M27" s="7" t="s">
        <v>813</v>
      </c>
      <c r="N27" s="7" t="s">
        <v>23</v>
      </c>
    </row>
    <row r="28" spans="1:14" ht="75" x14ac:dyDescent="0.25">
      <c r="A28" s="4">
        <v>29</v>
      </c>
      <c r="B28" s="1" t="s">
        <v>17</v>
      </c>
      <c r="D28" s="1" t="s">
        <v>263</v>
      </c>
      <c r="E28" s="25" t="s">
        <v>264</v>
      </c>
      <c r="F28" t="s">
        <v>265</v>
      </c>
      <c r="G28" t="s">
        <v>262</v>
      </c>
      <c r="I28" s="15" t="s">
        <v>167</v>
      </c>
      <c r="J28" s="1">
        <v>10218</v>
      </c>
      <c r="K28" s="7" t="s">
        <v>919</v>
      </c>
      <c r="L28" s="1">
        <v>1042346954</v>
      </c>
      <c r="M28" s="7" t="s">
        <v>813</v>
      </c>
      <c r="N28" s="7" t="s">
        <v>23</v>
      </c>
    </row>
    <row r="29" spans="1:14" ht="75" x14ac:dyDescent="0.25">
      <c r="A29" s="4">
        <v>30</v>
      </c>
      <c r="B29" s="1" t="s">
        <v>17</v>
      </c>
      <c r="D29" s="1" t="s">
        <v>266</v>
      </c>
      <c r="E29" s="25" t="s">
        <v>267</v>
      </c>
      <c r="F29" t="s">
        <v>268</v>
      </c>
      <c r="G29" t="s">
        <v>269</v>
      </c>
      <c r="I29" s="15" t="s">
        <v>167</v>
      </c>
      <c r="J29" s="1">
        <v>10218</v>
      </c>
      <c r="K29" s="7" t="s">
        <v>919</v>
      </c>
      <c r="L29" s="1">
        <v>1042346954</v>
      </c>
      <c r="M29" s="7" t="s">
        <v>813</v>
      </c>
      <c r="N29" s="7" t="s">
        <v>23</v>
      </c>
    </row>
    <row r="30" spans="1:14" ht="75" x14ac:dyDescent="0.25">
      <c r="A30" s="4">
        <v>31</v>
      </c>
      <c r="B30" s="1" t="s">
        <v>17</v>
      </c>
      <c r="D30" s="1" t="s">
        <v>270</v>
      </c>
      <c r="E30" s="25" t="s">
        <v>271</v>
      </c>
      <c r="F30" t="s">
        <v>272</v>
      </c>
      <c r="G30" t="s">
        <v>273</v>
      </c>
      <c r="I30" s="15" t="s">
        <v>167</v>
      </c>
      <c r="J30" s="1">
        <v>10218</v>
      </c>
      <c r="K30" s="7" t="s">
        <v>919</v>
      </c>
      <c r="L30" s="1">
        <v>1042346954</v>
      </c>
      <c r="M30" s="7" t="s">
        <v>813</v>
      </c>
      <c r="N30" s="7" t="s">
        <v>23</v>
      </c>
    </row>
    <row r="31" spans="1:14" ht="75" x14ac:dyDescent="0.25">
      <c r="A31" s="4">
        <v>32</v>
      </c>
      <c r="B31" s="1" t="s">
        <v>17</v>
      </c>
      <c r="D31" s="1" t="s">
        <v>274</v>
      </c>
      <c r="E31" s="25" t="s">
        <v>275</v>
      </c>
      <c r="F31" t="s">
        <v>276</v>
      </c>
      <c r="G31" t="s">
        <v>277</v>
      </c>
      <c r="I31" s="15" t="s">
        <v>167</v>
      </c>
      <c r="J31" s="1">
        <v>10218</v>
      </c>
      <c r="K31" s="7" t="s">
        <v>919</v>
      </c>
      <c r="L31" s="1">
        <v>1042346954</v>
      </c>
      <c r="M31" s="7" t="s">
        <v>813</v>
      </c>
      <c r="N31" s="7" t="s">
        <v>23</v>
      </c>
    </row>
    <row r="32" spans="1:14" ht="75" x14ac:dyDescent="0.25">
      <c r="A32" s="4">
        <v>33</v>
      </c>
      <c r="B32" s="1" t="s">
        <v>17</v>
      </c>
      <c r="D32" s="1" t="s">
        <v>278</v>
      </c>
      <c r="E32" s="25" t="s">
        <v>279</v>
      </c>
      <c r="F32" t="s">
        <v>280</v>
      </c>
      <c r="G32" t="s">
        <v>277</v>
      </c>
      <c r="I32" s="15" t="s">
        <v>167</v>
      </c>
      <c r="J32" s="1">
        <v>10218</v>
      </c>
      <c r="K32" s="7" t="s">
        <v>919</v>
      </c>
      <c r="L32" s="1">
        <v>1042346954</v>
      </c>
      <c r="M32" s="7" t="s">
        <v>813</v>
      </c>
      <c r="N32" s="7" t="s">
        <v>23</v>
      </c>
    </row>
    <row r="33" spans="1:14" ht="75" x14ac:dyDescent="0.25">
      <c r="A33" s="4">
        <v>34</v>
      </c>
      <c r="B33" s="1" t="s">
        <v>17</v>
      </c>
      <c r="D33" s="1" t="s">
        <v>281</v>
      </c>
      <c r="E33" s="25" t="s">
        <v>282</v>
      </c>
      <c r="F33" t="s">
        <v>283</v>
      </c>
      <c r="G33" t="s">
        <v>277</v>
      </c>
      <c r="I33" s="15" t="s">
        <v>167</v>
      </c>
      <c r="J33" s="1">
        <v>10218</v>
      </c>
      <c r="K33" s="7" t="s">
        <v>919</v>
      </c>
      <c r="L33" s="1">
        <v>1042346954</v>
      </c>
      <c r="M33" s="7" t="s">
        <v>813</v>
      </c>
      <c r="N33" s="7" t="s">
        <v>23</v>
      </c>
    </row>
    <row r="34" spans="1:14" ht="75" x14ac:dyDescent="0.25">
      <c r="A34" s="4">
        <v>35</v>
      </c>
      <c r="B34" s="1" t="s">
        <v>17</v>
      </c>
      <c r="D34" s="1" t="s">
        <v>284</v>
      </c>
      <c r="E34" s="25" t="s">
        <v>285</v>
      </c>
      <c r="F34" t="s">
        <v>286</v>
      </c>
      <c r="G34" t="s">
        <v>277</v>
      </c>
      <c r="I34" s="15" t="s">
        <v>167</v>
      </c>
      <c r="J34" s="1">
        <v>10218</v>
      </c>
      <c r="K34" s="7" t="s">
        <v>919</v>
      </c>
      <c r="L34" s="1">
        <v>1042346954</v>
      </c>
      <c r="M34" s="7" t="s">
        <v>813</v>
      </c>
      <c r="N34" s="7" t="s">
        <v>23</v>
      </c>
    </row>
    <row r="35" spans="1:14" ht="75" x14ac:dyDescent="0.25">
      <c r="A35" s="4">
        <v>36</v>
      </c>
      <c r="B35" s="1" t="s">
        <v>17</v>
      </c>
      <c r="D35" s="1" t="s">
        <v>287</v>
      </c>
      <c r="E35" s="25" t="s">
        <v>288</v>
      </c>
      <c r="F35" t="s">
        <v>289</v>
      </c>
      <c r="G35" t="s">
        <v>290</v>
      </c>
      <c r="I35" s="15" t="s">
        <v>167</v>
      </c>
      <c r="J35" s="1">
        <v>10218</v>
      </c>
      <c r="K35" s="7" t="s">
        <v>919</v>
      </c>
      <c r="L35" s="1">
        <v>1042346954</v>
      </c>
      <c r="M35" s="7" t="s">
        <v>813</v>
      </c>
      <c r="N35" s="7" t="s">
        <v>23</v>
      </c>
    </row>
    <row r="36" spans="1:14" ht="75" x14ac:dyDescent="0.25">
      <c r="A36" s="4">
        <v>37</v>
      </c>
      <c r="B36" s="1" t="s">
        <v>17</v>
      </c>
      <c r="D36" s="1" t="s">
        <v>291</v>
      </c>
      <c r="E36" s="25" t="s">
        <v>292</v>
      </c>
      <c r="F36" t="s">
        <v>293</v>
      </c>
      <c r="G36" t="s">
        <v>290</v>
      </c>
      <c r="I36" s="15" t="s">
        <v>167</v>
      </c>
      <c r="J36" s="1">
        <v>10218</v>
      </c>
      <c r="K36" s="7" t="s">
        <v>919</v>
      </c>
      <c r="L36" s="1">
        <v>1042346954</v>
      </c>
      <c r="M36" s="7" t="s">
        <v>813</v>
      </c>
      <c r="N36" s="7" t="s">
        <v>23</v>
      </c>
    </row>
    <row r="37" spans="1:14" ht="75" x14ac:dyDescent="0.25">
      <c r="A37" s="4">
        <v>38</v>
      </c>
      <c r="B37" s="1" t="s">
        <v>17</v>
      </c>
      <c r="D37" s="1" t="s">
        <v>294</v>
      </c>
      <c r="E37" s="25" t="s">
        <v>295</v>
      </c>
      <c r="F37" t="s">
        <v>296</v>
      </c>
      <c r="G37" t="s">
        <v>290</v>
      </c>
      <c r="I37" s="15" t="s">
        <v>167</v>
      </c>
      <c r="J37" s="1">
        <v>10218</v>
      </c>
      <c r="K37" s="7" t="s">
        <v>919</v>
      </c>
      <c r="L37" s="1">
        <v>1042346954</v>
      </c>
      <c r="M37" s="7" t="s">
        <v>813</v>
      </c>
      <c r="N37" s="7" t="s">
        <v>23</v>
      </c>
    </row>
    <row r="38" spans="1:14" ht="75" x14ac:dyDescent="0.25">
      <c r="A38" s="4">
        <v>39</v>
      </c>
      <c r="B38" s="1" t="s">
        <v>17</v>
      </c>
      <c r="D38" s="1" t="s">
        <v>297</v>
      </c>
      <c r="E38" s="25" t="s">
        <v>298</v>
      </c>
      <c r="F38" t="s">
        <v>299</v>
      </c>
      <c r="G38" t="s">
        <v>290</v>
      </c>
      <c r="I38" s="15" t="s">
        <v>167</v>
      </c>
      <c r="J38" s="1">
        <v>10218</v>
      </c>
      <c r="K38" s="7" t="s">
        <v>919</v>
      </c>
      <c r="L38" s="1">
        <v>1042346954</v>
      </c>
      <c r="M38" s="7" t="s">
        <v>813</v>
      </c>
      <c r="N38" s="7" t="s">
        <v>23</v>
      </c>
    </row>
    <row r="39" spans="1:14" ht="75" x14ac:dyDescent="0.25">
      <c r="A39" s="4">
        <v>40</v>
      </c>
      <c r="B39" s="1" t="s">
        <v>17</v>
      </c>
      <c r="D39" s="1" t="s">
        <v>300</v>
      </c>
      <c r="E39" s="25" t="s">
        <v>301</v>
      </c>
      <c r="F39" t="s">
        <v>302</v>
      </c>
      <c r="G39" t="s">
        <v>303</v>
      </c>
      <c r="I39" s="15" t="s">
        <v>167</v>
      </c>
      <c r="J39" s="1">
        <v>10218</v>
      </c>
      <c r="K39" s="7" t="s">
        <v>919</v>
      </c>
      <c r="L39" s="1">
        <v>1042346954</v>
      </c>
      <c r="M39" s="7" t="s">
        <v>813</v>
      </c>
      <c r="N39" s="7" t="s">
        <v>23</v>
      </c>
    </row>
    <row r="40" spans="1:14" ht="75" x14ac:dyDescent="0.25">
      <c r="A40" s="4">
        <v>41</v>
      </c>
      <c r="B40" s="1" t="s">
        <v>17</v>
      </c>
      <c r="D40" s="1" t="s">
        <v>304</v>
      </c>
      <c r="E40" s="25" t="s">
        <v>305</v>
      </c>
      <c r="F40" t="s">
        <v>306</v>
      </c>
      <c r="G40" t="s">
        <v>303</v>
      </c>
      <c r="I40" s="15" t="s">
        <v>167</v>
      </c>
      <c r="J40" s="1">
        <v>10218</v>
      </c>
      <c r="K40" s="7" t="s">
        <v>919</v>
      </c>
      <c r="L40" s="1">
        <v>1042346954</v>
      </c>
      <c r="M40" s="7" t="s">
        <v>813</v>
      </c>
      <c r="N40" s="7" t="s">
        <v>23</v>
      </c>
    </row>
    <row r="41" spans="1:14" ht="75" x14ac:dyDescent="0.25">
      <c r="A41" s="4">
        <v>46</v>
      </c>
      <c r="B41" s="1" t="s">
        <v>17</v>
      </c>
      <c r="D41" s="1" t="s">
        <v>307</v>
      </c>
      <c r="E41" s="25" t="s">
        <v>308</v>
      </c>
      <c r="F41" t="s">
        <v>309</v>
      </c>
      <c r="G41" t="s">
        <v>310</v>
      </c>
      <c r="I41" s="15" t="s">
        <v>167</v>
      </c>
      <c r="J41" s="1">
        <v>10218</v>
      </c>
      <c r="K41" s="7" t="s">
        <v>919</v>
      </c>
      <c r="L41" s="1">
        <v>1042346954</v>
      </c>
      <c r="M41" s="7" t="s">
        <v>813</v>
      </c>
      <c r="N41" s="7" t="s">
        <v>23</v>
      </c>
    </row>
    <row r="42" spans="1:14" ht="75" x14ac:dyDescent="0.25">
      <c r="A42" s="4">
        <v>47</v>
      </c>
      <c r="B42" s="1" t="s">
        <v>17</v>
      </c>
      <c r="D42" s="1" t="s">
        <v>311</v>
      </c>
      <c r="E42" s="25" t="s">
        <v>312</v>
      </c>
      <c r="F42" t="s">
        <v>313</v>
      </c>
      <c r="G42" t="s">
        <v>310</v>
      </c>
      <c r="I42" s="15" t="s">
        <v>167</v>
      </c>
      <c r="J42" s="1">
        <v>10218</v>
      </c>
      <c r="K42" s="7" t="s">
        <v>919</v>
      </c>
      <c r="L42" s="1">
        <v>1042346954</v>
      </c>
      <c r="M42" s="7" t="s">
        <v>813</v>
      </c>
      <c r="N42" s="7" t="s">
        <v>23</v>
      </c>
    </row>
    <row r="43" spans="1:14" ht="75" x14ac:dyDescent="0.25">
      <c r="A43" s="4">
        <v>48</v>
      </c>
      <c r="B43" s="1" t="s">
        <v>17</v>
      </c>
      <c r="D43" s="1" t="s">
        <v>314</v>
      </c>
      <c r="E43" s="25" t="s">
        <v>315</v>
      </c>
      <c r="F43" t="s">
        <v>316</v>
      </c>
      <c r="G43" t="s">
        <v>242</v>
      </c>
      <c r="I43" s="15" t="s">
        <v>167</v>
      </c>
      <c r="J43" s="1">
        <v>10218</v>
      </c>
      <c r="K43" s="7" t="s">
        <v>919</v>
      </c>
      <c r="L43" s="1">
        <v>1042346954</v>
      </c>
      <c r="M43" s="7" t="s">
        <v>813</v>
      </c>
      <c r="N43" s="7" t="s">
        <v>23</v>
      </c>
    </row>
    <row r="44" spans="1:14" ht="75" x14ac:dyDescent="0.25">
      <c r="A44" s="4">
        <v>49</v>
      </c>
      <c r="B44" s="1" t="s">
        <v>17</v>
      </c>
      <c r="D44" s="1" t="s">
        <v>317</v>
      </c>
      <c r="E44" s="25" t="s">
        <v>318</v>
      </c>
      <c r="F44" t="s">
        <v>319</v>
      </c>
      <c r="G44" t="s">
        <v>242</v>
      </c>
      <c r="I44" s="15" t="s">
        <v>167</v>
      </c>
      <c r="J44" s="1">
        <v>10218</v>
      </c>
      <c r="K44" s="7" t="s">
        <v>919</v>
      </c>
      <c r="L44" s="1">
        <v>1042346954</v>
      </c>
      <c r="M44" s="7" t="s">
        <v>813</v>
      </c>
      <c r="N44" s="7" t="s">
        <v>23</v>
      </c>
    </row>
    <row r="45" spans="1:14" ht="75" x14ac:dyDescent="0.25">
      <c r="A45" s="4">
        <v>50</v>
      </c>
      <c r="B45" s="1" t="s">
        <v>17</v>
      </c>
      <c r="D45" s="1" t="s">
        <v>320</v>
      </c>
      <c r="E45" s="25" t="s">
        <v>321</v>
      </c>
      <c r="F45" t="s">
        <v>322</v>
      </c>
      <c r="G45" t="s">
        <v>323</v>
      </c>
      <c r="I45" s="15" t="s">
        <v>167</v>
      </c>
      <c r="J45" s="1">
        <v>10218</v>
      </c>
      <c r="K45" s="7" t="s">
        <v>919</v>
      </c>
      <c r="L45" s="1">
        <v>1042346954</v>
      </c>
      <c r="M45" s="7" t="s">
        <v>813</v>
      </c>
      <c r="N45" s="7" t="s">
        <v>23</v>
      </c>
    </row>
    <row r="46" spans="1:14" ht="75" x14ac:dyDescent="0.25">
      <c r="A46" s="4">
        <v>51</v>
      </c>
      <c r="B46" s="1" t="s">
        <v>17</v>
      </c>
      <c r="D46" s="1" t="s">
        <v>324</v>
      </c>
      <c r="E46" s="25" t="s">
        <v>325</v>
      </c>
      <c r="F46" t="s">
        <v>326</v>
      </c>
      <c r="G46" t="s">
        <v>327</v>
      </c>
      <c r="I46" s="15" t="s">
        <v>167</v>
      </c>
      <c r="J46" s="1">
        <v>10218</v>
      </c>
      <c r="K46" s="7" t="s">
        <v>919</v>
      </c>
      <c r="L46" s="1">
        <v>1042346954</v>
      </c>
      <c r="M46" s="7" t="s">
        <v>813</v>
      </c>
      <c r="N46" s="7" t="s">
        <v>23</v>
      </c>
    </row>
    <row r="47" spans="1:14" ht="75" x14ac:dyDescent="0.25">
      <c r="A47" s="4">
        <v>52</v>
      </c>
      <c r="B47" s="1" t="s">
        <v>17</v>
      </c>
      <c r="D47" s="1" t="s">
        <v>328</v>
      </c>
      <c r="E47" s="25" t="s">
        <v>329</v>
      </c>
      <c r="F47" t="s">
        <v>330</v>
      </c>
      <c r="G47" t="s">
        <v>331</v>
      </c>
      <c r="I47" s="15" t="s">
        <v>167</v>
      </c>
      <c r="J47" s="1">
        <v>10218</v>
      </c>
      <c r="K47" s="7" t="s">
        <v>919</v>
      </c>
      <c r="L47" s="1">
        <v>1042346954</v>
      </c>
      <c r="M47" s="7" t="s">
        <v>813</v>
      </c>
      <c r="N47" s="7" t="s">
        <v>23</v>
      </c>
    </row>
    <row r="48" spans="1:14" ht="75" x14ac:dyDescent="0.25">
      <c r="A48" s="4">
        <v>53</v>
      </c>
      <c r="B48" s="1" t="s">
        <v>17</v>
      </c>
      <c r="D48" s="1" t="s">
        <v>332</v>
      </c>
      <c r="E48" s="25" t="s">
        <v>333</v>
      </c>
      <c r="F48" t="s">
        <v>334</v>
      </c>
      <c r="G48" t="s">
        <v>327</v>
      </c>
      <c r="I48" s="15" t="s">
        <v>167</v>
      </c>
      <c r="J48" s="1">
        <v>10218</v>
      </c>
      <c r="K48" s="7" t="s">
        <v>919</v>
      </c>
      <c r="L48" s="1">
        <v>1042346954</v>
      </c>
      <c r="M48" s="7" t="s">
        <v>813</v>
      </c>
      <c r="N48" s="7" t="s">
        <v>23</v>
      </c>
    </row>
    <row r="49" spans="1:14" ht="75" x14ac:dyDescent="0.25">
      <c r="A49" s="4">
        <v>54</v>
      </c>
      <c r="B49" s="1" t="s">
        <v>17</v>
      </c>
      <c r="D49" s="1" t="s">
        <v>335</v>
      </c>
      <c r="E49" s="25" t="s">
        <v>336</v>
      </c>
      <c r="F49" t="s">
        <v>337</v>
      </c>
      <c r="G49" t="s">
        <v>338</v>
      </c>
      <c r="I49" s="15" t="s">
        <v>167</v>
      </c>
      <c r="J49" s="1">
        <v>10218</v>
      </c>
      <c r="K49" s="7" t="s">
        <v>919</v>
      </c>
      <c r="L49" s="1">
        <v>1042346954</v>
      </c>
      <c r="M49" s="7" t="s">
        <v>813</v>
      </c>
      <c r="N49" s="7" t="s">
        <v>23</v>
      </c>
    </row>
    <row r="50" spans="1:14" ht="75" x14ac:dyDescent="0.25">
      <c r="A50" s="4">
        <v>55</v>
      </c>
      <c r="B50" s="1" t="s">
        <v>17</v>
      </c>
      <c r="D50" s="1" t="s">
        <v>339</v>
      </c>
      <c r="E50" s="25" t="s">
        <v>340</v>
      </c>
      <c r="F50" t="s">
        <v>341</v>
      </c>
      <c r="G50" t="s">
        <v>342</v>
      </c>
      <c r="I50" s="15" t="s">
        <v>167</v>
      </c>
      <c r="J50" s="1">
        <v>10218</v>
      </c>
      <c r="K50" s="7" t="s">
        <v>919</v>
      </c>
      <c r="L50" s="1">
        <v>1042346954</v>
      </c>
      <c r="M50" s="7" t="s">
        <v>813</v>
      </c>
      <c r="N50" s="7" t="s">
        <v>23</v>
      </c>
    </row>
    <row r="51" spans="1:14" ht="75" x14ac:dyDescent="0.25">
      <c r="A51" s="4">
        <v>56</v>
      </c>
      <c r="B51" s="1" t="s">
        <v>17</v>
      </c>
      <c r="D51" s="1" t="s">
        <v>343</v>
      </c>
      <c r="E51" s="25" t="s">
        <v>344</v>
      </c>
      <c r="F51" t="s">
        <v>345</v>
      </c>
      <c r="G51" t="s">
        <v>346</v>
      </c>
      <c r="I51" s="15" t="s">
        <v>167</v>
      </c>
      <c r="J51" s="1">
        <v>10218</v>
      </c>
      <c r="K51" s="7" t="s">
        <v>919</v>
      </c>
      <c r="L51" s="1">
        <v>1042346954</v>
      </c>
      <c r="M51" s="7" t="s">
        <v>813</v>
      </c>
      <c r="N51" s="7" t="s">
        <v>23</v>
      </c>
    </row>
    <row r="52" spans="1:14" ht="75" x14ac:dyDescent="0.25">
      <c r="A52" s="4">
        <v>57</v>
      </c>
      <c r="B52" s="1" t="s">
        <v>17</v>
      </c>
      <c r="D52" s="1" t="s">
        <v>347</v>
      </c>
      <c r="E52" s="25" t="s">
        <v>348</v>
      </c>
      <c r="F52" t="s">
        <v>349</v>
      </c>
      <c r="G52" t="s">
        <v>258</v>
      </c>
      <c r="I52" s="15" t="s">
        <v>167</v>
      </c>
      <c r="J52" s="1">
        <v>10218</v>
      </c>
      <c r="K52" s="7" t="s">
        <v>919</v>
      </c>
      <c r="L52" s="1">
        <v>1042346954</v>
      </c>
      <c r="M52" s="7" t="s">
        <v>813</v>
      </c>
      <c r="N52" s="7" t="s">
        <v>23</v>
      </c>
    </row>
    <row r="53" spans="1:14" ht="75" x14ac:dyDescent="0.25">
      <c r="A53" s="4">
        <v>58</v>
      </c>
      <c r="B53" s="1" t="s">
        <v>17</v>
      </c>
      <c r="D53" s="1" t="s">
        <v>350</v>
      </c>
      <c r="E53" s="25" t="s">
        <v>351</v>
      </c>
      <c r="F53" t="s">
        <v>352</v>
      </c>
      <c r="G53" t="s">
        <v>258</v>
      </c>
      <c r="I53" s="15" t="s">
        <v>167</v>
      </c>
      <c r="J53" s="1">
        <v>10218</v>
      </c>
      <c r="K53" s="7" t="s">
        <v>919</v>
      </c>
      <c r="L53" s="1">
        <v>1042346954</v>
      </c>
      <c r="M53" s="7" t="s">
        <v>813</v>
      </c>
      <c r="N53" s="7" t="s">
        <v>23</v>
      </c>
    </row>
    <row r="54" spans="1:14" ht="75" x14ac:dyDescent="0.25">
      <c r="A54" s="4">
        <v>59</v>
      </c>
      <c r="B54" s="1" t="s">
        <v>17</v>
      </c>
      <c r="D54" s="1" t="s">
        <v>353</v>
      </c>
      <c r="E54" s="25" t="s">
        <v>354</v>
      </c>
      <c r="F54" t="s">
        <v>355</v>
      </c>
      <c r="G54" t="s">
        <v>356</v>
      </c>
      <c r="I54" s="15" t="s">
        <v>167</v>
      </c>
      <c r="J54" s="1">
        <v>10218</v>
      </c>
      <c r="K54" s="7" t="s">
        <v>919</v>
      </c>
      <c r="L54" s="1">
        <v>1042346954</v>
      </c>
      <c r="M54" s="7" t="s">
        <v>813</v>
      </c>
      <c r="N54" s="7" t="s">
        <v>23</v>
      </c>
    </row>
    <row r="55" spans="1:14" ht="75" x14ac:dyDescent="0.25">
      <c r="A55" s="4">
        <v>60</v>
      </c>
      <c r="B55" s="1" t="s">
        <v>17</v>
      </c>
      <c r="D55" s="1" t="s">
        <v>357</v>
      </c>
      <c r="E55" s="25" t="s">
        <v>358</v>
      </c>
      <c r="F55" t="s">
        <v>359</v>
      </c>
      <c r="G55" t="s">
        <v>360</v>
      </c>
      <c r="I55" s="15" t="s">
        <v>167</v>
      </c>
      <c r="J55" s="1">
        <v>10218</v>
      </c>
      <c r="K55" s="7" t="s">
        <v>919</v>
      </c>
      <c r="L55" s="1">
        <v>1042346954</v>
      </c>
      <c r="M55" s="7" t="s">
        <v>813</v>
      </c>
      <c r="N55" s="7" t="s">
        <v>23</v>
      </c>
    </row>
    <row r="56" spans="1:14" ht="75" x14ac:dyDescent="0.25">
      <c r="A56" s="4">
        <v>61</v>
      </c>
      <c r="B56" s="1" t="s">
        <v>17</v>
      </c>
      <c r="D56" s="1" t="s">
        <v>361</v>
      </c>
      <c r="E56" s="25" t="s">
        <v>362</v>
      </c>
      <c r="F56" t="s">
        <v>363</v>
      </c>
      <c r="G56" t="s">
        <v>364</v>
      </c>
      <c r="I56" s="15" t="s">
        <v>167</v>
      </c>
      <c r="J56" s="1">
        <v>10218</v>
      </c>
      <c r="K56" s="7" t="s">
        <v>919</v>
      </c>
      <c r="L56" s="1">
        <v>1042346954</v>
      </c>
      <c r="M56" s="7" t="s">
        <v>813</v>
      </c>
      <c r="N56" s="7" t="s">
        <v>23</v>
      </c>
    </row>
    <row r="57" spans="1:14" ht="75" x14ac:dyDescent="0.25">
      <c r="A57" s="4">
        <v>62</v>
      </c>
      <c r="B57" s="1" t="s">
        <v>17</v>
      </c>
      <c r="D57" s="1" t="s">
        <v>365</v>
      </c>
      <c r="E57" s="25" t="s">
        <v>366</v>
      </c>
      <c r="F57" t="s">
        <v>367</v>
      </c>
      <c r="G57" t="s">
        <v>368</v>
      </c>
      <c r="I57" s="15" t="s">
        <v>167</v>
      </c>
      <c r="J57" s="1">
        <v>10218</v>
      </c>
      <c r="K57" s="7" t="s">
        <v>919</v>
      </c>
      <c r="L57" s="1">
        <v>1042346954</v>
      </c>
      <c r="M57" s="7" t="s">
        <v>813</v>
      </c>
      <c r="N57" s="7" t="s">
        <v>23</v>
      </c>
    </row>
    <row r="58" spans="1:14" ht="75" x14ac:dyDescent="0.25">
      <c r="A58" s="4">
        <v>63</v>
      </c>
      <c r="B58" s="1" t="s">
        <v>17</v>
      </c>
      <c r="D58" s="1" t="s">
        <v>369</v>
      </c>
      <c r="E58" s="25" t="s">
        <v>370</v>
      </c>
      <c r="F58" t="s">
        <v>371</v>
      </c>
      <c r="G58" t="s">
        <v>372</v>
      </c>
      <c r="I58" s="15" t="s">
        <v>167</v>
      </c>
      <c r="J58" s="1">
        <v>10218</v>
      </c>
      <c r="K58" s="7" t="s">
        <v>919</v>
      </c>
      <c r="L58" s="1">
        <v>1042346954</v>
      </c>
      <c r="M58" s="7" t="s">
        <v>813</v>
      </c>
      <c r="N58" s="7" t="s">
        <v>23</v>
      </c>
    </row>
    <row r="59" spans="1:14" ht="75" x14ac:dyDescent="0.25">
      <c r="A59" s="4">
        <v>64</v>
      </c>
      <c r="B59" s="1" t="s">
        <v>17</v>
      </c>
      <c r="D59" s="1" t="s">
        <v>373</v>
      </c>
      <c r="E59" s="25" t="s">
        <v>374</v>
      </c>
      <c r="F59" t="s">
        <v>375</v>
      </c>
      <c r="G59" t="s">
        <v>376</v>
      </c>
      <c r="I59" s="15" t="s">
        <v>167</v>
      </c>
      <c r="J59" s="1">
        <v>10218</v>
      </c>
      <c r="K59" s="7" t="s">
        <v>919</v>
      </c>
      <c r="L59" s="1">
        <v>1042346954</v>
      </c>
      <c r="M59" s="7" t="s">
        <v>813</v>
      </c>
      <c r="N59" s="7" t="s">
        <v>23</v>
      </c>
    </row>
    <row r="60" spans="1:14" ht="75" x14ac:dyDescent="0.25">
      <c r="A60" s="4">
        <v>65</v>
      </c>
      <c r="B60" s="1" t="s">
        <v>17</v>
      </c>
      <c r="D60" s="1" t="s">
        <v>377</v>
      </c>
      <c r="E60" s="25" t="s">
        <v>378</v>
      </c>
      <c r="F60" t="s">
        <v>379</v>
      </c>
      <c r="G60" t="s">
        <v>380</v>
      </c>
      <c r="I60" s="15" t="s">
        <v>167</v>
      </c>
      <c r="J60" s="1">
        <v>10218</v>
      </c>
      <c r="K60" s="7" t="s">
        <v>919</v>
      </c>
      <c r="L60" s="1">
        <v>1042346954</v>
      </c>
      <c r="M60" s="7" t="s">
        <v>813</v>
      </c>
      <c r="N60" s="7" t="s">
        <v>23</v>
      </c>
    </row>
    <row r="61" spans="1:14" x14ac:dyDescent="0.25">
      <c r="A61"/>
      <c r="B61"/>
      <c r="C61"/>
      <c r="D61"/>
      <c r="E61"/>
      <c r="F61"/>
      <c r="G61"/>
      <c r="H61"/>
      <c r="I61"/>
      <c r="J61"/>
      <c r="K61"/>
      <c r="L61"/>
      <c r="M61"/>
      <c r="N61"/>
    </row>
    <row r="62" spans="1:14" x14ac:dyDescent="0.25">
      <c r="A62"/>
      <c r="B62"/>
      <c r="C62"/>
      <c r="D62"/>
      <c r="E62"/>
      <c r="F62"/>
      <c r="G62"/>
      <c r="H62"/>
      <c r="I62"/>
      <c r="J62"/>
      <c r="K62"/>
      <c r="L62"/>
      <c r="M62"/>
      <c r="N62"/>
    </row>
    <row r="63" spans="1:14" x14ac:dyDescent="0.25">
      <c r="A63"/>
      <c r="B63"/>
      <c r="C63"/>
      <c r="D63"/>
      <c r="E63"/>
      <c r="F63"/>
      <c r="G63"/>
      <c r="H63"/>
      <c r="I63"/>
      <c r="J63"/>
      <c r="K63"/>
      <c r="L63"/>
      <c r="M63"/>
      <c r="N63"/>
    </row>
    <row r="64" spans="1:14" x14ac:dyDescent="0.25">
      <c r="A64"/>
      <c r="B64"/>
      <c r="C64"/>
      <c r="D64"/>
      <c r="E64"/>
      <c r="F64"/>
      <c r="G64"/>
      <c r="H64"/>
      <c r="I64"/>
      <c r="J64"/>
      <c r="K64"/>
      <c r="L64"/>
      <c r="M64"/>
      <c r="N64"/>
    </row>
    <row r="65" spans="1:14" x14ac:dyDescent="0.25">
      <c r="A65"/>
      <c r="B65"/>
      <c r="C65"/>
      <c r="D65"/>
      <c r="E65"/>
      <c r="F65"/>
      <c r="G65"/>
      <c r="H65"/>
      <c r="I65"/>
      <c r="J65"/>
      <c r="K65"/>
      <c r="L65"/>
      <c r="M65"/>
      <c r="N65"/>
    </row>
    <row r="66" spans="1:14" x14ac:dyDescent="0.25">
      <c r="A66"/>
      <c r="B66"/>
      <c r="C66"/>
      <c r="D66"/>
      <c r="E66"/>
      <c r="F66"/>
      <c r="G66"/>
      <c r="H66"/>
      <c r="I66"/>
      <c r="J66"/>
      <c r="K66"/>
      <c r="L66"/>
      <c r="M66"/>
      <c r="N66"/>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6950A-D734-4B90-9E33-D37FA7A2D6A5}">
  <sheetPr>
    <tabColor rgb="FFFFC000"/>
  </sheetPr>
  <dimension ref="A1:AM115"/>
  <sheetViews>
    <sheetView topLeftCell="J1" zoomScale="85" zoomScaleNormal="85" workbookViewId="0">
      <pane ySplit="1" topLeftCell="A2" activePane="bottomLeft" state="frozen"/>
      <selection activeCell="D9" sqref="D9"/>
      <selection pane="bottomLeft" activeCell="AC2" sqref="AC2"/>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customWidth="1"/>
    <col min="6" max="6" width="34.42578125" customWidth="1"/>
    <col min="7" max="7" width="48.85546875" style="22"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7" width="22.42578125" customWidth="1"/>
    <col min="18" max="18" width="16.140625" style="4" bestFit="1" customWidth="1"/>
    <col min="19" max="19" width="18" style="1" bestFit="1" customWidth="1"/>
    <col min="20" max="20" width="29.7109375" style="4" bestFit="1" customWidth="1"/>
    <col min="21" max="21" width="28.28515625" style="4" bestFit="1" customWidth="1"/>
    <col min="22" max="22" width="17.85546875" style="4" bestFit="1" customWidth="1"/>
    <col min="23" max="23" width="29" style="18" bestFit="1" customWidth="1"/>
    <col min="24" max="24" width="32.140625" style="4" customWidth="1"/>
    <col min="25" max="25" width="15.7109375" style="4" bestFit="1" customWidth="1"/>
    <col min="26" max="26" width="17.85546875" style="4" bestFit="1" customWidth="1"/>
    <col min="27" max="27" width="19.28515625" style="4" bestFit="1" customWidth="1"/>
    <col min="28" max="28" width="21.28515625" style="4" bestFit="1" customWidth="1"/>
    <col min="29" max="29" width="16.42578125" style="4" bestFit="1" customWidth="1"/>
    <col min="30" max="30" width="19" style="4" bestFit="1" customWidth="1"/>
    <col min="31" max="31" width="15.7109375" style="4" bestFit="1" customWidth="1"/>
    <col min="32" max="32" width="23.140625" style="4" bestFit="1" customWidth="1"/>
    <col min="33" max="33" width="14.28515625" style="4" bestFit="1" customWidth="1"/>
  </cols>
  <sheetData>
    <row r="1" spans="1:39" ht="23.25" customHeight="1" x14ac:dyDescent="0.25">
      <c r="A1" s="8" t="s">
        <v>0</v>
      </c>
      <c r="B1" s="2" t="s">
        <v>1</v>
      </c>
      <c r="C1" s="2" t="s">
        <v>2</v>
      </c>
      <c r="D1" s="2" t="s">
        <v>3</v>
      </c>
      <c r="E1" s="2" t="s">
        <v>4</v>
      </c>
      <c r="F1" s="2" t="s">
        <v>5</v>
      </c>
      <c r="G1" s="29" t="s">
        <v>6</v>
      </c>
      <c r="H1" s="2" t="s">
        <v>7</v>
      </c>
      <c r="I1" s="13" t="s">
        <v>812</v>
      </c>
      <c r="J1" s="13" t="s">
        <v>8</v>
      </c>
      <c r="K1" s="9" t="s">
        <v>9</v>
      </c>
      <c r="L1" s="9" t="s">
        <v>11</v>
      </c>
      <c r="M1" s="9" t="s">
        <v>10</v>
      </c>
      <c r="N1" s="9" t="s">
        <v>12</v>
      </c>
      <c r="O1" s="17" t="s">
        <v>13</v>
      </c>
      <c r="P1" s="9" t="s">
        <v>104</v>
      </c>
      <c r="Q1" s="9" t="s">
        <v>14</v>
      </c>
      <c r="R1" s="10" t="s">
        <v>103</v>
      </c>
      <c r="S1" s="10" t="s">
        <v>16</v>
      </c>
      <c r="T1" s="10" t="s">
        <v>381</v>
      </c>
      <c r="U1" s="10" t="s">
        <v>382</v>
      </c>
      <c r="V1" s="10" t="s">
        <v>383</v>
      </c>
      <c r="W1" s="19" t="s">
        <v>384</v>
      </c>
      <c r="X1" s="10" t="s">
        <v>385</v>
      </c>
      <c r="Y1" s="10" t="s">
        <v>386</v>
      </c>
      <c r="Z1" s="10" t="s">
        <v>387</v>
      </c>
      <c r="AA1" s="10" t="s">
        <v>388</v>
      </c>
      <c r="AB1" s="10" t="s">
        <v>389</v>
      </c>
      <c r="AC1" s="10" t="s">
        <v>390</v>
      </c>
      <c r="AD1" s="10" t="s">
        <v>391</v>
      </c>
      <c r="AE1" s="10" t="s">
        <v>392</v>
      </c>
      <c r="AF1" s="10" t="s">
        <v>393</v>
      </c>
      <c r="AG1" s="10" t="s">
        <v>394</v>
      </c>
      <c r="AH1" s="26" t="s">
        <v>928</v>
      </c>
      <c r="AI1" s="26" t="s">
        <v>929</v>
      </c>
      <c r="AJ1" s="26" t="s">
        <v>1484</v>
      </c>
      <c r="AK1" s="26" t="s">
        <v>1485</v>
      </c>
      <c r="AL1" s="26" t="s">
        <v>1486</v>
      </c>
      <c r="AM1" s="26" t="s">
        <v>1487</v>
      </c>
    </row>
    <row r="2" spans="1:39" ht="131.25" customHeight="1" x14ac:dyDescent="0.25">
      <c r="A2" s="1">
        <v>1</v>
      </c>
      <c r="B2" s="1" t="str">
        <f>C2</f>
        <v>Y</v>
      </c>
      <c r="C2" s="1" t="s">
        <v>17</v>
      </c>
      <c r="D2" s="1" t="s">
        <v>395</v>
      </c>
      <c r="E2" s="1" t="s">
        <v>814</v>
      </c>
      <c r="F2" s="1" t="s">
        <v>396</v>
      </c>
      <c r="G2" s="22" t="s">
        <v>397</v>
      </c>
      <c r="H2" s="1">
        <v>200</v>
      </c>
      <c r="I2" s="1" t="s">
        <v>22</v>
      </c>
      <c r="J2" s="1" t="s">
        <v>398</v>
      </c>
      <c r="K2" s="7" t="s">
        <v>23</v>
      </c>
      <c r="L2" s="7" t="s">
        <v>25</v>
      </c>
      <c r="M2" s="7" t="s">
        <v>24</v>
      </c>
      <c r="N2" s="23" t="s">
        <v>46</v>
      </c>
      <c r="O2" s="1" t="s">
        <v>813</v>
      </c>
      <c r="P2" s="7" t="s">
        <v>914</v>
      </c>
      <c r="Q2" s="1" t="s">
        <v>23</v>
      </c>
      <c r="R2" s="4" t="s">
        <v>400</v>
      </c>
      <c r="S2" s="7" t="s">
        <v>27</v>
      </c>
      <c r="T2" s="11" t="s">
        <v>916</v>
      </c>
      <c r="U2" s="1" t="s">
        <v>401</v>
      </c>
      <c r="V2" s="1" t="s">
        <v>402</v>
      </c>
      <c r="W2" s="5">
        <v>200061812368</v>
      </c>
      <c r="X2" s="1" t="s">
        <v>403</v>
      </c>
      <c r="Y2" s="1">
        <v>1</v>
      </c>
      <c r="Z2" s="6" t="s">
        <v>404</v>
      </c>
      <c r="AA2" s="6" t="s">
        <v>405</v>
      </c>
      <c r="AB2" s="6" t="s">
        <v>406</v>
      </c>
      <c r="AC2" s="1" t="s">
        <v>407</v>
      </c>
      <c r="AD2" s="1" t="s">
        <v>408</v>
      </c>
      <c r="AE2" s="1" t="s">
        <v>409</v>
      </c>
      <c r="AF2" s="1" t="s">
        <v>410</v>
      </c>
      <c r="AG2" s="1" t="s">
        <v>411</v>
      </c>
    </row>
    <row r="3" spans="1:39" ht="330" x14ac:dyDescent="0.25">
      <c r="A3" s="1">
        <v>2</v>
      </c>
      <c r="B3" s="1" t="str">
        <f>C3</f>
        <v>Y</v>
      </c>
      <c r="C3" s="1" t="s">
        <v>17</v>
      </c>
      <c r="D3" s="1" t="s">
        <v>412</v>
      </c>
      <c r="E3" s="1" t="s">
        <v>815</v>
      </c>
      <c r="F3" s="1" t="s">
        <v>413</v>
      </c>
      <c r="G3" s="22" t="s">
        <v>414</v>
      </c>
      <c r="H3" s="1">
        <v>200</v>
      </c>
      <c r="I3" s="1" t="s">
        <v>22</v>
      </c>
      <c r="J3" s="1" t="s">
        <v>398</v>
      </c>
      <c r="K3" s="7" t="s">
        <v>23</v>
      </c>
      <c r="L3" s="7" t="s">
        <v>25</v>
      </c>
      <c r="M3" s="7" t="s">
        <v>24</v>
      </c>
      <c r="N3" s="23" t="s">
        <v>46</v>
      </c>
      <c r="O3" s="1" t="s">
        <v>813</v>
      </c>
      <c r="P3" s="7" t="s">
        <v>914</v>
      </c>
      <c r="Q3" s="1" t="s">
        <v>23</v>
      </c>
      <c r="R3" s="4" t="s">
        <v>400</v>
      </c>
      <c r="S3" s="7" t="s">
        <v>27</v>
      </c>
      <c r="T3" s="11" t="s">
        <v>916</v>
      </c>
      <c r="U3" s="1" t="s">
        <v>401</v>
      </c>
      <c r="V3" s="1" t="s">
        <v>402</v>
      </c>
      <c r="W3" s="5">
        <v>200061812368</v>
      </c>
      <c r="X3" s="1" t="s">
        <v>403</v>
      </c>
      <c r="Y3" s="1">
        <v>1</v>
      </c>
      <c r="Z3" s="6" t="s">
        <v>404</v>
      </c>
      <c r="AA3" s="6" t="s">
        <v>405</v>
      </c>
      <c r="AB3" s="6" t="s">
        <v>406</v>
      </c>
      <c r="AC3" s="1" t="s">
        <v>407</v>
      </c>
      <c r="AD3" s="1" t="s">
        <v>408</v>
      </c>
      <c r="AE3" s="1" t="s">
        <v>409</v>
      </c>
      <c r="AF3" s="1" t="s">
        <v>410</v>
      </c>
      <c r="AG3" s="1" t="s">
        <v>411</v>
      </c>
    </row>
    <row r="4" spans="1:39" ht="315" x14ac:dyDescent="0.25">
      <c r="A4" s="1">
        <v>3</v>
      </c>
      <c r="B4" s="1" t="s">
        <v>915</v>
      </c>
      <c r="C4" s="1" t="s">
        <v>17</v>
      </c>
      <c r="D4" s="1" t="s">
        <v>416</v>
      </c>
      <c r="E4" s="1" t="s">
        <v>816</v>
      </c>
      <c r="F4" s="1" t="s">
        <v>417</v>
      </c>
      <c r="G4" s="22" t="s">
        <v>418</v>
      </c>
      <c r="H4" s="1">
        <v>200</v>
      </c>
      <c r="I4" s="1" t="s">
        <v>22</v>
      </c>
      <c r="J4" s="1" t="s">
        <v>398</v>
      </c>
      <c r="K4" s="7" t="s">
        <v>23</v>
      </c>
      <c r="L4" s="7" t="s">
        <v>25</v>
      </c>
      <c r="M4" s="7" t="s">
        <v>24</v>
      </c>
      <c r="N4" s="23" t="s">
        <v>46</v>
      </c>
      <c r="O4" s="1" t="s">
        <v>813</v>
      </c>
      <c r="P4" s="7" t="s">
        <v>914</v>
      </c>
      <c r="Q4" s="1" t="s">
        <v>23</v>
      </c>
      <c r="R4" s="4" t="s">
        <v>400</v>
      </c>
      <c r="S4" s="24" t="s">
        <v>917</v>
      </c>
      <c r="T4" s="11" t="s">
        <v>916</v>
      </c>
      <c r="U4" s="1" t="s">
        <v>401</v>
      </c>
      <c r="V4" s="1" t="s">
        <v>402</v>
      </c>
      <c r="W4" s="5">
        <v>200061812368</v>
      </c>
      <c r="X4" s="1" t="s">
        <v>403</v>
      </c>
      <c r="Y4" s="1">
        <v>1</v>
      </c>
      <c r="Z4" s="6" t="s">
        <v>404</v>
      </c>
      <c r="AA4" s="6" t="s">
        <v>405</v>
      </c>
      <c r="AB4" s="6" t="s">
        <v>406</v>
      </c>
      <c r="AC4" s="1" t="s">
        <v>407</v>
      </c>
      <c r="AD4" s="1" t="s">
        <v>408</v>
      </c>
      <c r="AE4" s="1" t="s">
        <v>409</v>
      </c>
      <c r="AF4" s="1" t="s">
        <v>410</v>
      </c>
      <c r="AG4" s="1" t="s">
        <v>411</v>
      </c>
    </row>
    <row r="5" spans="1:39" ht="330" x14ac:dyDescent="0.25">
      <c r="A5" s="1">
        <v>4</v>
      </c>
      <c r="B5" s="1" t="s">
        <v>915</v>
      </c>
      <c r="C5" s="1" t="s">
        <v>17</v>
      </c>
      <c r="D5" s="1" t="s">
        <v>422</v>
      </c>
      <c r="E5" s="1" t="s">
        <v>817</v>
      </c>
      <c r="F5" s="1" t="s">
        <v>423</v>
      </c>
      <c r="G5" s="22" t="s">
        <v>424</v>
      </c>
      <c r="H5" s="1">
        <v>200</v>
      </c>
      <c r="I5" s="1" t="s">
        <v>22</v>
      </c>
      <c r="J5" s="1" t="s">
        <v>398</v>
      </c>
      <c r="K5" s="1" t="s">
        <v>23</v>
      </c>
      <c r="L5" s="1" t="s">
        <v>25</v>
      </c>
      <c r="M5" s="1" t="s">
        <v>24</v>
      </c>
      <c r="N5" s="4">
        <v>1042346954</v>
      </c>
      <c r="O5" s="1" t="s">
        <v>813</v>
      </c>
      <c r="P5" s="7" t="s">
        <v>399</v>
      </c>
      <c r="Q5" s="1" t="s">
        <v>23</v>
      </c>
      <c r="R5" s="4" t="s">
        <v>109</v>
      </c>
      <c r="S5" s="1" t="s">
        <v>27</v>
      </c>
      <c r="T5" s="5">
        <v>200061777902</v>
      </c>
      <c r="U5" s="1" t="s">
        <v>401</v>
      </c>
      <c r="V5" s="4" t="s">
        <v>420</v>
      </c>
      <c r="W5" s="20" t="s">
        <v>421</v>
      </c>
      <c r="X5" s="1" t="s">
        <v>403</v>
      </c>
      <c r="Y5" s="1">
        <v>1</v>
      </c>
      <c r="Z5" s="6" t="s">
        <v>404</v>
      </c>
      <c r="AA5" s="6" t="s">
        <v>405</v>
      </c>
      <c r="AB5" s="6" t="s">
        <v>406</v>
      </c>
      <c r="AC5" s="1" t="s">
        <v>407</v>
      </c>
      <c r="AD5" s="1" t="s">
        <v>408</v>
      </c>
      <c r="AE5" s="1" t="s">
        <v>409</v>
      </c>
      <c r="AF5" s="1" t="s">
        <v>410</v>
      </c>
      <c r="AG5" s="1" t="s">
        <v>411</v>
      </c>
    </row>
    <row r="6" spans="1:39" ht="45" x14ac:dyDescent="0.25">
      <c r="A6" s="1">
        <v>5</v>
      </c>
      <c r="B6" s="1" t="s">
        <v>915</v>
      </c>
      <c r="C6" s="1" t="s">
        <v>17</v>
      </c>
      <c r="D6" s="1" t="s">
        <v>425</v>
      </c>
      <c r="E6" s="1" t="s">
        <v>818</v>
      </c>
      <c r="F6" s="1" t="s">
        <v>426</v>
      </c>
      <c r="G6" s="22" t="s">
        <v>427</v>
      </c>
      <c r="H6" s="1">
        <v>400</v>
      </c>
      <c r="I6" s="1" t="s">
        <v>22</v>
      </c>
      <c r="J6" s="1" t="s">
        <v>398</v>
      </c>
      <c r="K6" s="1" t="s">
        <v>23</v>
      </c>
      <c r="L6" s="1" t="s">
        <v>25</v>
      </c>
      <c r="M6" s="1" t="s">
        <v>24</v>
      </c>
      <c r="N6" s="4">
        <v>1042346954</v>
      </c>
      <c r="O6" s="1" t="s">
        <v>813</v>
      </c>
      <c r="P6" s="7" t="s">
        <v>399</v>
      </c>
      <c r="Q6" s="1" t="s">
        <v>23</v>
      </c>
      <c r="R6" s="4" t="s">
        <v>400</v>
      </c>
      <c r="S6" s="1" t="s">
        <v>27</v>
      </c>
      <c r="T6" s="5">
        <v>200061777902</v>
      </c>
      <c r="U6" s="1" t="s">
        <v>401</v>
      </c>
      <c r="V6" s="1" t="s">
        <v>402</v>
      </c>
      <c r="W6" s="5">
        <v>200061812368</v>
      </c>
      <c r="X6" s="1" t="s">
        <v>403</v>
      </c>
      <c r="Y6" s="1"/>
      <c r="Z6" s="6" t="s">
        <v>404</v>
      </c>
      <c r="AA6" s="6" t="s">
        <v>405</v>
      </c>
      <c r="AB6" s="6" t="s">
        <v>406</v>
      </c>
      <c r="AC6" s="1" t="s">
        <v>407</v>
      </c>
      <c r="AD6" s="1" t="s">
        <v>408</v>
      </c>
      <c r="AE6" s="1" t="s">
        <v>409</v>
      </c>
      <c r="AF6" s="1" t="s">
        <v>410</v>
      </c>
      <c r="AG6" s="1" t="s">
        <v>411</v>
      </c>
    </row>
    <row r="7" spans="1:39" ht="45" x14ac:dyDescent="0.25">
      <c r="A7" s="1">
        <v>6</v>
      </c>
      <c r="B7" s="1" t="s">
        <v>915</v>
      </c>
      <c r="C7" s="1" t="s">
        <v>17</v>
      </c>
      <c r="D7" s="1" t="s">
        <v>428</v>
      </c>
      <c r="E7" s="1" t="s">
        <v>819</v>
      </c>
      <c r="F7" s="1" t="s">
        <v>426</v>
      </c>
      <c r="G7" s="22" t="s">
        <v>427</v>
      </c>
      <c r="H7" s="1">
        <v>400</v>
      </c>
      <c r="I7" s="1" t="s">
        <v>22</v>
      </c>
      <c r="J7" s="1" t="s">
        <v>398</v>
      </c>
      <c r="K7" s="1" t="s">
        <v>23</v>
      </c>
      <c r="L7" s="1" t="s">
        <v>25</v>
      </c>
      <c r="M7" s="1" t="s">
        <v>24</v>
      </c>
      <c r="N7" s="4">
        <v>1042346954</v>
      </c>
      <c r="O7" s="1" t="s">
        <v>813</v>
      </c>
      <c r="P7" s="7" t="s">
        <v>399</v>
      </c>
      <c r="Q7" s="1" t="s">
        <v>23</v>
      </c>
      <c r="R7" s="4" t="s">
        <v>400</v>
      </c>
      <c r="S7" s="1" t="s">
        <v>27</v>
      </c>
      <c r="T7" s="5">
        <v>200061777902</v>
      </c>
      <c r="U7" s="1" t="s">
        <v>401</v>
      </c>
      <c r="V7" s="4" t="s">
        <v>415</v>
      </c>
      <c r="W7" s="18">
        <v>500027172598</v>
      </c>
      <c r="X7" s="1" t="s">
        <v>403</v>
      </c>
      <c r="Y7" s="1"/>
      <c r="Z7" s="6" t="s">
        <v>404</v>
      </c>
      <c r="AA7" s="6" t="s">
        <v>405</v>
      </c>
      <c r="AB7" s="6" t="s">
        <v>406</v>
      </c>
      <c r="AC7" s="1" t="s">
        <v>407</v>
      </c>
      <c r="AD7" s="1" t="s">
        <v>408</v>
      </c>
      <c r="AE7" s="1" t="s">
        <v>409</v>
      </c>
      <c r="AF7" s="1" t="s">
        <v>410</v>
      </c>
      <c r="AG7" s="1" t="s">
        <v>411</v>
      </c>
    </row>
    <row r="8" spans="1:39" ht="45" x14ac:dyDescent="0.25">
      <c r="A8" s="1">
        <v>7</v>
      </c>
      <c r="B8" s="1" t="s">
        <v>915</v>
      </c>
      <c r="C8" s="1" t="s">
        <v>17</v>
      </c>
      <c r="D8" s="1" t="s">
        <v>429</v>
      </c>
      <c r="E8" s="1" t="s">
        <v>820</v>
      </c>
      <c r="F8" s="1" t="s">
        <v>426</v>
      </c>
      <c r="G8" s="22" t="s">
        <v>427</v>
      </c>
      <c r="H8" s="1">
        <v>400</v>
      </c>
      <c r="I8" s="1" t="s">
        <v>22</v>
      </c>
      <c r="J8" s="1" t="s">
        <v>398</v>
      </c>
      <c r="K8" s="1" t="s">
        <v>23</v>
      </c>
      <c r="L8" s="1" t="s">
        <v>25</v>
      </c>
      <c r="M8" s="1" t="s">
        <v>24</v>
      </c>
      <c r="N8" s="4">
        <v>1042346954</v>
      </c>
      <c r="O8" s="1" t="s">
        <v>813</v>
      </c>
      <c r="P8" s="7" t="s">
        <v>399</v>
      </c>
      <c r="Q8" s="1" t="s">
        <v>23</v>
      </c>
      <c r="R8" s="4" t="s">
        <v>419</v>
      </c>
      <c r="S8" s="1" t="s">
        <v>27</v>
      </c>
      <c r="T8" s="5">
        <v>200061777902</v>
      </c>
      <c r="U8" s="1" t="s">
        <v>401</v>
      </c>
      <c r="V8" s="4" t="s">
        <v>420</v>
      </c>
      <c r="W8" s="20" t="s">
        <v>421</v>
      </c>
      <c r="X8" s="1" t="s">
        <v>403</v>
      </c>
      <c r="Y8" s="1"/>
      <c r="Z8" s="6" t="s">
        <v>404</v>
      </c>
      <c r="AA8" s="6" t="s">
        <v>405</v>
      </c>
      <c r="AB8" s="6" t="s">
        <v>406</v>
      </c>
      <c r="AC8" s="1" t="s">
        <v>407</v>
      </c>
      <c r="AD8" s="1" t="s">
        <v>408</v>
      </c>
      <c r="AE8" s="1" t="s">
        <v>409</v>
      </c>
      <c r="AF8" s="1" t="s">
        <v>410</v>
      </c>
      <c r="AG8" s="1" t="s">
        <v>411</v>
      </c>
    </row>
    <row r="9" spans="1:39" ht="45" x14ac:dyDescent="0.25">
      <c r="A9" s="1">
        <v>8</v>
      </c>
      <c r="B9" s="1" t="s">
        <v>915</v>
      </c>
      <c r="C9" s="1" t="s">
        <v>17</v>
      </c>
      <c r="D9" s="1" t="s">
        <v>430</v>
      </c>
      <c r="E9" s="1" t="s">
        <v>821</v>
      </c>
      <c r="F9" s="1" t="s">
        <v>426</v>
      </c>
      <c r="G9" s="22" t="s">
        <v>427</v>
      </c>
      <c r="H9" s="1">
        <v>400</v>
      </c>
      <c r="I9" s="1" t="s">
        <v>22</v>
      </c>
      <c r="J9" s="1" t="s">
        <v>398</v>
      </c>
      <c r="K9" s="1" t="s">
        <v>23</v>
      </c>
      <c r="L9" s="1" t="s">
        <v>25</v>
      </c>
      <c r="M9" s="1" t="s">
        <v>24</v>
      </c>
      <c r="N9" s="4">
        <v>1042346954</v>
      </c>
      <c r="O9" s="1" t="s">
        <v>813</v>
      </c>
      <c r="P9" s="7" t="s">
        <v>399</v>
      </c>
      <c r="Q9" s="1" t="s">
        <v>23</v>
      </c>
      <c r="R9" s="4" t="s">
        <v>109</v>
      </c>
      <c r="S9" s="1" t="s">
        <v>27</v>
      </c>
      <c r="T9" s="5">
        <v>200061777902</v>
      </c>
      <c r="U9" s="1" t="s">
        <v>401</v>
      </c>
      <c r="V9" s="4" t="s">
        <v>420</v>
      </c>
      <c r="W9" s="20" t="s">
        <v>421</v>
      </c>
      <c r="X9" s="1" t="s">
        <v>403</v>
      </c>
      <c r="Y9" s="1"/>
      <c r="Z9" s="6" t="s">
        <v>404</v>
      </c>
      <c r="AA9" s="6" t="s">
        <v>405</v>
      </c>
      <c r="AB9" s="6" t="s">
        <v>406</v>
      </c>
      <c r="AC9" s="1" t="s">
        <v>407</v>
      </c>
      <c r="AD9" s="1" t="s">
        <v>408</v>
      </c>
      <c r="AE9" s="1" t="s">
        <v>409</v>
      </c>
      <c r="AF9" s="1" t="s">
        <v>410</v>
      </c>
      <c r="AG9" s="1" t="s">
        <v>411</v>
      </c>
    </row>
    <row r="10" spans="1:39" ht="45" x14ac:dyDescent="0.25">
      <c r="A10" s="1">
        <v>9</v>
      </c>
      <c r="B10" s="1" t="s">
        <v>915</v>
      </c>
      <c r="C10" s="1" t="s">
        <v>17</v>
      </c>
      <c r="D10" s="1" t="s">
        <v>431</v>
      </c>
      <c r="E10" s="1" t="s">
        <v>822</v>
      </c>
      <c r="F10" s="1" t="s">
        <v>432</v>
      </c>
      <c r="G10" s="30" t="s">
        <v>433</v>
      </c>
      <c r="H10" s="1">
        <v>401</v>
      </c>
      <c r="I10" s="1" t="s">
        <v>22</v>
      </c>
      <c r="J10" s="1" t="s">
        <v>398</v>
      </c>
      <c r="K10" s="1" t="s">
        <v>23</v>
      </c>
      <c r="L10" s="1" t="s">
        <v>25</v>
      </c>
      <c r="M10" s="1" t="s">
        <v>24</v>
      </c>
      <c r="N10" s="4">
        <v>1042346954</v>
      </c>
      <c r="O10" s="1" t="s">
        <v>813</v>
      </c>
      <c r="P10" s="7" t="s">
        <v>399</v>
      </c>
      <c r="Q10" s="1" t="s">
        <v>23</v>
      </c>
      <c r="R10" s="4" t="s">
        <v>400</v>
      </c>
      <c r="S10" s="1" t="s">
        <v>27</v>
      </c>
      <c r="T10" s="5">
        <v>200061777902</v>
      </c>
      <c r="U10" s="1" t="s">
        <v>401</v>
      </c>
      <c r="V10" s="1" t="s">
        <v>402</v>
      </c>
      <c r="W10" s="5">
        <v>200061812368</v>
      </c>
      <c r="X10" s="1" t="s">
        <v>403</v>
      </c>
      <c r="Y10" s="1">
        <v>1</v>
      </c>
      <c r="Z10" s="6" t="s">
        <v>404</v>
      </c>
      <c r="AA10" s="6" t="s">
        <v>405</v>
      </c>
      <c r="AB10" s="6" t="s">
        <v>406</v>
      </c>
      <c r="AC10" s="1" t="s">
        <v>407</v>
      </c>
      <c r="AD10" s="1" t="s">
        <v>408</v>
      </c>
      <c r="AE10" s="1" t="s">
        <v>409</v>
      </c>
      <c r="AF10" s="1" t="s">
        <v>410</v>
      </c>
      <c r="AG10" s="1" t="s">
        <v>411</v>
      </c>
    </row>
    <row r="11" spans="1:39" ht="45" x14ac:dyDescent="0.25">
      <c r="A11" s="1"/>
      <c r="B11" s="1" t="s">
        <v>915</v>
      </c>
      <c r="C11" s="1" t="s">
        <v>17</v>
      </c>
      <c r="D11" s="1" t="s">
        <v>434</v>
      </c>
      <c r="E11" s="1" t="s">
        <v>823</v>
      </c>
      <c r="F11" s="1" t="s">
        <v>432</v>
      </c>
      <c r="G11" s="30" t="s">
        <v>433</v>
      </c>
      <c r="H11" s="1">
        <v>401</v>
      </c>
      <c r="I11" s="1" t="s">
        <v>22</v>
      </c>
      <c r="J11" s="1" t="s">
        <v>398</v>
      </c>
      <c r="K11" s="1" t="s">
        <v>23</v>
      </c>
      <c r="L11" s="1" t="s">
        <v>25</v>
      </c>
      <c r="M11" s="1" t="s">
        <v>24</v>
      </c>
      <c r="N11" s="4">
        <v>1042346954</v>
      </c>
      <c r="O11" s="1" t="s">
        <v>813</v>
      </c>
      <c r="P11" s="7" t="s">
        <v>399</v>
      </c>
      <c r="Q11" s="1" t="s">
        <v>23</v>
      </c>
      <c r="R11" s="4" t="s">
        <v>400</v>
      </c>
      <c r="S11" s="1" t="s">
        <v>27</v>
      </c>
      <c r="T11" s="5">
        <v>200061777902</v>
      </c>
      <c r="U11" s="1" t="s">
        <v>401</v>
      </c>
      <c r="V11" s="4" t="s">
        <v>415</v>
      </c>
      <c r="W11" s="18">
        <v>500027172598</v>
      </c>
      <c r="X11" s="1" t="s">
        <v>403</v>
      </c>
      <c r="Y11" s="1">
        <v>1</v>
      </c>
      <c r="Z11" s="6" t="s">
        <v>404</v>
      </c>
      <c r="AA11" s="6" t="s">
        <v>405</v>
      </c>
      <c r="AB11" s="6" t="s">
        <v>406</v>
      </c>
      <c r="AC11" s="1" t="s">
        <v>407</v>
      </c>
      <c r="AD11" s="1" t="s">
        <v>408</v>
      </c>
      <c r="AE11" s="1" t="s">
        <v>409</v>
      </c>
      <c r="AF11" s="1" t="s">
        <v>410</v>
      </c>
      <c r="AG11" s="1" t="s">
        <v>411</v>
      </c>
    </row>
    <row r="12" spans="1:39" ht="45" x14ac:dyDescent="0.25">
      <c r="A12" s="1"/>
      <c r="B12" s="1" t="s">
        <v>915</v>
      </c>
      <c r="C12" s="1" t="s">
        <v>17</v>
      </c>
      <c r="D12" s="1" t="s">
        <v>435</v>
      </c>
      <c r="E12" s="1" t="s">
        <v>824</v>
      </c>
      <c r="F12" s="1" t="s">
        <v>432</v>
      </c>
      <c r="G12" s="30" t="s">
        <v>433</v>
      </c>
      <c r="H12" s="1">
        <v>401</v>
      </c>
      <c r="I12" s="1" t="s">
        <v>22</v>
      </c>
      <c r="J12" s="1" t="s">
        <v>398</v>
      </c>
      <c r="K12" s="1" t="s">
        <v>23</v>
      </c>
      <c r="L12" s="1" t="s">
        <v>25</v>
      </c>
      <c r="M12" s="1" t="s">
        <v>24</v>
      </c>
      <c r="N12" s="4">
        <v>1042346954</v>
      </c>
      <c r="O12" s="1" t="s">
        <v>813</v>
      </c>
      <c r="P12" s="7" t="s">
        <v>399</v>
      </c>
      <c r="Q12" s="1" t="s">
        <v>23</v>
      </c>
      <c r="R12" s="4" t="s">
        <v>419</v>
      </c>
      <c r="S12" s="1" t="s">
        <v>27</v>
      </c>
      <c r="T12" s="5">
        <v>200061777902</v>
      </c>
      <c r="U12" s="1" t="s">
        <v>401</v>
      </c>
      <c r="V12" s="4" t="s">
        <v>420</v>
      </c>
      <c r="W12" s="20" t="s">
        <v>421</v>
      </c>
      <c r="X12" s="1" t="s">
        <v>403</v>
      </c>
      <c r="Y12" s="1">
        <v>1</v>
      </c>
      <c r="Z12" s="6" t="s">
        <v>404</v>
      </c>
      <c r="AA12" s="6" t="s">
        <v>405</v>
      </c>
      <c r="AB12" s="6" t="s">
        <v>406</v>
      </c>
      <c r="AC12" s="1" t="s">
        <v>407</v>
      </c>
      <c r="AD12" s="1" t="s">
        <v>408</v>
      </c>
      <c r="AE12" s="1" t="s">
        <v>409</v>
      </c>
      <c r="AF12" s="1" t="s">
        <v>410</v>
      </c>
      <c r="AG12" s="1" t="s">
        <v>411</v>
      </c>
    </row>
    <row r="13" spans="1:39" ht="45" x14ac:dyDescent="0.25">
      <c r="A13" s="1"/>
      <c r="B13" s="1" t="s">
        <v>915</v>
      </c>
      <c r="C13" s="1" t="s">
        <v>17</v>
      </c>
      <c r="D13" s="1" t="s">
        <v>436</v>
      </c>
      <c r="E13" s="1" t="s">
        <v>825</v>
      </c>
      <c r="F13" s="1" t="s">
        <v>432</v>
      </c>
      <c r="G13" s="30" t="s">
        <v>433</v>
      </c>
      <c r="H13" s="1">
        <v>401</v>
      </c>
      <c r="I13" s="1" t="s">
        <v>22</v>
      </c>
      <c r="J13" s="1" t="s">
        <v>398</v>
      </c>
      <c r="K13" s="1" t="s">
        <v>23</v>
      </c>
      <c r="L13" s="1" t="s">
        <v>25</v>
      </c>
      <c r="M13" s="1" t="s">
        <v>24</v>
      </c>
      <c r="N13" s="4">
        <v>1042346954</v>
      </c>
      <c r="O13" s="1" t="s">
        <v>813</v>
      </c>
      <c r="P13" s="7" t="s">
        <v>399</v>
      </c>
      <c r="Q13" s="1" t="s">
        <v>23</v>
      </c>
      <c r="R13" s="4" t="s">
        <v>109</v>
      </c>
      <c r="S13" s="1" t="s">
        <v>27</v>
      </c>
      <c r="T13" s="5">
        <v>200061777902</v>
      </c>
      <c r="U13" s="1" t="s">
        <v>401</v>
      </c>
      <c r="V13" s="4" t="s">
        <v>420</v>
      </c>
      <c r="W13" s="20" t="s">
        <v>421</v>
      </c>
      <c r="X13" s="1" t="s">
        <v>403</v>
      </c>
      <c r="Y13" s="1">
        <v>1</v>
      </c>
      <c r="Z13" s="6" t="s">
        <v>404</v>
      </c>
      <c r="AA13" s="6" t="s">
        <v>405</v>
      </c>
      <c r="AB13" s="6" t="s">
        <v>406</v>
      </c>
      <c r="AC13" s="1" t="s">
        <v>407</v>
      </c>
      <c r="AD13" s="1" t="s">
        <v>408</v>
      </c>
      <c r="AE13" s="1" t="s">
        <v>409</v>
      </c>
      <c r="AF13" s="1" t="s">
        <v>410</v>
      </c>
      <c r="AG13" s="1" t="s">
        <v>411</v>
      </c>
    </row>
    <row r="14" spans="1:39" ht="195" x14ac:dyDescent="0.25">
      <c r="A14" s="1">
        <v>10</v>
      </c>
      <c r="B14" s="1" t="s">
        <v>915</v>
      </c>
      <c r="C14" s="1" t="s">
        <v>17</v>
      </c>
      <c r="D14" s="1" t="s">
        <v>437</v>
      </c>
      <c r="E14" s="1" t="s">
        <v>826</v>
      </c>
      <c r="F14" s="1" t="s">
        <v>438</v>
      </c>
      <c r="G14" s="22" t="s">
        <v>439</v>
      </c>
      <c r="H14" s="4">
        <v>200</v>
      </c>
      <c r="I14" s="1" t="s">
        <v>22</v>
      </c>
      <c r="J14" s="1" t="s">
        <v>398</v>
      </c>
      <c r="K14" s="1" t="s">
        <v>23</v>
      </c>
      <c r="L14" s="1" t="s">
        <v>25</v>
      </c>
      <c r="M14" s="1" t="s">
        <v>24</v>
      </c>
      <c r="N14" s="4">
        <v>1042346954</v>
      </c>
      <c r="O14" s="1" t="s">
        <v>813</v>
      </c>
      <c r="P14" s="7" t="s">
        <v>399</v>
      </c>
      <c r="Q14" s="1" t="s">
        <v>23</v>
      </c>
      <c r="R14" s="4" t="s">
        <v>400</v>
      </c>
      <c r="S14" s="1" t="s">
        <v>27</v>
      </c>
      <c r="T14" s="5">
        <v>200061817815</v>
      </c>
      <c r="U14" s="1" t="s">
        <v>401</v>
      </c>
      <c r="V14" s="1" t="s">
        <v>402</v>
      </c>
      <c r="W14" s="5">
        <v>200061812368</v>
      </c>
      <c r="X14" s="1" t="s">
        <v>403</v>
      </c>
      <c r="Y14" s="1">
        <v>1</v>
      </c>
      <c r="Z14" s="6" t="s">
        <v>404</v>
      </c>
      <c r="AA14" s="6" t="s">
        <v>405</v>
      </c>
      <c r="AB14" s="6" t="s">
        <v>406</v>
      </c>
      <c r="AC14" s="1" t="s">
        <v>407</v>
      </c>
      <c r="AD14" s="1" t="s">
        <v>408</v>
      </c>
      <c r="AE14" s="1" t="s">
        <v>409</v>
      </c>
      <c r="AF14" s="1" t="s">
        <v>410</v>
      </c>
      <c r="AG14" s="1" t="s">
        <v>411</v>
      </c>
    </row>
    <row r="15" spans="1:39" ht="180" x14ac:dyDescent="0.25">
      <c r="A15" s="1">
        <v>11</v>
      </c>
      <c r="B15" s="1" t="s">
        <v>915</v>
      </c>
      <c r="C15" s="1" t="s">
        <v>17</v>
      </c>
      <c r="D15" s="1" t="s">
        <v>440</v>
      </c>
      <c r="E15" s="1" t="s">
        <v>827</v>
      </c>
      <c r="F15" s="1" t="s">
        <v>441</v>
      </c>
      <c r="G15" s="22" t="s">
        <v>442</v>
      </c>
      <c r="H15" s="4">
        <v>200</v>
      </c>
      <c r="I15" s="1" t="s">
        <v>22</v>
      </c>
      <c r="J15" s="1" t="s">
        <v>398</v>
      </c>
      <c r="K15" s="1" t="s">
        <v>23</v>
      </c>
      <c r="L15" s="1" t="s">
        <v>25</v>
      </c>
      <c r="M15" s="1" t="s">
        <v>24</v>
      </c>
      <c r="N15" s="4">
        <v>1042346954</v>
      </c>
      <c r="O15" s="1" t="s">
        <v>813</v>
      </c>
      <c r="P15" s="7" t="s">
        <v>399</v>
      </c>
      <c r="Q15" s="1" t="s">
        <v>23</v>
      </c>
      <c r="R15" s="4" t="s">
        <v>400</v>
      </c>
      <c r="S15" s="1" t="s">
        <v>27</v>
      </c>
      <c r="T15" s="5">
        <v>200061817815</v>
      </c>
      <c r="U15" s="1" t="s">
        <v>401</v>
      </c>
      <c r="V15" s="4" t="s">
        <v>415</v>
      </c>
      <c r="W15" s="18">
        <v>500027172598</v>
      </c>
      <c r="X15" s="1" t="s">
        <v>403</v>
      </c>
      <c r="Y15" s="1">
        <v>1</v>
      </c>
      <c r="Z15" s="6" t="s">
        <v>404</v>
      </c>
      <c r="AA15" s="6" t="s">
        <v>405</v>
      </c>
      <c r="AB15" s="6" t="s">
        <v>406</v>
      </c>
      <c r="AC15" s="1" t="s">
        <v>407</v>
      </c>
      <c r="AD15" s="1" t="s">
        <v>408</v>
      </c>
      <c r="AE15" s="1" t="s">
        <v>409</v>
      </c>
      <c r="AF15" s="1" t="s">
        <v>410</v>
      </c>
      <c r="AG15" s="1" t="s">
        <v>411</v>
      </c>
    </row>
    <row r="16" spans="1:39" ht="195" x14ac:dyDescent="0.25">
      <c r="A16" s="1">
        <v>12</v>
      </c>
      <c r="B16" s="1" t="s">
        <v>915</v>
      </c>
      <c r="C16" s="1" t="s">
        <v>17</v>
      </c>
      <c r="D16" s="1" t="s">
        <v>443</v>
      </c>
      <c r="E16" s="1" t="s">
        <v>828</v>
      </c>
      <c r="F16" s="1" t="s">
        <v>444</v>
      </c>
      <c r="G16" s="22" t="s">
        <v>445</v>
      </c>
      <c r="H16" s="4">
        <v>200</v>
      </c>
      <c r="I16" s="1" t="s">
        <v>22</v>
      </c>
      <c r="J16" s="1" t="s">
        <v>398</v>
      </c>
      <c r="K16" s="1" t="s">
        <v>23</v>
      </c>
      <c r="L16" s="1" t="s">
        <v>25</v>
      </c>
      <c r="M16" s="1" t="s">
        <v>24</v>
      </c>
      <c r="N16" s="4">
        <v>1042346954</v>
      </c>
      <c r="O16" s="1" t="s">
        <v>813</v>
      </c>
      <c r="P16" s="7" t="s">
        <v>399</v>
      </c>
      <c r="Q16" s="1" t="s">
        <v>23</v>
      </c>
      <c r="R16" s="4" t="s">
        <v>419</v>
      </c>
      <c r="S16" s="1" t="s">
        <v>27</v>
      </c>
      <c r="T16" s="5">
        <v>200061817815</v>
      </c>
      <c r="U16" s="1" t="s">
        <v>401</v>
      </c>
      <c r="V16" s="4" t="s">
        <v>420</v>
      </c>
      <c r="W16" s="20" t="s">
        <v>421</v>
      </c>
      <c r="X16" s="1" t="s">
        <v>403</v>
      </c>
      <c r="Y16" s="1">
        <v>1</v>
      </c>
      <c r="Z16" s="6" t="s">
        <v>404</v>
      </c>
      <c r="AA16" s="6" t="s">
        <v>405</v>
      </c>
      <c r="AB16" s="6" t="s">
        <v>406</v>
      </c>
      <c r="AC16" s="1" t="s">
        <v>407</v>
      </c>
      <c r="AD16" s="1" t="s">
        <v>408</v>
      </c>
      <c r="AE16" s="1" t="s">
        <v>409</v>
      </c>
      <c r="AF16" s="1" t="s">
        <v>410</v>
      </c>
      <c r="AG16" s="1" t="s">
        <v>411</v>
      </c>
    </row>
    <row r="17" spans="1:33" ht="195" x14ac:dyDescent="0.25">
      <c r="A17" s="1">
        <v>13</v>
      </c>
      <c r="B17" s="1" t="s">
        <v>915</v>
      </c>
      <c r="C17" s="1" t="s">
        <v>17</v>
      </c>
      <c r="D17" s="1" t="s">
        <v>446</v>
      </c>
      <c r="E17" s="1" t="s">
        <v>829</v>
      </c>
      <c r="F17" s="1" t="s">
        <v>447</v>
      </c>
      <c r="G17" s="22" t="s">
        <v>445</v>
      </c>
      <c r="H17" s="4">
        <v>200</v>
      </c>
      <c r="I17" s="1" t="s">
        <v>22</v>
      </c>
      <c r="J17" s="1" t="s">
        <v>398</v>
      </c>
      <c r="K17" s="1" t="s">
        <v>23</v>
      </c>
      <c r="L17" s="1" t="s">
        <v>25</v>
      </c>
      <c r="M17" s="1" t="s">
        <v>24</v>
      </c>
      <c r="N17" s="4">
        <v>1042346954</v>
      </c>
      <c r="O17" s="1" t="s">
        <v>813</v>
      </c>
      <c r="P17" s="7" t="s">
        <v>399</v>
      </c>
      <c r="Q17" s="1" t="s">
        <v>23</v>
      </c>
      <c r="R17" s="4" t="s">
        <v>109</v>
      </c>
      <c r="S17" s="1" t="s">
        <v>27</v>
      </c>
      <c r="T17" s="5">
        <v>200061817815</v>
      </c>
      <c r="U17" s="1" t="s">
        <v>401</v>
      </c>
      <c r="V17" s="4" t="s">
        <v>420</v>
      </c>
      <c r="W17" s="20" t="s">
        <v>421</v>
      </c>
      <c r="X17" s="1" t="s">
        <v>403</v>
      </c>
      <c r="Y17" s="1">
        <v>1</v>
      </c>
      <c r="Z17" s="6" t="s">
        <v>404</v>
      </c>
      <c r="AA17" s="6" t="s">
        <v>405</v>
      </c>
      <c r="AB17" s="6" t="s">
        <v>406</v>
      </c>
      <c r="AC17" s="1" t="s">
        <v>407</v>
      </c>
      <c r="AD17" s="1" t="s">
        <v>408</v>
      </c>
      <c r="AE17" s="1" t="s">
        <v>409</v>
      </c>
      <c r="AF17" s="1" t="s">
        <v>410</v>
      </c>
      <c r="AG17" s="1" t="s">
        <v>411</v>
      </c>
    </row>
    <row r="18" spans="1:33" ht="180" x14ac:dyDescent="0.25">
      <c r="A18" s="1">
        <v>14</v>
      </c>
      <c r="B18" s="1" t="s">
        <v>915</v>
      </c>
      <c r="C18" s="1" t="s">
        <v>17</v>
      </c>
      <c r="D18" s="1" t="s">
        <v>448</v>
      </c>
      <c r="E18" s="1" t="s">
        <v>830</v>
      </c>
      <c r="F18" s="1" t="s">
        <v>449</v>
      </c>
      <c r="G18" s="22" t="s">
        <v>450</v>
      </c>
      <c r="H18" s="4">
        <v>200</v>
      </c>
      <c r="I18" s="1" t="s">
        <v>22</v>
      </c>
      <c r="J18" s="1" t="s">
        <v>398</v>
      </c>
      <c r="K18" s="1" t="s">
        <v>23</v>
      </c>
      <c r="L18" s="1" t="s">
        <v>25</v>
      </c>
      <c r="M18" s="1" t="s">
        <v>24</v>
      </c>
      <c r="N18" s="4">
        <v>1042346954</v>
      </c>
      <c r="O18" s="1" t="s">
        <v>813</v>
      </c>
      <c r="P18" s="7" t="s">
        <v>399</v>
      </c>
      <c r="Q18" s="1" t="s">
        <v>23</v>
      </c>
      <c r="R18" s="4" t="s">
        <v>400</v>
      </c>
      <c r="S18" s="1" t="s">
        <v>27</v>
      </c>
      <c r="T18" s="5">
        <v>200061767908</v>
      </c>
      <c r="U18" s="4" t="s">
        <v>401</v>
      </c>
      <c r="V18" s="1" t="s">
        <v>402</v>
      </c>
      <c r="W18" s="5">
        <v>200061812368</v>
      </c>
      <c r="X18" s="1" t="s">
        <v>403</v>
      </c>
      <c r="Y18" s="1">
        <v>1</v>
      </c>
      <c r="Z18" s="6" t="s">
        <v>404</v>
      </c>
      <c r="AA18" s="6" t="s">
        <v>405</v>
      </c>
      <c r="AB18" s="6" t="s">
        <v>406</v>
      </c>
      <c r="AC18" s="1" t="s">
        <v>407</v>
      </c>
      <c r="AD18" s="1" t="s">
        <v>408</v>
      </c>
      <c r="AE18" s="1" t="s">
        <v>409</v>
      </c>
      <c r="AF18" s="1" t="s">
        <v>410</v>
      </c>
      <c r="AG18" s="1" t="s">
        <v>411</v>
      </c>
    </row>
    <row r="19" spans="1:33" ht="180" x14ac:dyDescent="0.25">
      <c r="A19" s="1">
        <v>15</v>
      </c>
      <c r="B19" s="1" t="s">
        <v>915</v>
      </c>
      <c r="C19" s="1" t="s">
        <v>17</v>
      </c>
      <c r="D19" s="1" t="s">
        <v>451</v>
      </c>
      <c r="E19" s="1" t="s">
        <v>831</v>
      </c>
      <c r="F19" s="1" t="s">
        <v>452</v>
      </c>
      <c r="G19" s="30" t="s">
        <v>450</v>
      </c>
      <c r="H19" s="4">
        <v>200</v>
      </c>
      <c r="I19" s="1" t="s">
        <v>22</v>
      </c>
      <c r="J19" s="1" t="s">
        <v>398</v>
      </c>
      <c r="K19" s="1" t="s">
        <v>23</v>
      </c>
      <c r="L19" s="1" t="s">
        <v>25</v>
      </c>
      <c r="M19" s="1" t="s">
        <v>24</v>
      </c>
      <c r="N19" s="4">
        <v>1042346954</v>
      </c>
      <c r="O19" s="1" t="s">
        <v>813</v>
      </c>
      <c r="P19" s="7" t="s">
        <v>399</v>
      </c>
      <c r="Q19" s="1" t="s">
        <v>23</v>
      </c>
      <c r="R19" s="4" t="s">
        <v>400</v>
      </c>
      <c r="S19" s="1" t="s">
        <v>27</v>
      </c>
      <c r="T19" s="5">
        <v>200061767909</v>
      </c>
      <c r="U19" s="4" t="s">
        <v>401</v>
      </c>
      <c r="V19" s="4" t="s">
        <v>415</v>
      </c>
      <c r="W19" s="18">
        <v>500027172598</v>
      </c>
      <c r="X19" s="1" t="s">
        <v>403</v>
      </c>
      <c r="Y19" s="1">
        <v>1</v>
      </c>
      <c r="Z19" s="6" t="s">
        <v>404</v>
      </c>
      <c r="AA19" s="6" t="s">
        <v>405</v>
      </c>
      <c r="AB19" s="6" t="s">
        <v>406</v>
      </c>
      <c r="AC19" s="1" t="s">
        <v>407</v>
      </c>
      <c r="AD19" s="1" t="s">
        <v>408</v>
      </c>
      <c r="AE19" s="1" t="s">
        <v>409</v>
      </c>
      <c r="AF19" s="1" t="s">
        <v>410</v>
      </c>
      <c r="AG19" s="1" t="s">
        <v>411</v>
      </c>
    </row>
    <row r="20" spans="1:33" ht="180" x14ac:dyDescent="0.25">
      <c r="A20" s="1">
        <v>16</v>
      </c>
      <c r="B20" s="1" t="s">
        <v>915</v>
      </c>
      <c r="C20" s="1" t="s">
        <v>17</v>
      </c>
      <c r="D20" s="1" t="s">
        <v>453</v>
      </c>
      <c r="E20" s="1" t="s">
        <v>832</v>
      </c>
      <c r="F20" s="1" t="s">
        <v>454</v>
      </c>
      <c r="G20" s="30" t="s">
        <v>450</v>
      </c>
      <c r="H20" s="4">
        <v>200</v>
      </c>
      <c r="I20" s="1" t="s">
        <v>22</v>
      </c>
      <c r="J20" s="1" t="s">
        <v>398</v>
      </c>
      <c r="K20" s="1" t="s">
        <v>23</v>
      </c>
      <c r="L20" s="1" t="s">
        <v>25</v>
      </c>
      <c r="M20" s="1" t="s">
        <v>24</v>
      </c>
      <c r="N20" s="4">
        <v>1042346954</v>
      </c>
      <c r="O20" s="1" t="s">
        <v>813</v>
      </c>
      <c r="P20" s="7" t="s">
        <v>399</v>
      </c>
      <c r="Q20" s="1" t="s">
        <v>23</v>
      </c>
      <c r="R20" s="4" t="s">
        <v>419</v>
      </c>
      <c r="S20" s="1" t="s">
        <v>27</v>
      </c>
      <c r="T20" s="5">
        <v>200061767910</v>
      </c>
      <c r="U20" s="4" t="s">
        <v>401</v>
      </c>
      <c r="V20" s="4" t="s">
        <v>420</v>
      </c>
      <c r="W20" s="20" t="s">
        <v>421</v>
      </c>
      <c r="X20" s="1" t="s">
        <v>403</v>
      </c>
      <c r="Y20" s="1">
        <v>1</v>
      </c>
      <c r="Z20" s="6" t="s">
        <v>404</v>
      </c>
      <c r="AA20" s="6" t="s">
        <v>405</v>
      </c>
      <c r="AB20" s="6" t="s">
        <v>406</v>
      </c>
      <c r="AC20" s="1" t="s">
        <v>407</v>
      </c>
      <c r="AD20" s="1" t="s">
        <v>408</v>
      </c>
      <c r="AE20" s="1" t="s">
        <v>409</v>
      </c>
      <c r="AF20" s="1" t="s">
        <v>410</v>
      </c>
      <c r="AG20" s="1" t="s">
        <v>411</v>
      </c>
    </row>
    <row r="21" spans="1:33" ht="180" x14ac:dyDescent="0.25">
      <c r="A21" s="1">
        <v>17</v>
      </c>
      <c r="B21" s="1" t="s">
        <v>915</v>
      </c>
      <c r="C21" s="1" t="s">
        <v>17</v>
      </c>
      <c r="D21" s="1" t="s">
        <v>455</v>
      </c>
      <c r="E21" s="1" t="s">
        <v>833</v>
      </c>
      <c r="F21" s="1" t="s">
        <v>456</v>
      </c>
      <c r="G21" s="30" t="s">
        <v>450</v>
      </c>
      <c r="H21" s="4">
        <v>200</v>
      </c>
      <c r="I21" s="1" t="s">
        <v>22</v>
      </c>
      <c r="J21" s="1" t="s">
        <v>398</v>
      </c>
      <c r="K21" s="1" t="s">
        <v>23</v>
      </c>
      <c r="L21" s="1" t="s">
        <v>25</v>
      </c>
      <c r="M21" s="1" t="s">
        <v>24</v>
      </c>
      <c r="N21" s="4">
        <v>1042346954</v>
      </c>
      <c r="O21" s="1" t="s">
        <v>813</v>
      </c>
      <c r="P21" s="7" t="s">
        <v>399</v>
      </c>
      <c r="Q21" s="1" t="s">
        <v>23</v>
      </c>
      <c r="R21" s="4" t="s">
        <v>109</v>
      </c>
      <c r="S21" s="1" t="s">
        <v>27</v>
      </c>
      <c r="T21" s="5">
        <v>200061767911</v>
      </c>
      <c r="U21" s="4" t="s">
        <v>401</v>
      </c>
      <c r="V21" s="4" t="s">
        <v>420</v>
      </c>
      <c r="W21" s="20" t="s">
        <v>421</v>
      </c>
      <c r="X21" s="1" t="s">
        <v>403</v>
      </c>
      <c r="Y21" s="1">
        <v>1</v>
      </c>
      <c r="Z21" s="6" t="s">
        <v>404</v>
      </c>
      <c r="AA21" s="6" t="s">
        <v>405</v>
      </c>
      <c r="AB21" s="6" t="s">
        <v>406</v>
      </c>
      <c r="AC21" s="1" t="s">
        <v>407</v>
      </c>
      <c r="AD21" s="1" t="s">
        <v>408</v>
      </c>
      <c r="AE21" s="1" t="s">
        <v>409</v>
      </c>
      <c r="AF21" s="1" t="s">
        <v>410</v>
      </c>
      <c r="AG21" s="1" t="s">
        <v>411</v>
      </c>
    </row>
    <row r="22" spans="1:33" ht="36.75" customHeight="1" x14ac:dyDescent="0.25">
      <c r="A22">
        <v>71</v>
      </c>
      <c r="B22" s="1" t="s">
        <v>915</v>
      </c>
      <c r="D22" s="1" t="s">
        <v>968</v>
      </c>
      <c r="E22" s="1" t="s">
        <v>939</v>
      </c>
      <c r="F22" s="1" t="s">
        <v>940</v>
      </c>
      <c r="G22" s="22" t="s">
        <v>459</v>
      </c>
      <c r="H22">
        <v>400</v>
      </c>
      <c r="I22" s="1" t="s">
        <v>22</v>
      </c>
      <c r="J22" s="1" t="s">
        <v>398</v>
      </c>
    </row>
    <row r="23" spans="1:33" ht="45" x14ac:dyDescent="0.25">
      <c r="A23">
        <v>72</v>
      </c>
      <c r="B23" s="1" t="s">
        <v>915</v>
      </c>
      <c r="D23" s="1" t="s">
        <v>969</v>
      </c>
      <c r="E23" s="1" t="s">
        <v>941</v>
      </c>
      <c r="F23" s="1" t="s">
        <v>942</v>
      </c>
      <c r="G23" s="22" t="s">
        <v>459</v>
      </c>
      <c r="H23">
        <v>400</v>
      </c>
      <c r="I23" s="1" t="s">
        <v>22</v>
      </c>
      <c r="J23" s="1" t="s">
        <v>398</v>
      </c>
    </row>
    <row r="24" spans="1:33" ht="60" x14ac:dyDescent="0.25">
      <c r="A24">
        <v>73</v>
      </c>
      <c r="B24" s="1" t="s">
        <v>915</v>
      </c>
      <c r="D24" s="1" t="s">
        <v>970</v>
      </c>
      <c r="E24" s="1" t="s">
        <v>943</v>
      </c>
      <c r="F24" s="1" t="s">
        <v>944</v>
      </c>
      <c r="G24" s="22" t="s">
        <v>459</v>
      </c>
      <c r="H24">
        <v>400</v>
      </c>
      <c r="I24" s="1" t="s">
        <v>22</v>
      </c>
      <c r="J24" s="1" t="s">
        <v>398</v>
      </c>
    </row>
    <row r="25" spans="1:33" ht="60" x14ac:dyDescent="0.25">
      <c r="A25">
        <v>74</v>
      </c>
      <c r="B25" s="1" t="s">
        <v>915</v>
      </c>
      <c r="D25" s="1" t="s">
        <v>971</v>
      </c>
      <c r="E25" s="1" t="s">
        <v>945</v>
      </c>
      <c r="F25" s="1" t="s">
        <v>946</v>
      </c>
      <c r="G25" s="22" t="s">
        <v>459</v>
      </c>
      <c r="H25">
        <v>400</v>
      </c>
      <c r="I25" s="1" t="s">
        <v>22</v>
      </c>
      <c r="J25" s="1" t="s">
        <v>398</v>
      </c>
    </row>
    <row r="26" spans="1:33" ht="60" x14ac:dyDescent="0.25">
      <c r="A26">
        <v>75</v>
      </c>
      <c r="B26" s="1" t="s">
        <v>915</v>
      </c>
      <c r="D26" s="1" t="s">
        <v>972</v>
      </c>
      <c r="E26" s="1" t="s">
        <v>947</v>
      </c>
      <c r="F26" s="1" t="s">
        <v>948</v>
      </c>
      <c r="G26" s="22" t="s">
        <v>459</v>
      </c>
      <c r="H26">
        <v>400</v>
      </c>
      <c r="I26" s="1" t="s">
        <v>22</v>
      </c>
      <c r="J26" s="1" t="s">
        <v>398</v>
      </c>
    </row>
    <row r="27" spans="1:33" ht="60" x14ac:dyDescent="0.25">
      <c r="A27">
        <v>76</v>
      </c>
      <c r="B27" s="1" t="s">
        <v>915</v>
      </c>
      <c r="D27" s="1" t="s">
        <v>973</v>
      </c>
      <c r="E27" s="1" t="s">
        <v>949</v>
      </c>
      <c r="F27" s="1" t="s">
        <v>950</v>
      </c>
      <c r="G27" s="22" t="s">
        <v>459</v>
      </c>
      <c r="H27">
        <v>400</v>
      </c>
      <c r="I27" s="1" t="s">
        <v>22</v>
      </c>
      <c r="J27" s="1" t="s">
        <v>398</v>
      </c>
    </row>
    <row r="28" spans="1:33" ht="60" x14ac:dyDescent="0.25">
      <c r="A28">
        <v>77</v>
      </c>
      <c r="B28" s="1" t="s">
        <v>915</v>
      </c>
      <c r="D28" s="1" t="s">
        <v>974</v>
      </c>
      <c r="E28" s="1" t="s">
        <v>951</v>
      </c>
      <c r="F28" s="1" t="s">
        <v>952</v>
      </c>
      <c r="G28" s="22" t="s">
        <v>459</v>
      </c>
      <c r="H28">
        <v>400</v>
      </c>
      <c r="I28" s="1" t="s">
        <v>22</v>
      </c>
      <c r="J28" s="1" t="s">
        <v>398</v>
      </c>
    </row>
    <row r="29" spans="1:33" ht="60" x14ac:dyDescent="0.25">
      <c r="A29">
        <v>78</v>
      </c>
      <c r="B29" s="1" t="s">
        <v>915</v>
      </c>
      <c r="D29" s="1" t="s">
        <v>975</v>
      </c>
      <c r="E29" s="1" t="s">
        <v>953</v>
      </c>
      <c r="F29" s="1" t="s">
        <v>954</v>
      </c>
      <c r="G29" s="22" t="s">
        <v>459</v>
      </c>
      <c r="H29">
        <v>400</v>
      </c>
      <c r="I29" s="1" t="s">
        <v>22</v>
      </c>
      <c r="J29" s="1" t="s">
        <v>398</v>
      </c>
    </row>
    <row r="30" spans="1:33" ht="60" x14ac:dyDescent="0.25">
      <c r="A30">
        <v>79</v>
      </c>
      <c r="B30" s="1" t="s">
        <v>915</v>
      </c>
      <c r="D30" s="1" t="s">
        <v>976</v>
      </c>
      <c r="E30" s="1" t="s">
        <v>955</v>
      </c>
      <c r="F30" s="1" t="s">
        <v>956</v>
      </c>
      <c r="G30" s="22" t="s">
        <v>459</v>
      </c>
      <c r="H30">
        <v>400</v>
      </c>
      <c r="I30" s="1" t="s">
        <v>22</v>
      </c>
      <c r="J30" s="1" t="s">
        <v>398</v>
      </c>
    </row>
    <row r="31" spans="1:33" ht="60" x14ac:dyDescent="0.25">
      <c r="A31">
        <v>80</v>
      </c>
      <c r="B31" s="1" t="s">
        <v>915</v>
      </c>
      <c r="D31" s="1" t="s">
        <v>977</v>
      </c>
      <c r="E31" s="1" t="s">
        <v>957</v>
      </c>
      <c r="F31" s="1" t="s">
        <v>958</v>
      </c>
      <c r="G31" s="22" t="s">
        <v>459</v>
      </c>
      <c r="H31">
        <v>400</v>
      </c>
      <c r="I31" s="1" t="s">
        <v>22</v>
      </c>
      <c r="J31" s="1" t="s">
        <v>398</v>
      </c>
    </row>
    <row r="32" spans="1:33" ht="60" x14ac:dyDescent="0.25">
      <c r="A32">
        <v>81</v>
      </c>
      <c r="B32" s="1" t="s">
        <v>915</v>
      </c>
      <c r="D32" s="1" t="s">
        <v>978</v>
      </c>
      <c r="E32" s="1" t="s">
        <v>959</v>
      </c>
      <c r="F32" s="1" t="s">
        <v>960</v>
      </c>
      <c r="G32" s="22" t="s">
        <v>459</v>
      </c>
      <c r="H32">
        <v>400</v>
      </c>
      <c r="I32" s="1" t="s">
        <v>22</v>
      </c>
      <c r="J32" s="1" t="s">
        <v>398</v>
      </c>
    </row>
    <row r="33" spans="1:33" ht="60" x14ac:dyDescent="0.25">
      <c r="A33">
        <v>82</v>
      </c>
      <c r="B33" s="1" t="s">
        <v>915</v>
      </c>
      <c r="D33" s="1" t="s">
        <v>979</v>
      </c>
      <c r="E33" s="1" t="s">
        <v>961</v>
      </c>
      <c r="F33" s="1" t="s">
        <v>962</v>
      </c>
      <c r="G33" s="22" t="s">
        <v>459</v>
      </c>
      <c r="H33">
        <v>400</v>
      </c>
      <c r="I33" s="1" t="s">
        <v>22</v>
      </c>
      <c r="J33" s="1" t="s">
        <v>398</v>
      </c>
    </row>
    <row r="34" spans="1:33" ht="42" customHeight="1" x14ac:dyDescent="0.25">
      <c r="A34" s="1">
        <v>18</v>
      </c>
      <c r="B34" s="1" t="s">
        <v>915</v>
      </c>
      <c r="C34" s="1" t="s">
        <v>17</v>
      </c>
      <c r="D34" s="1" t="s">
        <v>457</v>
      </c>
      <c r="E34" s="1" t="s">
        <v>834</v>
      </c>
      <c r="F34" s="1" t="s">
        <v>458</v>
      </c>
      <c r="G34" s="22" t="s">
        <v>459</v>
      </c>
      <c r="H34" s="1">
        <v>400</v>
      </c>
      <c r="I34" s="1" t="s">
        <v>22</v>
      </c>
      <c r="J34" s="1" t="s">
        <v>398</v>
      </c>
      <c r="K34" s="1" t="s">
        <v>23</v>
      </c>
      <c r="L34" s="1" t="s">
        <v>25</v>
      </c>
      <c r="M34" s="1" t="s">
        <v>24</v>
      </c>
      <c r="N34" s="4">
        <v>1042346955</v>
      </c>
      <c r="O34" s="1" t="s">
        <v>813</v>
      </c>
      <c r="P34" s="7" t="s">
        <v>399</v>
      </c>
      <c r="Q34" s="1" t="s">
        <v>23</v>
      </c>
      <c r="R34" s="4" t="s">
        <v>400</v>
      </c>
      <c r="S34" s="1" t="s">
        <v>27</v>
      </c>
      <c r="T34" s="11" t="s">
        <v>460</v>
      </c>
      <c r="U34" s="4" t="s">
        <v>401</v>
      </c>
      <c r="V34" s="1" t="s">
        <v>402</v>
      </c>
      <c r="W34" s="5">
        <v>200061812368</v>
      </c>
      <c r="X34" s="1" t="s">
        <v>403</v>
      </c>
      <c r="Y34" s="1">
        <v>1</v>
      </c>
      <c r="Z34" s="6" t="s">
        <v>404</v>
      </c>
      <c r="AA34" s="6" t="s">
        <v>405</v>
      </c>
      <c r="AB34" s="6" t="s">
        <v>406</v>
      </c>
      <c r="AC34" s="1" t="s">
        <v>407</v>
      </c>
      <c r="AD34" s="1" t="s">
        <v>408</v>
      </c>
      <c r="AE34" s="1" t="s">
        <v>409</v>
      </c>
      <c r="AF34" s="1" t="s">
        <v>410</v>
      </c>
      <c r="AG34" s="1" t="s">
        <v>411</v>
      </c>
    </row>
    <row r="35" spans="1:33" ht="60" x14ac:dyDescent="0.25">
      <c r="A35" s="1">
        <v>19</v>
      </c>
      <c r="B35" s="1" t="s">
        <v>915</v>
      </c>
      <c r="C35" s="1" t="s">
        <v>17</v>
      </c>
      <c r="D35" s="1" t="s">
        <v>461</v>
      </c>
      <c r="E35" s="1" t="s">
        <v>835</v>
      </c>
      <c r="F35" s="1" t="s">
        <v>462</v>
      </c>
      <c r="G35" s="22" t="s">
        <v>459</v>
      </c>
      <c r="H35" s="1">
        <v>400</v>
      </c>
      <c r="I35" s="1" t="s">
        <v>22</v>
      </c>
      <c r="J35" s="1" t="s">
        <v>398</v>
      </c>
      <c r="N35" s="4">
        <v>1042346956</v>
      </c>
      <c r="O35" s="1" t="s">
        <v>813</v>
      </c>
      <c r="P35" s="7" t="s">
        <v>399</v>
      </c>
      <c r="Q35" s="1" t="s">
        <v>23</v>
      </c>
      <c r="R35" s="4" t="s">
        <v>400</v>
      </c>
      <c r="T35" s="11" t="s">
        <v>460</v>
      </c>
      <c r="U35" s="4" t="s">
        <v>401</v>
      </c>
      <c r="V35" s="4" t="s">
        <v>415</v>
      </c>
      <c r="W35" s="18">
        <v>500027172598</v>
      </c>
      <c r="X35" s="1" t="s">
        <v>403</v>
      </c>
      <c r="Y35" s="1">
        <v>1</v>
      </c>
      <c r="Z35" s="6" t="s">
        <v>404</v>
      </c>
      <c r="AA35" s="6" t="s">
        <v>405</v>
      </c>
      <c r="AB35" s="6" t="s">
        <v>406</v>
      </c>
      <c r="AC35" s="1" t="s">
        <v>407</v>
      </c>
      <c r="AD35" s="1" t="s">
        <v>408</v>
      </c>
      <c r="AE35" s="1" t="s">
        <v>409</v>
      </c>
      <c r="AF35" s="1" t="s">
        <v>410</v>
      </c>
      <c r="AG35" s="1" t="s">
        <v>411</v>
      </c>
    </row>
    <row r="36" spans="1:33" ht="75" x14ac:dyDescent="0.25">
      <c r="A36" s="1">
        <v>20</v>
      </c>
      <c r="B36" s="1" t="s">
        <v>915</v>
      </c>
      <c r="C36" s="1" t="s">
        <v>17</v>
      </c>
      <c r="D36" s="1" t="s">
        <v>463</v>
      </c>
      <c r="E36" s="1" t="s">
        <v>836</v>
      </c>
      <c r="F36" s="1" t="s">
        <v>464</v>
      </c>
      <c r="G36" s="22" t="s">
        <v>459</v>
      </c>
      <c r="H36" s="1">
        <v>400</v>
      </c>
      <c r="I36" s="1" t="s">
        <v>22</v>
      </c>
      <c r="J36" s="1" t="s">
        <v>398</v>
      </c>
      <c r="N36" s="4">
        <v>1042346957</v>
      </c>
      <c r="O36" s="1" t="s">
        <v>813</v>
      </c>
      <c r="P36" s="7" t="s">
        <v>399</v>
      </c>
      <c r="Q36" s="1" t="s">
        <v>23</v>
      </c>
      <c r="R36" s="4" t="s">
        <v>419</v>
      </c>
      <c r="T36" s="11" t="s">
        <v>460</v>
      </c>
      <c r="U36" s="4" t="s">
        <v>401</v>
      </c>
      <c r="V36" s="4" t="s">
        <v>420</v>
      </c>
      <c r="W36" s="20" t="s">
        <v>421</v>
      </c>
      <c r="X36" s="1" t="s">
        <v>403</v>
      </c>
      <c r="Y36" s="1">
        <v>1</v>
      </c>
      <c r="Z36" s="6" t="s">
        <v>404</v>
      </c>
      <c r="AA36" s="6" t="s">
        <v>405</v>
      </c>
      <c r="AB36" s="6" t="s">
        <v>406</v>
      </c>
      <c r="AC36" s="1" t="s">
        <v>407</v>
      </c>
      <c r="AD36" s="1" t="s">
        <v>408</v>
      </c>
      <c r="AE36" s="1" t="s">
        <v>409</v>
      </c>
      <c r="AF36" s="1" t="s">
        <v>410</v>
      </c>
      <c r="AG36" s="1" t="s">
        <v>411</v>
      </c>
    </row>
    <row r="37" spans="1:33" ht="75" x14ac:dyDescent="0.25">
      <c r="A37" s="1">
        <v>21</v>
      </c>
      <c r="B37" s="1" t="s">
        <v>915</v>
      </c>
      <c r="C37" s="1" t="s">
        <v>17</v>
      </c>
      <c r="D37" s="1" t="s">
        <v>465</v>
      </c>
      <c r="E37" s="1" t="s">
        <v>837</v>
      </c>
      <c r="F37" s="1" t="s">
        <v>466</v>
      </c>
      <c r="G37" s="22" t="s">
        <v>459</v>
      </c>
      <c r="H37" s="1">
        <v>400</v>
      </c>
      <c r="I37" s="1" t="s">
        <v>22</v>
      </c>
      <c r="J37" s="1" t="s">
        <v>398</v>
      </c>
      <c r="N37" s="4">
        <v>1042346958</v>
      </c>
      <c r="O37" s="1" t="s">
        <v>813</v>
      </c>
      <c r="P37" s="7" t="s">
        <v>399</v>
      </c>
      <c r="Q37" s="1" t="s">
        <v>23</v>
      </c>
      <c r="R37" s="4" t="s">
        <v>109</v>
      </c>
      <c r="T37" s="11" t="s">
        <v>460</v>
      </c>
      <c r="U37" s="4" t="s">
        <v>401</v>
      </c>
      <c r="V37" s="4" t="s">
        <v>420</v>
      </c>
      <c r="W37" s="20" t="s">
        <v>421</v>
      </c>
      <c r="X37" s="1" t="s">
        <v>403</v>
      </c>
      <c r="Y37" s="1">
        <v>1</v>
      </c>
      <c r="Z37" s="6" t="s">
        <v>404</v>
      </c>
      <c r="AA37" s="6" t="s">
        <v>405</v>
      </c>
      <c r="AB37" s="6" t="s">
        <v>406</v>
      </c>
      <c r="AC37" s="1" t="s">
        <v>407</v>
      </c>
      <c r="AD37" s="1" t="s">
        <v>408</v>
      </c>
      <c r="AE37" s="1" t="s">
        <v>409</v>
      </c>
      <c r="AF37" s="1" t="s">
        <v>410</v>
      </c>
      <c r="AG37" s="1" t="s">
        <v>411</v>
      </c>
    </row>
    <row r="38" spans="1:33" ht="60" x14ac:dyDescent="0.25">
      <c r="A38" s="1">
        <v>22</v>
      </c>
      <c r="B38" s="1" t="s">
        <v>915</v>
      </c>
      <c r="C38" s="1" t="s">
        <v>17</v>
      </c>
      <c r="D38" s="1" t="s">
        <v>467</v>
      </c>
      <c r="E38" s="21" t="s">
        <v>838</v>
      </c>
      <c r="F38" s="1" t="s">
        <v>468</v>
      </c>
      <c r="G38" s="22" t="s">
        <v>459</v>
      </c>
      <c r="H38" s="1">
        <v>400</v>
      </c>
      <c r="I38" s="1" t="s">
        <v>22</v>
      </c>
      <c r="J38" s="1" t="s">
        <v>398</v>
      </c>
      <c r="N38" s="4">
        <v>1042346959</v>
      </c>
      <c r="O38" s="1" t="s">
        <v>813</v>
      </c>
      <c r="P38" s="7" t="s">
        <v>399</v>
      </c>
      <c r="Q38" s="1" t="s">
        <v>23</v>
      </c>
      <c r="R38" s="4" t="s">
        <v>400</v>
      </c>
      <c r="T38" s="5">
        <v>200061902</v>
      </c>
      <c r="U38" s="4" t="s">
        <v>401</v>
      </c>
      <c r="V38" s="1" t="s">
        <v>402</v>
      </c>
      <c r="W38" s="5">
        <v>200061812368</v>
      </c>
      <c r="X38" s="1" t="s">
        <v>403</v>
      </c>
      <c r="Y38" s="1">
        <v>1</v>
      </c>
      <c r="Z38" s="6" t="s">
        <v>404</v>
      </c>
      <c r="AA38" s="6" t="s">
        <v>405</v>
      </c>
      <c r="AB38" s="6" t="s">
        <v>406</v>
      </c>
      <c r="AC38" s="1" t="s">
        <v>407</v>
      </c>
      <c r="AD38" s="1" t="s">
        <v>408</v>
      </c>
      <c r="AE38" s="1" t="s">
        <v>409</v>
      </c>
      <c r="AF38" s="1" t="s">
        <v>410</v>
      </c>
      <c r="AG38" s="1" t="s">
        <v>411</v>
      </c>
    </row>
    <row r="39" spans="1:33" ht="60" x14ac:dyDescent="0.25">
      <c r="A39" s="1">
        <v>23</v>
      </c>
      <c r="B39" s="1" t="s">
        <v>915</v>
      </c>
      <c r="C39" s="1" t="s">
        <v>17</v>
      </c>
      <c r="D39" s="1" t="s">
        <v>469</v>
      </c>
      <c r="E39" s="1" t="s">
        <v>839</v>
      </c>
      <c r="F39" s="1" t="s">
        <v>470</v>
      </c>
      <c r="G39" s="22" t="s">
        <v>459</v>
      </c>
      <c r="H39" s="1">
        <v>400</v>
      </c>
      <c r="I39" s="1" t="s">
        <v>22</v>
      </c>
      <c r="J39" s="1" t="s">
        <v>398</v>
      </c>
      <c r="N39" s="4">
        <v>1042346960</v>
      </c>
      <c r="O39" s="1" t="s">
        <v>813</v>
      </c>
      <c r="P39" s="7" t="s">
        <v>399</v>
      </c>
      <c r="Q39" s="1" t="s">
        <v>23</v>
      </c>
      <c r="R39" s="4" t="s">
        <v>400</v>
      </c>
      <c r="T39" s="5">
        <v>200061902</v>
      </c>
      <c r="U39" s="4" t="s">
        <v>401</v>
      </c>
      <c r="V39" s="4" t="s">
        <v>415</v>
      </c>
      <c r="W39" s="18">
        <v>500027172598</v>
      </c>
      <c r="X39" s="1" t="s">
        <v>403</v>
      </c>
      <c r="Y39" s="1">
        <v>1</v>
      </c>
      <c r="Z39" s="6" t="s">
        <v>404</v>
      </c>
      <c r="AA39" s="6" t="s">
        <v>405</v>
      </c>
      <c r="AB39" s="6" t="s">
        <v>406</v>
      </c>
      <c r="AC39" s="1" t="s">
        <v>407</v>
      </c>
      <c r="AD39" s="1" t="s">
        <v>408</v>
      </c>
      <c r="AE39" s="1" t="s">
        <v>409</v>
      </c>
      <c r="AF39" s="1" t="s">
        <v>410</v>
      </c>
      <c r="AG39" s="1" t="s">
        <v>411</v>
      </c>
    </row>
    <row r="40" spans="1:33" ht="60" x14ac:dyDescent="0.25">
      <c r="A40" s="1">
        <v>24</v>
      </c>
      <c r="B40" s="1" t="s">
        <v>915</v>
      </c>
      <c r="C40" s="1" t="s">
        <v>17</v>
      </c>
      <c r="D40" s="1" t="s">
        <v>471</v>
      </c>
      <c r="E40" s="1" t="s">
        <v>840</v>
      </c>
      <c r="F40" s="1" t="s">
        <v>472</v>
      </c>
      <c r="G40" s="22" t="s">
        <v>459</v>
      </c>
      <c r="H40" s="1">
        <v>400</v>
      </c>
      <c r="I40" s="1" t="s">
        <v>22</v>
      </c>
      <c r="J40" s="1" t="s">
        <v>398</v>
      </c>
      <c r="N40" s="4">
        <v>1042346961</v>
      </c>
      <c r="O40" s="1" t="s">
        <v>813</v>
      </c>
      <c r="P40" s="7" t="s">
        <v>399</v>
      </c>
      <c r="Q40" s="1" t="s">
        <v>23</v>
      </c>
      <c r="R40" s="4" t="s">
        <v>419</v>
      </c>
      <c r="T40" s="5">
        <v>200061902</v>
      </c>
      <c r="U40" s="4" t="s">
        <v>401</v>
      </c>
      <c r="V40" s="4" t="s">
        <v>420</v>
      </c>
      <c r="W40" s="20" t="s">
        <v>421</v>
      </c>
      <c r="X40" s="1" t="s">
        <v>403</v>
      </c>
      <c r="Y40" s="1">
        <v>1</v>
      </c>
      <c r="Z40" s="6" t="s">
        <v>404</v>
      </c>
      <c r="AA40" s="6" t="s">
        <v>405</v>
      </c>
      <c r="AB40" s="6" t="s">
        <v>406</v>
      </c>
      <c r="AC40" s="1" t="s">
        <v>407</v>
      </c>
      <c r="AD40" s="1" t="s">
        <v>408</v>
      </c>
      <c r="AE40" s="1" t="s">
        <v>409</v>
      </c>
      <c r="AF40" s="1" t="s">
        <v>410</v>
      </c>
      <c r="AG40" s="1" t="s">
        <v>411</v>
      </c>
    </row>
    <row r="41" spans="1:33" ht="60" x14ac:dyDescent="0.25">
      <c r="A41" s="1">
        <v>25</v>
      </c>
      <c r="B41" s="1" t="s">
        <v>915</v>
      </c>
      <c r="C41" s="1" t="s">
        <v>17</v>
      </c>
      <c r="D41" s="1" t="s">
        <v>473</v>
      </c>
      <c r="E41" s="1" t="s">
        <v>841</v>
      </c>
      <c r="F41" s="1" t="s">
        <v>474</v>
      </c>
      <c r="G41" s="22" t="s">
        <v>459</v>
      </c>
      <c r="H41" s="1">
        <v>400</v>
      </c>
      <c r="I41" s="1" t="s">
        <v>22</v>
      </c>
      <c r="J41" s="1" t="s">
        <v>398</v>
      </c>
      <c r="N41" s="4">
        <v>1042346962</v>
      </c>
      <c r="O41" s="1" t="s">
        <v>813</v>
      </c>
      <c r="P41" s="7" t="s">
        <v>399</v>
      </c>
      <c r="Q41" s="1" t="s">
        <v>23</v>
      </c>
      <c r="R41" s="4" t="s">
        <v>109</v>
      </c>
      <c r="T41" s="5">
        <v>200061902</v>
      </c>
      <c r="U41" s="4" t="s">
        <v>401</v>
      </c>
      <c r="V41" s="4" t="s">
        <v>420</v>
      </c>
      <c r="W41" s="20" t="s">
        <v>421</v>
      </c>
      <c r="X41" s="1" t="s">
        <v>403</v>
      </c>
      <c r="Y41" s="1">
        <v>1</v>
      </c>
      <c r="Z41" s="6" t="s">
        <v>404</v>
      </c>
      <c r="AA41" s="6" t="s">
        <v>405</v>
      </c>
      <c r="AB41" s="6" t="s">
        <v>406</v>
      </c>
      <c r="AC41" s="1" t="s">
        <v>407</v>
      </c>
      <c r="AD41" s="1" t="s">
        <v>408</v>
      </c>
      <c r="AE41" s="1" t="s">
        <v>409</v>
      </c>
      <c r="AF41" s="1" t="s">
        <v>410</v>
      </c>
      <c r="AG41" s="1" t="s">
        <v>411</v>
      </c>
    </row>
    <row r="42" spans="1:33" ht="60" x14ac:dyDescent="0.25">
      <c r="A42" s="1">
        <v>26</v>
      </c>
      <c r="B42" s="1" t="s">
        <v>915</v>
      </c>
      <c r="C42" s="1" t="s">
        <v>17</v>
      </c>
      <c r="D42" s="1" t="s">
        <v>475</v>
      </c>
      <c r="E42" s="1" t="s">
        <v>842</v>
      </c>
      <c r="F42" s="1" t="s">
        <v>476</v>
      </c>
      <c r="G42" s="22" t="s">
        <v>459</v>
      </c>
      <c r="H42" s="1">
        <v>400</v>
      </c>
      <c r="I42" s="1" t="s">
        <v>22</v>
      </c>
      <c r="J42" s="1" t="s">
        <v>398</v>
      </c>
      <c r="N42" s="4">
        <v>1042346963</v>
      </c>
      <c r="O42" s="1" t="s">
        <v>813</v>
      </c>
      <c r="P42" s="7" t="s">
        <v>399</v>
      </c>
      <c r="Q42" s="1" t="s">
        <v>23</v>
      </c>
      <c r="R42" s="4" t="s">
        <v>400</v>
      </c>
      <c r="T42" s="5">
        <v>200061817815</v>
      </c>
      <c r="U42" s="4" t="s">
        <v>401</v>
      </c>
      <c r="V42" s="1" t="s">
        <v>402</v>
      </c>
      <c r="W42" s="5">
        <v>200061812368</v>
      </c>
      <c r="X42" s="1" t="s">
        <v>403</v>
      </c>
      <c r="Y42" s="1">
        <v>1</v>
      </c>
      <c r="Z42" s="6" t="s">
        <v>404</v>
      </c>
      <c r="AA42" s="6" t="s">
        <v>405</v>
      </c>
      <c r="AB42" s="6" t="s">
        <v>406</v>
      </c>
      <c r="AC42" s="1" t="s">
        <v>407</v>
      </c>
      <c r="AD42" s="1" t="s">
        <v>408</v>
      </c>
      <c r="AE42" s="1" t="s">
        <v>409</v>
      </c>
      <c r="AF42" s="1" t="s">
        <v>410</v>
      </c>
      <c r="AG42" s="1" t="s">
        <v>411</v>
      </c>
    </row>
    <row r="43" spans="1:33" ht="60" x14ac:dyDescent="0.25">
      <c r="A43" s="1">
        <v>27</v>
      </c>
      <c r="B43" s="1" t="s">
        <v>915</v>
      </c>
      <c r="C43" s="1" t="s">
        <v>17</v>
      </c>
      <c r="D43" s="1" t="s">
        <v>477</v>
      </c>
      <c r="E43" s="1" t="s">
        <v>843</v>
      </c>
      <c r="F43" s="1" t="s">
        <v>478</v>
      </c>
      <c r="G43" s="22" t="s">
        <v>459</v>
      </c>
      <c r="H43" s="1">
        <v>400</v>
      </c>
      <c r="I43" s="1" t="s">
        <v>22</v>
      </c>
      <c r="J43" s="1" t="s">
        <v>398</v>
      </c>
      <c r="N43" s="4">
        <v>1042346964</v>
      </c>
      <c r="O43" s="1" t="s">
        <v>813</v>
      </c>
      <c r="P43" s="7" t="s">
        <v>399</v>
      </c>
      <c r="Q43" s="1" t="s">
        <v>23</v>
      </c>
      <c r="R43" s="4" t="s">
        <v>400</v>
      </c>
      <c r="T43" s="5">
        <v>200061817815</v>
      </c>
      <c r="U43" s="4" t="s">
        <v>401</v>
      </c>
      <c r="V43" s="4" t="s">
        <v>415</v>
      </c>
      <c r="W43" s="18">
        <v>500027172598</v>
      </c>
      <c r="X43" s="1" t="s">
        <v>403</v>
      </c>
      <c r="Y43" s="1">
        <v>1</v>
      </c>
      <c r="Z43" s="6" t="s">
        <v>404</v>
      </c>
      <c r="AA43" s="6" t="s">
        <v>405</v>
      </c>
      <c r="AB43" s="6" t="s">
        <v>406</v>
      </c>
      <c r="AC43" s="1" t="s">
        <v>407</v>
      </c>
      <c r="AD43" s="1" t="s">
        <v>408</v>
      </c>
      <c r="AE43" s="1" t="s">
        <v>409</v>
      </c>
      <c r="AF43" s="1" t="s">
        <v>410</v>
      </c>
      <c r="AG43" s="1" t="s">
        <v>411</v>
      </c>
    </row>
    <row r="44" spans="1:33" ht="75" x14ac:dyDescent="0.25">
      <c r="A44" s="1">
        <v>28</v>
      </c>
      <c r="B44" s="1" t="s">
        <v>915</v>
      </c>
      <c r="C44" s="1" t="s">
        <v>17</v>
      </c>
      <c r="D44" s="1" t="s">
        <v>479</v>
      </c>
      <c r="E44" s="1" t="s">
        <v>844</v>
      </c>
      <c r="F44" s="1" t="s">
        <v>480</v>
      </c>
      <c r="G44" s="22" t="s">
        <v>459</v>
      </c>
      <c r="H44" s="1">
        <v>400</v>
      </c>
      <c r="I44" s="1" t="s">
        <v>22</v>
      </c>
      <c r="J44" s="1" t="s">
        <v>398</v>
      </c>
      <c r="N44" s="4">
        <v>1042346965</v>
      </c>
      <c r="O44" s="1" t="s">
        <v>813</v>
      </c>
      <c r="P44" s="7" t="s">
        <v>399</v>
      </c>
      <c r="Q44" s="1" t="s">
        <v>23</v>
      </c>
      <c r="R44" s="4" t="s">
        <v>419</v>
      </c>
      <c r="T44" s="5">
        <v>200061817815</v>
      </c>
      <c r="U44" s="4" t="s">
        <v>401</v>
      </c>
      <c r="V44" s="4" t="s">
        <v>420</v>
      </c>
      <c r="W44" s="20" t="s">
        <v>421</v>
      </c>
      <c r="X44" s="1" t="s">
        <v>403</v>
      </c>
      <c r="Y44" s="1">
        <v>1</v>
      </c>
      <c r="Z44" s="6" t="s">
        <v>404</v>
      </c>
      <c r="AA44" s="6" t="s">
        <v>405</v>
      </c>
      <c r="AB44" s="6" t="s">
        <v>406</v>
      </c>
      <c r="AC44" s="1" t="s">
        <v>407</v>
      </c>
      <c r="AD44" s="1" t="s">
        <v>408</v>
      </c>
      <c r="AE44" s="1" t="s">
        <v>409</v>
      </c>
      <c r="AF44" s="1" t="s">
        <v>410</v>
      </c>
      <c r="AG44" s="1" t="s">
        <v>411</v>
      </c>
    </row>
    <row r="45" spans="1:33" ht="75" x14ac:dyDescent="0.25">
      <c r="A45" s="1">
        <v>29</v>
      </c>
      <c r="B45" s="1" t="s">
        <v>915</v>
      </c>
      <c r="C45" s="1" t="s">
        <v>17</v>
      </c>
      <c r="D45" s="1" t="s">
        <v>481</v>
      </c>
      <c r="E45" s="1" t="s">
        <v>845</v>
      </c>
      <c r="F45" s="1" t="s">
        <v>482</v>
      </c>
      <c r="G45" s="22" t="s">
        <v>459</v>
      </c>
      <c r="H45" s="1">
        <v>400</v>
      </c>
      <c r="I45" s="1" t="s">
        <v>22</v>
      </c>
      <c r="J45" s="1" t="s">
        <v>398</v>
      </c>
      <c r="N45" s="4">
        <v>1042346966</v>
      </c>
      <c r="O45" s="1" t="s">
        <v>813</v>
      </c>
      <c r="P45" s="7" t="s">
        <v>399</v>
      </c>
      <c r="Q45" s="1" t="s">
        <v>23</v>
      </c>
      <c r="R45" s="4" t="s">
        <v>109</v>
      </c>
      <c r="T45" s="5">
        <v>200061817815</v>
      </c>
      <c r="U45" s="4" t="s">
        <v>401</v>
      </c>
      <c r="V45" s="4" t="s">
        <v>420</v>
      </c>
      <c r="W45" s="20" t="s">
        <v>421</v>
      </c>
      <c r="X45" s="1" t="s">
        <v>403</v>
      </c>
      <c r="Y45" s="1">
        <v>1</v>
      </c>
      <c r="Z45" s="6" t="s">
        <v>404</v>
      </c>
      <c r="AA45" s="6" t="s">
        <v>405</v>
      </c>
      <c r="AB45" s="6" t="s">
        <v>406</v>
      </c>
      <c r="AC45" s="1" t="s">
        <v>407</v>
      </c>
      <c r="AD45" s="1" t="s">
        <v>408</v>
      </c>
      <c r="AE45" s="1" t="s">
        <v>409</v>
      </c>
      <c r="AF45" s="1" t="s">
        <v>410</v>
      </c>
      <c r="AG45" s="1" t="s">
        <v>411</v>
      </c>
    </row>
    <row r="46" spans="1:33" ht="180" x14ac:dyDescent="0.25">
      <c r="A46" s="1">
        <v>30</v>
      </c>
      <c r="B46" s="1" t="s">
        <v>915</v>
      </c>
      <c r="C46" s="1" t="s">
        <v>17</v>
      </c>
      <c r="D46" s="1" t="s">
        <v>483</v>
      </c>
      <c r="E46" s="21" t="s">
        <v>846</v>
      </c>
      <c r="F46" s="1" t="s">
        <v>484</v>
      </c>
      <c r="G46" s="22" t="s">
        <v>450</v>
      </c>
      <c r="H46" s="1">
        <v>200</v>
      </c>
      <c r="I46" s="1" t="s">
        <v>22</v>
      </c>
      <c r="J46" s="1" t="s">
        <v>398</v>
      </c>
      <c r="N46" s="4">
        <v>1042346967</v>
      </c>
      <c r="O46" s="1" t="s">
        <v>813</v>
      </c>
      <c r="P46" s="7" t="s">
        <v>399</v>
      </c>
      <c r="Q46" s="1" t="s">
        <v>23</v>
      </c>
      <c r="R46" s="4" t="s">
        <v>400</v>
      </c>
      <c r="T46" s="18">
        <v>200061812538</v>
      </c>
      <c r="U46" s="4" t="s">
        <v>401</v>
      </c>
      <c r="V46" s="1" t="s">
        <v>402</v>
      </c>
      <c r="W46" s="5">
        <v>200061812368</v>
      </c>
      <c r="X46" s="1" t="s">
        <v>403</v>
      </c>
      <c r="Y46" s="1">
        <v>1</v>
      </c>
      <c r="Z46" s="6" t="s">
        <v>404</v>
      </c>
      <c r="AA46" s="6" t="s">
        <v>405</v>
      </c>
      <c r="AB46" s="6" t="s">
        <v>406</v>
      </c>
      <c r="AC46" s="1" t="s">
        <v>407</v>
      </c>
      <c r="AD46" s="1" t="s">
        <v>408</v>
      </c>
      <c r="AE46" s="1" t="s">
        <v>409</v>
      </c>
      <c r="AF46" s="1" t="s">
        <v>410</v>
      </c>
      <c r="AG46" s="1" t="s">
        <v>411</v>
      </c>
    </row>
    <row r="47" spans="1:33" ht="180" x14ac:dyDescent="0.25">
      <c r="A47" s="1">
        <v>31</v>
      </c>
      <c r="B47" s="1" t="s">
        <v>915</v>
      </c>
      <c r="C47" s="1" t="s">
        <v>17</v>
      </c>
      <c r="D47" s="1" t="s">
        <v>485</v>
      </c>
      <c r="E47" s="21" t="s">
        <v>847</v>
      </c>
      <c r="F47" s="1" t="s">
        <v>486</v>
      </c>
      <c r="G47" s="22" t="s">
        <v>450</v>
      </c>
      <c r="H47" s="1">
        <v>200</v>
      </c>
      <c r="I47" s="1" t="s">
        <v>22</v>
      </c>
      <c r="J47" s="1" t="s">
        <v>398</v>
      </c>
      <c r="N47" s="4">
        <v>1042346968</v>
      </c>
      <c r="O47" s="1" t="s">
        <v>813</v>
      </c>
      <c r="P47" s="7" t="s">
        <v>399</v>
      </c>
      <c r="Q47" s="1" t="s">
        <v>23</v>
      </c>
      <c r="R47" s="4" t="s">
        <v>400</v>
      </c>
      <c r="T47" s="18">
        <v>200061812538</v>
      </c>
      <c r="U47" s="4" t="s">
        <v>401</v>
      </c>
      <c r="V47" s="4" t="s">
        <v>415</v>
      </c>
      <c r="W47" s="18">
        <v>500027172598</v>
      </c>
      <c r="X47" s="1" t="s">
        <v>403</v>
      </c>
      <c r="Y47" s="1">
        <v>1</v>
      </c>
      <c r="Z47" s="6" t="s">
        <v>404</v>
      </c>
      <c r="AA47" s="6" t="s">
        <v>405</v>
      </c>
      <c r="AB47" s="6" t="s">
        <v>406</v>
      </c>
      <c r="AC47" s="1" t="s">
        <v>407</v>
      </c>
      <c r="AD47" s="1" t="s">
        <v>408</v>
      </c>
      <c r="AE47" s="1" t="s">
        <v>409</v>
      </c>
      <c r="AF47" s="1" t="s">
        <v>410</v>
      </c>
      <c r="AG47" s="1" t="s">
        <v>411</v>
      </c>
    </row>
    <row r="48" spans="1:33" ht="180" x14ac:dyDescent="0.25">
      <c r="A48" s="1">
        <v>32</v>
      </c>
      <c r="B48" s="1" t="s">
        <v>915</v>
      </c>
      <c r="C48" s="1" t="s">
        <v>17</v>
      </c>
      <c r="D48" s="1" t="s">
        <v>487</v>
      </c>
      <c r="E48" s="21" t="s">
        <v>848</v>
      </c>
      <c r="F48" s="1" t="s">
        <v>488</v>
      </c>
      <c r="G48" s="22" t="s">
        <v>450</v>
      </c>
      <c r="H48" s="1">
        <v>200</v>
      </c>
      <c r="I48" s="1" t="s">
        <v>22</v>
      </c>
      <c r="J48" s="1" t="s">
        <v>398</v>
      </c>
      <c r="N48" s="4">
        <v>1042346969</v>
      </c>
      <c r="O48" s="1" t="s">
        <v>813</v>
      </c>
      <c r="P48" s="7" t="s">
        <v>399</v>
      </c>
      <c r="Q48" s="1" t="s">
        <v>23</v>
      </c>
      <c r="R48" s="4" t="s">
        <v>419</v>
      </c>
      <c r="T48" s="18">
        <v>200061812538</v>
      </c>
      <c r="U48" s="4" t="s">
        <v>401</v>
      </c>
      <c r="V48" s="4" t="s">
        <v>420</v>
      </c>
      <c r="W48" s="20" t="s">
        <v>421</v>
      </c>
      <c r="X48" s="1" t="s">
        <v>403</v>
      </c>
      <c r="Y48" s="1">
        <v>1</v>
      </c>
      <c r="Z48" s="6" t="s">
        <v>404</v>
      </c>
      <c r="AA48" s="6" t="s">
        <v>405</v>
      </c>
      <c r="AB48" s="6" t="s">
        <v>406</v>
      </c>
      <c r="AC48" s="1" t="s">
        <v>407</v>
      </c>
      <c r="AD48" s="1" t="s">
        <v>408</v>
      </c>
      <c r="AE48" s="1" t="s">
        <v>409</v>
      </c>
      <c r="AF48" s="1" t="s">
        <v>410</v>
      </c>
      <c r="AG48" s="1" t="s">
        <v>411</v>
      </c>
    </row>
    <row r="49" spans="1:33" ht="210" x14ac:dyDescent="0.25">
      <c r="A49" s="1">
        <v>33</v>
      </c>
      <c r="B49" s="1" t="s">
        <v>915</v>
      </c>
      <c r="C49" s="1" t="s">
        <v>17</v>
      </c>
      <c r="D49" s="1" t="s">
        <v>489</v>
      </c>
      <c r="E49" s="21" t="s">
        <v>849</v>
      </c>
      <c r="F49" s="1" t="s">
        <v>490</v>
      </c>
      <c r="G49" s="22" t="s">
        <v>491</v>
      </c>
      <c r="H49" s="1">
        <v>200</v>
      </c>
      <c r="I49" s="1" t="s">
        <v>22</v>
      </c>
      <c r="J49" s="1" t="s">
        <v>398</v>
      </c>
      <c r="N49" s="4">
        <v>1042346970</v>
      </c>
      <c r="O49" s="1" t="s">
        <v>813</v>
      </c>
      <c r="P49" s="7" t="s">
        <v>399</v>
      </c>
      <c r="Q49" s="1" t="s">
        <v>23</v>
      </c>
      <c r="R49" s="4" t="s">
        <v>109</v>
      </c>
      <c r="T49" s="18">
        <v>200061812538</v>
      </c>
      <c r="U49" s="4" t="s">
        <v>401</v>
      </c>
      <c r="V49" s="4" t="s">
        <v>420</v>
      </c>
      <c r="W49" s="20" t="s">
        <v>421</v>
      </c>
      <c r="X49" s="1" t="s">
        <v>403</v>
      </c>
      <c r="Y49" s="1">
        <v>1</v>
      </c>
      <c r="Z49" s="6" t="s">
        <v>404</v>
      </c>
      <c r="AA49" s="6" t="s">
        <v>405</v>
      </c>
      <c r="AB49" s="6" t="s">
        <v>406</v>
      </c>
      <c r="AC49" s="1" t="s">
        <v>407</v>
      </c>
      <c r="AD49" s="1" t="s">
        <v>408</v>
      </c>
      <c r="AE49" s="1" t="s">
        <v>409</v>
      </c>
      <c r="AF49" s="1" t="s">
        <v>410</v>
      </c>
      <c r="AG49" s="1" t="s">
        <v>411</v>
      </c>
    </row>
    <row r="50" spans="1:33" ht="60" x14ac:dyDescent="0.25">
      <c r="A50" s="1">
        <v>34</v>
      </c>
      <c r="B50" s="1" t="s">
        <v>915</v>
      </c>
      <c r="C50" s="1" t="s">
        <v>17</v>
      </c>
      <c r="D50" s="1" t="s">
        <v>492</v>
      </c>
      <c r="E50" s="1" t="s">
        <v>850</v>
      </c>
      <c r="F50" s="1" t="s">
        <v>493</v>
      </c>
      <c r="G50" s="22" t="s">
        <v>494</v>
      </c>
      <c r="H50" s="1">
        <v>200</v>
      </c>
      <c r="I50" s="1" t="s">
        <v>22</v>
      </c>
      <c r="J50" s="1" t="s">
        <v>398</v>
      </c>
      <c r="N50" s="4">
        <v>1042346971</v>
      </c>
      <c r="O50" s="1" t="s">
        <v>813</v>
      </c>
      <c r="P50" s="7" t="s">
        <v>399</v>
      </c>
      <c r="Q50" s="1" t="s">
        <v>23</v>
      </c>
      <c r="R50" s="4" t="s">
        <v>400</v>
      </c>
      <c r="T50" s="18">
        <v>200061777902</v>
      </c>
      <c r="U50" s="4" t="s">
        <v>401</v>
      </c>
      <c r="V50" s="1" t="s">
        <v>402</v>
      </c>
      <c r="W50" s="5">
        <v>200061812368</v>
      </c>
      <c r="X50" s="1" t="s">
        <v>403</v>
      </c>
      <c r="Y50" s="1">
        <v>1</v>
      </c>
      <c r="Z50" s="6" t="s">
        <v>404</v>
      </c>
      <c r="AA50" s="6" t="s">
        <v>405</v>
      </c>
      <c r="AB50" s="6" t="s">
        <v>406</v>
      </c>
      <c r="AC50" s="1" t="s">
        <v>407</v>
      </c>
      <c r="AD50" s="1" t="s">
        <v>408</v>
      </c>
      <c r="AE50" s="1" t="s">
        <v>409</v>
      </c>
      <c r="AF50" s="1" t="s">
        <v>410</v>
      </c>
      <c r="AG50" s="1" t="s">
        <v>411</v>
      </c>
    </row>
    <row r="51" spans="1:33" ht="60" x14ac:dyDescent="0.25">
      <c r="A51" s="1">
        <v>35</v>
      </c>
      <c r="B51" s="1" t="s">
        <v>915</v>
      </c>
      <c r="C51" s="1" t="s">
        <v>17</v>
      </c>
      <c r="D51" s="1" t="s">
        <v>495</v>
      </c>
      <c r="E51" s="1" t="s">
        <v>851</v>
      </c>
      <c r="F51" s="1" t="s">
        <v>496</v>
      </c>
      <c r="G51" s="22" t="s">
        <v>494</v>
      </c>
      <c r="H51" s="1">
        <v>200</v>
      </c>
      <c r="I51" s="1" t="s">
        <v>22</v>
      </c>
      <c r="J51" s="1" t="s">
        <v>398</v>
      </c>
      <c r="N51" s="4">
        <v>1042346972</v>
      </c>
      <c r="O51" s="1" t="s">
        <v>813</v>
      </c>
      <c r="P51" s="7" t="s">
        <v>399</v>
      </c>
      <c r="Q51" s="1" t="s">
        <v>23</v>
      </c>
      <c r="R51" s="4" t="s">
        <v>400</v>
      </c>
      <c r="T51" s="18">
        <v>200061777902</v>
      </c>
      <c r="U51" s="4" t="s">
        <v>401</v>
      </c>
      <c r="V51" s="4" t="s">
        <v>415</v>
      </c>
      <c r="W51" s="18">
        <v>500027172598</v>
      </c>
      <c r="X51" s="1" t="s">
        <v>403</v>
      </c>
      <c r="Y51" s="1">
        <v>1</v>
      </c>
      <c r="Z51" s="6" t="s">
        <v>404</v>
      </c>
      <c r="AA51" s="6" t="s">
        <v>405</v>
      </c>
      <c r="AB51" s="6" t="s">
        <v>406</v>
      </c>
      <c r="AC51" s="1" t="s">
        <v>407</v>
      </c>
      <c r="AD51" s="1" t="s">
        <v>408</v>
      </c>
      <c r="AE51" s="1" t="s">
        <v>409</v>
      </c>
      <c r="AF51" s="1" t="s">
        <v>410</v>
      </c>
      <c r="AG51" s="1" t="s">
        <v>411</v>
      </c>
    </row>
    <row r="52" spans="1:33" ht="60" x14ac:dyDescent="0.25">
      <c r="A52" s="1">
        <v>36</v>
      </c>
      <c r="B52" s="1" t="s">
        <v>915</v>
      </c>
      <c r="C52" s="1" t="s">
        <v>17</v>
      </c>
      <c r="D52" s="1" t="s">
        <v>497</v>
      </c>
      <c r="E52" s="1" t="s">
        <v>852</v>
      </c>
      <c r="F52" s="1" t="s">
        <v>498</v>
      </c>
      <c r="G52" s="22" t="s">
        <v>494</v>
      </c>
      <c r="H52" s="1">
        <v>200</v>
      </c>
      <c r="I52" s="1" t="s">
        <v>22</v>
      </c>
      <c r="J52" s="1" t="s">
        <v>398</v>
      </c>
      <c r="N52" s="4">
        <v>1042346973</v>
      </c>
      <c r="O52" s="1" t="s">
        <v>813</v>
      </c>
      <c r="P52" s="7" t="s">
        <v>399</v>
      </c>
      <c r="Q52" s="1" t="s">
        <v>23</v>
      </c>
      <c r="R52" s="4" t="s">
        <v>419</v>
      </c>
      <c r="T52" s="18">
        <v>200061777902</v>
      </c>
      <c r="U52" s="4" t="s">
        <v>401</v>
      </c>
      <c r="V52" s="4" t="s">
        <v>420</v>
      </c>
      <c r="W52" s="20" t="s">
        <v>421</v>
      </c>
      <c r="X52" s="1" t="s">
        <v>403</v>
      </c>
      <c r="Y52" s="1">
        <v>1</v>
      </c>
      <c r="Z52" s="6" t="s">
        <v>404</v>
      </c>
      <c r="AA52" s="6" t="s">
        <v>405</v>
      </c>
      <c r="AB52" s="6" t="s">
        <v>406</v>
      </c>
      <c r="AC52" s="1" t="s">
        <v>407</v>
      </c>
      <c r="AD52" s="1" t="s">
        <v>408</v>
      </c>
      <c r="AE52" s="1" t="s">
        <v>409</v>
      </c>
      <c r="AF52" s="1" t="s">
        <v>410</v>
      </c>
      <c r="AG52" s="1" t="s">
        <v>411</v>
      </c>
    </row>
    <row r="53" spans="1:33" ht="60" x14ac:dyDescent="0.25">
      <c r="A53" s="1">
        <v>37</v>
      </c>
      <c r="B53" s="1" t="s">
        <v>915</v>
      </c>
      <c r="C53" s="1" t="s">
        <v>17</v>
      </c>
      <c r="D53" s="1" t="s">
        <v>499</v>
      </c>
      <c r="E53" s="1" t="s">
        <v>853</v>
      </c>
      <c r="F53" s="1" t="s">
        <v>500</v>
      </c>
      <c r="G53" s="22" t="s">
        <v>494</v>
      </c>
      <c r="H53" s="1">
        <v>200</v>
      </c>
      <c r="I53" s="1" t="s">
        <v>22</v>
      </c>
      <c r="J53" s="1" t="s">
        <v>398</v>
      </c>
      <c r="N53" s="4">
        <v>1042346974</v>
      </c>
      <c r="O53" s="1" t="s">
        <v>813</v>
      </c>
      <c r="P53" s="7" t="s">
        <v>399</v>
      </c>
      <c r="Q53" s="1" t="s">
        <v>23</v>
      </c>
      <c r="R53" s="4" t="s">
        <v>109</v>
      </c>
      <c r="T53" s="18">
        <v>200061777902</v>
      </c>
      <c r="U53" s="4" t="s">
        <v>401</v>
      </c>
      <c r="V53" s="4" t="s">
        <v>420</v>
      </c>
      <c r="W53" s="20" t="s">
        <v>421</v>
      </c>
      <c r="X53" s="1" t="s">
        <v>403</v>
      </c>
      <c r="Y53" s="1">
        <v>1</v>
      </c>
      <c r="Z53" s="6" t="s">
        <v>404</v>
      </c>
      <c r="AA53" s="6" t="s">
        <v>405</v>
      </c>
      <c r="AB53" s="6" t="s">
        <v>406</v>
      </c>
      <c r="AC53" s="1" t="s">
        <v>407</v>
      </c>
      <c r="AD53" s="1" t="s">
        <v>408</v>
      </c>
      <c r="AE53" s="1" t="s">
        <v>409</v>
      </c>
      <c r="AF53" s="1" t="s">
        <v>410</v>
      </c>
      <c r="AG53" s="1" t="s">
        <v>411</v>
      </c>
    </row>
    <row r="54" spans="1:33" ht="60" x14ac:dyDescent="0.25">
      <c r="A54" s="1">
        <v>38</v>
      </c>
      <c r="B54" s="1" t="s">
        <v>915</v>
      </c>
      <c r="C54" s="1" t="s">
        <v>17</v>
      </c>
      <c r="D54" s="1" t="s">
        <v>501</v>
      </c>
      <c r="E54" s="1" t="s">
        <v>854</v>
      </c>
      <c r="F54" s="1" t="s">
        <v>502</v>
      </c>
      <c r="G54" s="22" t="s">
        <v>459</v>
      </c>
      <c r="H54" s="1">
        <v>400</v>
      </c>
      <c r="I54" s="1" t="s">
        <v>22</v>
      </c>
      <c r="J54" s="1" t="s">
        <v>398</v>
      </c>
      <c r="N54" s="4">
        <v>1042346975</v>
      </c>
      <c r="O54" s="1" t="s">
        <v>813</v>
      </c>
      <c r="P54" s="7" t="s">
        <v>399</v>
      </c>
      <c r="Q54" s="1" t="s">
        <v>23</v>
      </c>
      <c r="R54" s="4" t="s">
        <v>400</v>
      </c>
      <c r="T54" s="18">
        <v>200061777902</v>
      </c>
      <c r="U54" s="4" t="s">
        <v>401</v>
      </c>
      <c r="V54" s="1" t="s">
        <v>402</v>
      </c>
      <c r="W54" s="5">
        <v>200061812368</v>
      </c>
      <c r="X54" s="1" t="s">
        <v>403</v>
      </c>
      <c r="Y54" s="1">
        <v>1</v>
      </c>
      <c r="Z54" s="6" t="s">
        <v>404</v>
      </c>
      <c r="AA54" s="6" t="s">
        <v>405</v>
      </c>
      <c r="AB54" s="6" t="s">
        <v>406</v>
      </c>
      <c r="AC54" s="1" t="s">
        <v>407</v>
      </c>
      <c r="AD54" s="1" t="s">
        <v>408</v>
      </c>
      <c r="AE54" s="1" t="s">
        <v>409</v>
      </c>
      <c r="AF54" s="1" t="s">
        <v>410</v>
      </c>
      <c r="AG54" s="1" t="s">
        <v>411</v>
      </c>
    </row>
    <row r="55" spans="1:33" ht="60" x14ac:dyDescent="0.25">
      <c r="A55" s="1">
        <v>39</v>
      </c>
      <c r="B55" s="1" t="s">
        <v>915</v>
      </c>
      <c r="C55" s="1" t="s">
        <v>17</v>
      </c>
      <c r="D55" s="1" t="s">
        <v>503</v>
      </c>
      <c r="E55" s="1" t="s">
        <v>855</v>
      </c>
      <c r="F55" s="1" t="s">
        <v>504</v>
      </c>
      <c r="G55" s="22" t="s">
        <v>459</v>
      </c>
      <c r="H55" s="1">
        <v>400</v>
      </c>
      <c r="I55" s="1" t="s">
        <v>22</v>
      </c>
      <c r="J55" s="1" t="s">
        <v>398</v>
      </c>
      <c r="N55" s="4">
        <v>1042346976</v>
      </c>
      <c r="O55" s="1" t="s">
        <v>813</v>
      </c>
      <c r="P55" s="7" t="s">
        <v>399</v>
      </c>
      <c r="Q55" s="1" t="s">
        <v>23</v>
      </c>
      <c r="R55" s="4" t="s">
        <v>400</v>
      </c>
      <c r="T55" s="18">
        <v>200061777902</v>
      </c>
      <c r="U55" s="4" t="s">
        <v>401</v>
      </c>
      <c r="V55" s="4" t="s">
        <v>415</v>
      </c>
      <c r="W55" s="18">
        <v>500027172598</v>
      </c>
      <c r="X55" s="1" t="s">
        <v>403</v>
      </c>
      <c r="Y55" s="1">
        <v>1</v>
      </c>
      <c r="Z55" s="6" t="s">
        <v>404</v>
      </c>
      <c r="AA55" s="6" t="s">
        <v>405</v>
      </c>
      <c r="AB55" s="6" t="s">
        <v>406</v>
      </c>
      <c r="AC55" s="1" t="s">
        <v>407</v>
      </c>
      <c r="AD55" s="1" t="s">
        <v>408</v>
      </c>
      <c r="AE55" s="1" t="s">
        <v>409</v>
      </c>
      <c r="AF55" s="1" t="s">
        <v>410</v>
      </c>
      <c r="AG55" s="1" t="s">
        <v>411</v>
      </c>
    </row>
    <row r="56" spans="1:33" ht="60" x14ac:dyDescent="0.25">
      <c r="A56" s="1">
        <v>40</v>
      </c>
      <c r="B56" s="1" t="s">
        <v>915</v>
      </c>
      <c r="C56" s="1" t="s">
        <v>17</v>
      </c>
      <c r="D56" s="1" t="s">
        <v>505</v>
      </c>
      <c r="E56" s="1" t="s">
        <v>856</v>
      </c>
      <c r="F56" s="1" t="s">
        <v>506</v>
      </c>
      <c r="G56" s="22" t="s">
        <v>459</v>
      </c>
      <c r="H56" s="1">
        <v>400</v>
      </c>
      <c r="I56" s="1" t="s">
        <v>22</v>
      </c>
      <c r="J56" s="1" t="s">
        <v>398</v>
      </c>
      <c r="N56" s="4">
        <v>1042346977</v>
      </c>
      <c r="O56" s="1" t="s">
        <v>813</v>
      </c>
      <c r="P56" s="7" t="s">
        <v>399</v>
      </c>
      <c r="Q56" s="1" t="s">
        <v>23</v>
      </c>
      <c r="R56" s="4" t="s">
        <v>419</v>
      </c>
      <c r="T56" s="18">
        <v>200061777902</v>
      </c>
      <c r="U56" s="4" t="s">
        <v>401</v>
      </c>
      <c r="V56" s="4" t="s">
        <v>420</v>
      </c>
      <c r="W56" s="20" t="s">
        <v>421</v>
      </c>
      <c r="X56" s="1" t="s">
        <v>403</v>
      </c>
      <c r="Y56" s="1">
        <v>1</v>
      </c>
      <c r="Z56" s="6" t="s">
        <v>404</v>
      </c>
      <c r="AA56" s="6" t="s">
        <v>405</v>
      </c>
      <c r="AB56" s="6" t="s">
        <v>406</v>
      </c>
      <c r="AC56" s="1" t="s">
        <v>407</v>
      </c>
      <c r="AD56" s="1" t="s">
        <v>408</v>
      </c>
      <c r="AE56" s="1" t="s">
        <v>409</v>
      </c>
      <c r="AF56" s="1" t="s">
        <v>410</v>
      </c>
      <c r="AG56" s="1" t="s">
        <v>411</v>
      </c>
    </row>
    <row r="57" spans="1:33" ht="60" x14ac:dyDescent="0.25">
      <c r="A57" s="1">
        <v>41</v>
      </c>
      <c r="B57" s="1" t="s">
        <v>915</v>
      </c>
      <c r="C57" s="1" t="s">
        <v>17</v>
      </c>
      <c r="D57" s="1" t="s">
        <v>507</v>
      </c>
      <c r="E57" s="1" t="s">
        <v>857</v>
      </c>
      <c r="F57" s="1" t="s">
        <v>508</v>
      </c>
      <c r="G57" s="22" t="s">
        <v>459</v>
      </c>
      <c r="H57" s="1">
        <v>400</v>
      </c>
      <c r="I57" s="1" t="s">
        <v>22</v>
      </c>
      <c r="J57" s="1" t="s">
        <v>398</v>
      </c>
      <c r="N57" s="4">
        <v>1042346978</v>
      </c>
      <c r="O57" s="1" t="s">
        <v>813</v>
      </c>
      <c r="P57" s="7" t="s">
        <v>399</v>
      </c>
      <c r="Q57" s="1" t="s">
        <v>23</v>
      </c>
      <c r="R57" s="4" t="s">
        <v>109</v>
      </c>
      <c r="T57" s="18">
        <v>200061777902</v>
      </c>
      <c r="U57" s="4" t="s">
        <v>401</v>
      </c>
      <c r="V57" s="4" t="s">
        <v>420</v>
      </c>
      <c r="W57" s="20" t="s">
        <v>421</v>
      </c>
      <c r="X57" s="1" t="s">
        <v>403</v>
      </c>
      <c r="Y57" s="1">
        <v>1</v>
      </c>
      <c r="Z57" s="6" t="s">
        <v>404</v>
      </c>
      <c r="AA57" s="6" t="s">
        <v>405</v>
      </c>
      <c r="AB57" s="6" t="s">
        <v>406</v>
      </c>
      <c r="AC57" s="1" t="s">
        <v>407</v>
      </c>
      <c r="AD57" s="1" t="s">
        <v>408</v>
      </c>
      <c r="AE57" s="1" t="s">
        <v>409</v>
      </c>
      <c r="AF57" s="1" t="s">
        <v>410</v>
      </c>
      <c r="AG57" s="1" t="s">
        <v>411</v>
      </c>
    </row>
    <row r="58" spans="1:33" ht="60" x14ac:dyDescent="0.25">
      <c r="A58" s="1">
        <v>42</v>
      </c>
      <c r="B58" s="1" t="s">
        <v>915</v>
      </c>
      <c r="C58" s="1" t="s">
        <v>17</v>
      </c>
      <c r="D58" s="1" t="s">
        <v>509</v>
      </c>
      <c r="E58" s="1" t="s">
        <v>858</v>
      </c>
      <c r="F58" s="1" t="s">
        <v>510</v>
      </c>
      <c r="G58" s="22" t="s">
        <v>494</v>
      </c>
      <c r="H58" s="1">
        <v>200</v>
      </c>
      <c r="I58" s="1" t="s">
        <v>22</v>
      </c>
      <c r="J58" s="1" t="s">
        <v>398</v>
      </c>
      <c r="N58" s="4">
        <v>1042346979</v>
      </c>
      <c r="O58" s="1" t="s">
        <v>813</v>
      </c>
      <c r="P58" s="7" t="s">
        <v>399</v>
      </c>
      <c r="Q58" s="1" t="s">
        <v>23</v>
      </c>
      <c r="R58" s="4" t="s">
        <v>400</v>
      </c>
      <c r="T58" s="18">
        <v>200061777902</v>
      </c>
      <c r="U58" s="4" t="s">
        <v>401</v>
      </c>
      <c r="V58" s="1" t="s">
        <v>402</v>
      </c>
      <c r="W58" s="5">
        <v>200061812368</v>
      </c>
      <c r="X58" s="1" t="s">
        <v>403</v>
      </c>
      <c r="Y58" s="1">
        <v>1</v>
      </c>
      <c r="Z58" s="6" t="s">
        <v>404</v>
      </c>
      <c r="AA58" s="6" t="s">
        <v>405</v>
      </c>
      <c r="AB58" s="6" t="s">
        <v>406</v>
      </c>
      <c r="AC58" s="1" t="s">
        <v>407</v>
      </c>
      <c r="AD58" s="1" t="s">
        <v>408</v>
      </c>
      <c r="AE58" s="1" t="s">
        <v>409</v>
      </c>
      <c r="AF58" s="1" t="s">
        <v>410</v>
      </c>
      <c r="AG58" s="1" t="s">
        <v>411</v>
      </c>
    </row>
    <row r="59" spans="1:33" ht="60" x14ac:dyDescent="0.25">
      <c r="A59" s="1">
        <v>43</v>
      </c>
      <c r="B59" s="1" t="s">
        <v>915</v>
      </c>
      <c r="C59" s="1" t="s">
        <v>17</v>
      </c>
      <c r="D59" s="1" t="s">
        <v>511</v>
      </c>
      <c r="E59" s="1" t="s">
        <v>859</v>
      </c>
      <c r="F59" s="1" t="s">
        <v>512</v>
      </c>
      <c r="G59" s="22" t="s">
        <v>494</v>
      </c>
      <c r="H59" s="1">
        <v>200</v>
      </c>
      <c r="I59" s="1" t="s">
        <v>22</v>
      </c>
      <c r="J59" s="1" t="s">
        <v>398</v>
      </c>
      <c r="N59" s="4">
        <v>1042346980</v>
      </c>
      <c r="O59" s="1" t="s">
        <v>813</v>
      </c>
      <c r="P59" s="7" t="s">
        <v>399</v>
      </c>
      <c r="Q59" s="1" t="s">
        <v>23</v>
      </c>
      <c r="R59" s="4" t="s">
        <v>400</v>
      </c>
      <c r="T59" s="18">
        <v>200061777902</v>
      </c>
      <c r="U59" s="4" t="s">
        <v>401</v>
      </c>
      <c r="V59" s="4" t="s">
        <v>415</v>
      </c>
      <c r="W59" s="18">
        <v>500027172598</v>
      </c>
      <c r="X59" s="1" t="s">
        <v>403</v>
      </c>
      <c r="Y59" s="1">
        <v>1</v>
      </c>
      <c r="Z59" s="6" t="s">
        <v>404</v>
      </c>
      <c r="AA59" s="6" t="s">
        <v>405</v>
      </c>
      <c r="AB59" s="6" t="s">
        <v>406</v>
      </c>
      <c r="AC59" s="1" t="s">
        <v>407</v>
      </c>
      <c r="AD59" s="1" t="s">
        <v>408</v>
      </c>
      <c r="AE59" s="1" t="s">
        <v>409</v>
      </c>
      <c r="AF59" s="1" t="s">
        <v>410</v>
      </c>
      <c r="AG59" s="1" t="s">
        <v>411</v>
      </c>
    </row>
    <row r="60" spans="1:33" ht="60" x14ac:dyDescent="0.25">
      <c r="A60" s="1">
        <v>44</v>
      </c>
      <c r="B60" s="1" t="s">
        <v>915</v>
      </c>
      <c r="C60" s="1" t="s">
        <v>17</v>
      </c>
      <c r="D60" s="1" t="s">
        <v>513</v>
      </c>
      <c r="E60" s="1" t="s">
        <v>860</v>
      </c>
      <c r="F60" s="1" t="s">
        <v>514</v>
      </c>
      <c r="G60" s="22" t="s">
        <v>494</v>
      </c>
      <c r="H60" s="1">
        <v>200</v>
      </c>
      <c r="I60" s="1" t="s">
        <v>22</v>
      </c>
      <c r="J60" s="1" t="s">
        <v>398</v>
      </c>
      <c r="N60" s="4">
        <v>1042346981</v>
      </c>
      <c r="O60" s="1" t="s">
        <v>813</v>
      </c>
      <c r="P60" s="7" t="s">
        <v>399</v>
      </c>
      <c r="Q60" s="1" t="s">
        <v>23</v>
      </c>
      <c r="R60" s="4" t="s">
        <v>419</v>
      </c>
      <c r="T60" s="18">
        <v>200061777902</v>
      </c>
      <c r="U60" s="4" t="s">
        <v>401</v>
      </c>
      <c r="V60" s="4" t="s">
        <v>420</v>
      </c>
      <c r="W60" s="20" t="s">
        <v>421</v>
      </c>
      <c r="X60" s="1" t="s">
        <v>403</v>
      </c>
      <c r="Y60" s="1">
        <v>1</v>
      </c>
      <c r="Z60" s="6" t="s">
        <v>404</v>
      </c>
      <c r="AA60" s="6" t="s">
        <v>405</v>
      </c>
      <c r="AB60" s="6" t="s">
        <v>406</v>
      </c>
      <c r="AC60" s="1" t="s">
        <v>407</v>
      </c>
      <c r="AD60" s="1" t="s">
        <v>408</v>
      </c>
      <c r="AE60" s="1" t="s">
        <v>409</v>
      </c>
      <c r="AF60" s="1" t="s">
        <v>410</v>
      </c>
      <c r="AG60" s="1" t="s">
        <v>411</v>
      </c>
    </row>
    <row r="61" spans="1:33" ht="60" x14ac:dyDescent="0.25">
      <c r="A61" s="1">
        <v>45</v>
      </c>
      <c r="B61" s="1" t="s">
        <v>915</v>
      </c>
      <c r="C61" s="1" t="s">
        <v>17</v>
      </c>
      <c r="D61" s="1" t="s">
        <v>515</v>
      </c>
      <c r="E61" s="1" t="s">
        <v>861</v>
      </c>
      <c r="F61" s="1" t="s">
        <v>516</v>
      </c>
      <c r="G61" s="22" t="s">
        <v>494</v>
      </c>
      <c r="H61" s="1">
        <v>200</v>
      </c>
      <c r="I61" s="1" t="s">
        <v>22</v>
      </c>
      <c r="J61" s="1" t="s">
        <v>398</v>
      </c>
      <c r="N61" s="4">
        <v>1042346982</v>
      </c>
      <c r="O61" s="1" t="s">
        <v>813</v>
      </c>
      <c r="P61" s="7" t="s">
        <v>399</v>
      </c>
      <c r="Q61" s="1" t="s">
        <v>23</v>
      </c>
      <c r="R61" s="4" t="s">
        <v>109</v>
      </c>
      <c r="T61" s="18">
        <v>200061777902</v>
      </c>
      <c r="U61" s="4" t="s">
        <v>401</v>
      </c>
      <c r="V61" s="4" t="s">
        <v>420</v>
      </c>
      <c r="W61" s="20" t="s">
        <v>421</v>
      </c>
      <c r="X61" s="1" t="s">
        <v>403</v>
      </c>
      <c r="Y61" s="1">
        <v>1</v>
      </c>
      <c r="Z61" s="6" t="s">
        <v>404</v>
      </c>
      <c r="AA61" s="6" t="s">
        <v>405</v>
      </c>
      <c r="AB61" s="6" t="s">
        <v>406</v>
      </c>
      <c r="AC61" s="1" t="s">
        <v>407</v>
      </c>
      <c r="AD61" s="1" t="s">
        <v>408</v>
      </c>
      <c r="AE61" s="1" t="s">
        <v>409</v>
      </c>
      <c r="AF61" s="1" t="s">
        <v>410</v>
      </c>
      <c r="AG61" s="1" t="s">
        <v>411</v>
      </c>
    </row>
    <row r="62" spans="1:33" ht="60" x14ac:dyDescent="0.25">
      <c r="A62" s="1">
        <v>46</v>
      </c>
      <c r="B62" s="1" t="s">
        <v>915</v>
      </c>
      <c r="C62" s="1" t="s">
        <v>17</v>
      </c>
      <c r="D62" s="1" t="s">
        <v>517</v>
      </c>
      <c r="E62" s="1" t="s">
        <v>862</v>
      </c>
      <c r="F62" s="1" t="s">
        <v>518</v>
      </c>
      <c r="G62" s="22" t="s">
        <v>459</v>
      </c>
      <c r="H62" s="1">
        <v>400</v>
      </c>
      <c r="I62" s="1" t="s">
        <v>22</v>
      </c>
      <c r="J62" s="1" t="s">
        <v>398</v>
      </c>
      <c r="N62" s="4">
        <v>1042346983</v>
      </c>
      <c r="O62" s="1" t="s">
        <v>813</v>
      </c>
      <c r="P62" s="7" t="s">
        <v>399</v>
      </c>
      <c r="Q62" s="1" t="s">
        <v>23</v>
      </c>
      <c r="R62" s="4" t="s">
        <v>400</v>
      </c>
      <c r="T62" s="18">
        <v>200061777902</v>
      </c>
      <c r="U62" s="4" t="s">
        <v>401</v>
      </c>
      <c r="V62" s="4" t="s">
        <v>415</v>
      </c>
      <c r="W62" s="18">
        <v>500027172598</v>
      </c>
      <c r="X62" s="1" t="s">
        <v>403</v>
      </c>
      <c r="Y62" s="1">
        <v>1</v>
      </c>
      <c r="Z62" s="6" t="s">
        <v>404</v>
      </c>
      <c r="AA62" s="6" t="s">
        <v>405</v>
      </c>
      <c r="AB62" s="6" t="s">
        <v>406</v>
      </c>
      <c r="AC62" s="1" t="s">
        <v>407</v>
      </c>
      <c r="AD62" s="1" t="s">
        <v>408</v>
      </c>
      <c r="AE62" s="1" t="s">
        <v>409</v>
      </c>
      <c r="AF62" s="1" t="s">
        <v>410</v>
      </c>
      <c r="AG62" s="1" t="s">
        <v>411</v>
      </c>
    </row>
    <row r="63" spans="1:33" ht="60" x14ac:dyDescent="0.25">
      <c r="A63" s="1">
        <v>47</v>
      </c>
      <c r="B63" s="1" t="s">
        <v>915</v>
      </c>
      <c r="C63" s="1" t="s">
        <v>17</v>
      </c>
      <c r="D63" s="1" t="s">
        <v>519</v>
      </c>
      <c r="E63" s="1" t="s">
        <v>863</v>
      </c>
      <c r="F63" s="1" t="s">
        <v>520</v>
      </c>
      <c r="G63" s="22" t="s">
        <v>459</v>
      </c>
      <c r="H63" s="1">
        <v>400</v>
      </c>
      <c r="I63" s="1" t="s">
        <v>22</v>
      </c>
      <c r="J63" s="1" t="s">
        <v>398</v>
      </c>
      <c r="N63" s="4">
        <v>1042346984</v>
      </c>
      <c r="O63" s="1" t="s">
        <v>813</v>
      </c>
    </row>
    <row r="64" spans="1:33" ht="60" x14ac:dyDescent="0.25">
      <c r="A64" s="1">
        <v>48</v>
      </c>
      <c r="B64" s="1" t="s">
        <v>915</v>
      </c>
      <c r="C64" s="1" t="s">
        <v>17</v>
      </c>
      <c r="D64" s="1" t="s">
        <v>521</v>
      </c>
      <c r="E64" s="1" t="s">
        <v>864</v>
      </c>
      <c r="F64" s="1" t="s">
        <v>522</v>
      </c>
      <c r="G64" s="22" t="s">
        <v>459</v>
      </c>
      <c r="H64" s="1">
        <v>200</v>
      </c>
      <c r="I64" s="1" t="s">
        <v>22</v>
      </c>
      <c r="J64" s="1" t="s">
        <v>398</v>
      </c>
      <c r="N64" s="4">
        <v>1042346985</v>
      </c>
      <c r="O64" s="1" t="s">
        <v>813</v>
      </c>
    </row>
    <row r="65" spans="1:15" ht="60" x14ac:dyDescent="0.25">
      <c r="A65" s="1">
        <v>49</v>
      </c>
      <c r="B65" s="1" t="s">
        <v>915</v>
      </c>
      <c r="C65" s="1" t="s">
        <v>17</v>
      </c>
      <c r="D65" s="1" t="s">
        <v>523</v>
      </c>
      <c r="E65" s="1" t="s">
        <v>865</v>
      </c>
      <c r="F65" s="1" t="s">
        <v>524</v>
      </c>
      <c r="G65" s="22" t="s">
        <v>459</v>
      </c>
      <c r="H65" s="1">
        <v>400</v>
      </c>
      <c r="I65" s="1" t="s">
        <v>22</v>
      </c>
      <c r="J65" s="1" t="s">
        <v>398</v>
      </c>
      <c r="N65" s="4">
        <v>1042346986</v>
      </c>
      <c r="O65" s="1" t="s">
        <v>813</v>
      </c>
    </row>
    <row r="66" spans="1:15" ht="315" x14ac:dyDescent="0.25">
      <c r="A66" s="1">
        <v>50</v>
      </c>
      <c r="B66" s="1" t="s">
        <v>915</v>
      </c>
      <c r="C66" s="1" t="s">
        <v>17</v>
      </c>
      <c r="D66" s="1" t="s">
        <v>525</v>
      </c>
      <c r="E66" s="1" t="s">
        <v>866</v>
      </c>
      <c r="F66" s="1" t="s">
        <v>526</v>
      </c>
      <c r="G66" s="22" t="s">
        <v>527</v>
      </c>
      <c r="H66" s="1">
        <v>200</v>
      </c>
      <c r="I66" s="1" t="s">
        <v>22</v>
      </c>
      <c r="J66" s="1" t="s">
        <v>398</v>
      </c>
      <c r="N66" s="4">
        <v>1042346987</v>
      </c>
      <c r="O66" s="1" t="s">
        <v>813</v>
      </c>
    </row>
    <row r="67" spans="1:15" ht="315" x14ac:dyDescent="0.25">
      <c r="A67" s="1"/>
      <c r="B67" s="1" t="s">
        <v>915</v>
      </c>
      <c r="C67" s="1"/>
      <c r="D67" s="1" t="s">
        <v>528</v>
      </c>
      <c r="E67" s="1" t="s">
        <v>867</v>
      </c>
      <c r="F67" s="1" t="s">
        <v>526</v>
      </c>
      <c r="G67" s="22" t="s">
        <v>527</v>
      </c>
      <c r="H67" s="1">
        <v>200</v>
      </c>
      <c r="I67" s="1" t="s">
        <v>22</v>
      </c>
      <c r="J67" s="1" t="s">
        <v>398</v>
      </c>
      <c r="N67" s="4">
        <v>1042346987</v>
      </c>
      <c r="O67" s="1" t="s">
        <v>813</v>
      </c>
    </row>
    <row r="68" spans="1:15" ht="315" x14ac:dyDescent="0.25">
      <c r="A68" s="1"/>
      <c r="B68" s="1" t="s">
        <v>915</v>
      </c>
      <c r="C68" s="1"/>
      <c r="D68" s="1" t="s">
        <v>529</v>
      </c>
      <c r="E68" s="1" t="s">
        <v>868</v>
      </c>
      <c r="F68" s="1" t="s">
        <v>526</v>
      </c>
      <c r="G68" s="22" t="s">
        <v>527</v>
      </c>
      <c r="H68" s="1">
        <v>200</v>
      </c>
      <c r="I68" s="1" t="s">
        <v>22</v>
      </c>
      <c r="J68" s="1" t="s">
        <v>398</v>
      </c>
      <c r="N68" s="4">
        <v>1042346987</v>
      </c>
      <c r="O68" s="1" t="s">
        <v>813</v>
      </c>
    </row>
    <row r="69" spans="1:15" ht="315" x14ac:dyDescent="0.25">
      <c r="A69" s="1"/>
      <c r="B69" s="1" t="s">
        <v>915</v>
      </c>
      <c r="C69" s="1"/>
      <c r="D69" s="1" t="s">
        <v>530</v>
      </c>
      <c r="E69" s="1" t="s">
        <v>869</v>
      </c>
      <c r="F69" s="1" t="s">
        <v>526</v>
      </c>
      <c r="G69" s="22" t="s">
        <v>527</v>
      </c>
      <c r="H69" s="1">
        <v>200</v>
      </c>
      <c r="I69" s="1" t="s">
        <v>22</v>
      </c>
      <c r="J69" s="1" t="s">
        <v>398</v>
      </c>
      <c r="N69" s="4">
        <v>1042346987</v>
      </c>
      <c r="O69" s="1" t="s">
        <v>813</v>
      </c>
    </row>
    <row r="70" spans="1:15" ht="210" x14ac:dyDescent="0.25">
      <c r="A70" s="1">
        <v>51</v>
      </c>
      <c r="B70" s="1" t="s">
        <v>915</v>
      </c>
      <c r="C70" s="1" t="s">
        <v>17</v>
      </c>
      <c r="D70" s="1" t="s">
        <v>531</v>
      </c>
      <c r="E70" s="1" t="s">
        <v>870</v>
      </c>
      <c r="F70" s="1" t="s">
        <v>532</v>
      </c>
      <c r="G70" s="22" t="s">
        <v>533</v>
      </c>
      <c r="H70" s="1">
        <v>409</v>
      </c>
      <c r="I70" s="1" t="s">
        <v>22</v>
      </c>
      <c r="J70" s="1" t="s">
        <v>398</v>
      </c>
      <c r="N70" s="4">
        <v>1042346988</v>
      </c>
      <c r="O70" s="1" t="s">
        <v>813</v>
      </c>
    </row>
    <row r="71" spans="1:15" ht="210" x14ac:dyDescent="0.25">
      <c r="A71" s="1"/>
      <c r="B71" s="1" t="s">
        <v>915</v>
      </c>
      <c r="C71" s="1"/>
      <c r="D71" s="1" t="s">
        <v>534</v>
      </c>
      <c r="E71" s="1" t="s">
        <v>871</v>
      </c>
      <c r="F71" s="1" t="s">
        <v>532</v>
      </c>
      <c r="G71" s="22" t="s">
        <v>533</v>
      </c>
      <c r="H71" s="1">
        <v>409</v>
      </c>
      <c r="I71" s="1" t="s">
        <v>22</v>
      </c>
      <c r="J71" s="1" t="s">
        <v>398</v>
      </c>
      <c r="N71" s="4">
        <v>1042346993</v>
      </c>
      <c r="O71" s="1" t="s">
        <v>813</v>
      </c>
    </row>
    <row r="72" spans="1:15" ht="35.25" customHeight="1" x14ac:dyDescent="0.25">
      <c r="A72" s="1"/>
      <c r="B72" s="1" t="s">
        <v>915</v>
      </c>
      <c r="C72" s="1"/>
      <c r="D72" s="1" t="s">
        <v>535</v>
      </c>
      <c r="E72" s="1" t="s">
        <v>872</v>
      </c>
      <c r="F72" s="1" t="s">
        <v>532</v>
      </c>
      <c r="G72" s="22" t="s">
        <v>533</v>
      </c>
      <c r="H72" s="1">
        <v>409</v>
      </c>
      <c r="I72" s="1" t="s">
        <v>22</v>
      </c>
      <c r="J72" s="1" t="s">
        <v>398</v>
      </c>
      <c r="N72" s="4">
        <v>1042346993</v>
      </c>
      <c r="O72" s="1" t="s">
        <v>813</v>
      </c>
    </row>
    <row r="73" spans="1:15" ht="210" x14ac:dyDescent="0.25">
      <c r="A73" s="1"/>
      <c r="B73" s="1" t="s">
        <v>915</v>
      </c>
      <c r="C73" s="1"/>
      <c r="D73" s="1" t="s">
        <v>536</v>
      </c>
      <c r="E73" s="1" t="s">
        <v>873</v>
      </c>
      <c r="F73" s="1" t="s">
        <v>532</v>
      </c>
      <c r="G73" s="22" t="s">
        <v>533</v>
      </c>
      <c r="H73" s="1">
        <v>409</v>
      </c>
      <c r="I73" s="1" t="s">
        <v>22</v>
      </c>
      <c r="J73" s="1" t="s">
        <v>398</v>
      </c>
      <c r="N73" s="4">
        <v>1042346993</v>
      </c>
      <c r="O73" s="1" t="s">
        <v>813</v>
      </c>
    </row>
    <row r="74" spans="1:15" ht="75" x14ac:dyDescent="0.25">
      <c r="A74">
        <v>83</v>
      </c>
      <c r="B74" s="1" t="s">
        <v>915</v>
      </c>
      <c r="D74" s="1" t="s">
        <v>457</v>
      </c>
      <c r="E74" s="1" t="s">
        <v>963</v>
      </c>
      <c r="F74" s="1" t="s">
        <v>964</v>
      </c>
      <c r="G74" s="22" t="s">
        <v>965</v>
      </c>
      <c r="H74">
        <v>409</v>
      </c>
      <c r="I74" s="1" t="s">
        <v>22</v>
      </c>
      <c r="J74" s="1" t="s">
        <v>398</v>
      </c>
    </row>
    <row r="75" spans="1:15" ht="45" x14ac:dyDescent="0.25">
      <c r="A75" s="1">
        <v>53</v>
      </c>
      <c r="B75" s="1" t="s">
        <v>915</v>
      </c>
      <c r="C75" s="1" t="s">
        <v>17</v>
      </c>
      <c r="D75" s="1" t="s">
        <v>537</v>
      </c>
      <c r="E75" s="1" t="s">
        <v>874</v>
      </c>
      <c r="F75" s="1" t="s">
        <v>538</v>
      </c>
      <c r="G75" s="22" t="s">
        <v>539</v>
      </c>
      <c r="H75" s="1">
        <v>200</v>
      </c>
      <c r="I75" s="1" t="s">
        <v>22</v>
      </c>
      <c r="J75" s="1" t="s">
        <v>398</v>
      </c>
      <c r="N75" s="4">
        <v>1042346990</v>
      </c>
      <c r="O75" s="1" t="s">
        <v>813</v>
      </c>
    </row>
    <row r="76" spans="1:15" ht="45" x14ac:dyDescent="0.25">
      <c r="A76" s="1"/>
      <c r="B76" s="1" t="s">
        <v>915</v>
      </c>
      <c r="C76" s="1"/>
      <c r="D76" s="1" t="s">
        <v>540</v>
      </c>
      <c r="E76" s="1" t="s">
        <v>875</v>
      </c>
      <c r="F76" s="1" t="s">
        <v>538</v>
      </c>
      <c r="G76" s="22" t="s">
        <v>539</v>
      </c>
      <c r="H76" s="1">
        <v>200</v>
      </c>
      <c r="I76" s="1" t="s">
        <v>22</v>
      </c>
      <c r="J76" s="1" t="s">
        <v>398</v>
      </c>
      <c r="N76" s="4">
        <v>1042346990</v>
      </c>
      <c r="O76" s="1" t="s">
        <v>813</v>
      </c>
    </row>
    <row r="77" spans="1:15" ht="45" x14ac:dyDescent="0.25">
      <c r="A77" s="1">
        <v>54</v>
      </c>
      <c r="B77" s="1" t="s">
        <v>915</v>
      </c>
      <c r="C77" s="1" t="s">
        <v>17</v>
      </c>
      <c r="D77" s="1" t="s">
        <v>541</v>
      </c>
      <c r="E77" s="1" t="s">
        <v>876</v>
      </c>
      <c r="F77" s="1" t="s">
        <v>542</v>
      </c>
      <c r="G77" s="22" t="s">
        <v>539</v>
      </c>
      <c r="H77" s="1">
        <v>200</v>
      </c>
      <c r="I77" s="1" t="s">
        <v>22</v>
      </c>
      <c r="J77" s="1" t="s">
        <v>398</v>
      </c>
      <c r="N77" s="4">
        <v>1042346991</v>
      </c>
      <c r="O77" s="1" t="s">
        <v>813</v>
      </c>
    </row>
    <row r="78" spans="1:15" ht="45" x14ac:dyDescent="0.25">
      <c r="A78" s="1">
        <v>55</v>
      </c>
      <c r="B78" s="1" t="s">
        <v>915</v>
      </c>
      <c r="C78" s="1" t="s">
        <v>17</v>
      </c>
      <c r="D78" s="1" t="s">
        <v>543</v>
      </c>
      <c r="E78" s="1" t="s">
        <v>877</v>
      </c>
      <c r="F78" s="1" t="s">
        <v>544</v>
      </c>
      <c r="G78" s="22" t="s">
        <v>539</v>
      </c>
      <c r="H78" s="1">
        <v>200</v>
      </c>
      <c r="I78" s="1" t="s">
        <v>22</v>
      </c>
      <c r="J78" s="1" t="s">
        <v>398</v>
      </c>
      <c r="N78" s="4">
        <v>1042346992</v>
      </c>
      <c r="O78" s="1" t="s">
        <v>813</v>
      </c>
    </row>
    <row r="79" spans="1:15" ht="30" x14ac:dyDescent="0.25">
      <c r="A79" s="1">
        <v>56</v>
      </c>
      <c r="B79" s="1" t="s">
        <v>915</v>
      </c>
      <c r="C79" s="1" t="s">
        <v>17</v>
      </c>
      <c r="D79" s="1" t="s">
        <v>545</v>
      </c>
      <c r="E79" s="1" t="s">
        <v>878</v>
      </c>
      <c r="F79" s="1"/>
      <c r="H79" s="1"/>
      <c r="I79" s="1" t="s">
        <v>22</v>
      </c>
      <c r="J79" s="1" t="s">
        <v>398</v>
      </c>
      <c r="N79" s="4">
        <v>1042346993</v>
      </c>
      <c r="O79" s="1" t="s">
        <v>813</v>
      </c>
    </row>
    <row r="80" spans="1:15" ht="45" x14ac:dyDescent="0.25">
      <c r="A80" s="1"/>
      <c r="B80" s="1" t="s">
        <v>915</v>
      </c>
      <c r="C80" s="1"/>
      <c r="D80" s="1" t="s">
        <v>546</v>
      </c>
      <c r="E80" s="1" t="s">
        <v>879</v>
      </c>
      <c r="F80" s="1" t="s">
        <v>538</v>
      </c>
      <c r="G80" s="22" t="s">
        <v>547</v>
      </c>
      <c r="H80" s="1">
        <v>200</v>
      </c>
      <c r="I80" s="1" t="s">
        <v>22</v>
      </c>
      <c r="J80" s="1" t="s">
        <v>398</v>
      </c>
      <c r="N80" s="4">
        <v>1042346993</v>
      </c>
      <c r="O80" s="1" t="s">
        <v>813</v>
      </c>
    </row>
    <row r="81" spans="1:15" ht="45" x14ac:dyDescent="0.25">
      <c r="A81" s="1">
        <v>57</v>
      </c>
      <c r="B81" s="1" t="s">
        <v>915</v>
      </c>
      <c r="C81" s="1" t="s">
        <v>17</v>
      </c>
      <c r="D81" s="1" t="s">
        <v>548</v>
      </c>
      <c r="E81" s="1" t="s">
        <v>880</v>
      </c>
      <c r="F81" s="1" t="s">
        <v>542</v>
      </c>
      <c r="G81" s="22" t="s">
        <v>547</v>
      </c>
      <c r="H81" s="1">
        <v>200</v>
      </c>
      <c r="I81" s="1" t="s">
        <v>22</v>
      </c>
      <c r="J81" s="1" t="s">
        <v>398</v>
      </c>
      <c r="N81" s="4">
        <v>1042346994</v>
      </c>
      <c r="O81" s="1" t="s">
        <v>813</v>
      </c>
    </row>
    <row r="82" spans="1:15" ht="45" x14ac:dyDescent="0.25">
      <c r="A82" s="1">
        <v>58</v>
      </c>
      <c r="B82" s="1" t="s">
        <v>915</v>
      </c>
      <c r="C82" s="1" t="s">
        <v>17</v>
      </c>
      <c r="D82" s="1" t="s">
        <v>549</v>
      </c>
      <c r="E82" s="1" t="s">
        <v>881</v>
      </c>
      <c r="F82" s="1" t="s">
        <v>544</v>
      </c>
      <c r="G82" s="22" t="s">
        <v>547</v>
      </c>
      <c r="H82" s="1">
        <v>200</v>
      </c>
      <c r="I82" s="1" t="s">
        <v>22</v>
      </c>
      <c r="J82" s="1" t="s">
        <v>398</v>
      </c>
      <c r="N82" s="4">
        <v>1042346995</v>
      </c>
      <c r="O82" s="1" t="s">
        <v>813</v>
      </c>
    </row>
    <row r="83" spans="1:15" ht="45" x14ac:dyDescent="0.25">
      <c r="A83" s="1">
        <v>59</v>
      </c>
      <c r="B83" s="1" t="s">
        <v>915</v>
      </c>
      <c r="C83" s="1" t="s">
        <v>17</v>
      </c>
      <c r="D83" s="1" t="s">
        <v>550</v>
      </c>
      <c r="E83" s="1" t="s">
        <v>882</v>
      </c>
      <c r="F83" s="1" t="s">
        <v>538</v>
      </c>
      <c r="G83" s="22" t="s">
        <v>551</v>
      </c>
      <c r="H83" s="1">
        <v>200</v>
      </c>
      <c r="I83" s="1" t="s">
        <v>22</v>
      </c>
      <c r="J83" s="1" t="s">
        <v>398</v>
      </c>
      <c r="N83" s="4">
        <v>1042346996</v>
      </c>
      <c r="O83" s="1" t="s">
        <v>813</v>
      </c>
    </row>
    <row r="84" spans="1:15" ht="45" x14ac:dyDescent="0.25">
      <c r="A84" s="1"/>
      <c r="B84" s="1" t="s">
        <v>915</v>
      </c>
      <c r="C84" s="1"/>
      <c r="D84" s="1" t="s">
        <v>552</v>
      </c>
      <c r="E84" s="1" t="s">
        <v>883</v>
      </c>
      <c r="F84" s="1" t="s">
        <v>538</v>
      </c>
      <c r="G84" s="22" t="s">
        <v>551</v>
      </c>
      <c r="H84" s="1">
        <v>200</v>
      </c>
      <c r="I84" s="1" t="s">
        <v>22</v>
      </c>
      <c r="J84" s="1" t="s">
        <v>398</v>
      </c>
      <c r="N84" s="4">
        <v>1042346996</v>
      </c>
      <c r="O84" s="1" t="s">
        <v>813</v>
      </c>
    </row>
    <row r="85" spans="1:15" ht="45" x14ac:dyDescent="0.25">
      <c r="A85" s="1">
        <v>60</v>
      </c>
      <c r="B85" s="1" t="s">
        <v>915</v>
      </c>
      <c r="C85" s="1" t="s">
        <v>17</v>
      </c>
      <c r="D85" s="1" t="s">
        <v>553</v>
      </c>
      <c r="E85" s="1" t="s">
        <v>884</v>
      </c>
      <c r="F85" s="1" t="s">
        <v>542</v>
      </c>
      <c r="G85" s="22" t="s">
        <v>551</v>
      </c>
      <c r="H85" s="1">
        <v>200</v>
      </c>
      <c r="I85" s="1" t="s">
        <v>22</v>
      </c>
      <c r="J85" s="1" t="s">
        <v>398</v>
      </c>
      <c r="N85" s="4">
        <v>1042346997</v>
      </c>
      <c r="O85" s="1" t="s">
        <v>813</v>
      </c>
    </row>
    <row r="86" spans="1:15" ht="45" x14ac:dyDescent="0.25">
      <c r="A86" s="1">
        <v>61</v>
      </c>
      <c r="B86" s="1" t="s">
        <v>915</v>
      </c>
      <c r="C86" s="1" t="s">
        <v>17</v>
      </c>
      <c r="D86" s="1" t="s">
        <v>554</v>
      </c>
      <c r="E86" s="1" t="s">
        <v>885</v>
      </c>
      <c r="F86" s="1" t="s">
        <v>544</v>
      </c>
      <c r="G86" s="22" t="s">
        <v>551</v>
      </c>
      <c r="H86" s="1">
        <v>200</v>
      </c>
      <c r="I86" s="1" t="s">
        <v>22</v>
      </c>
      <c r="J86" s="1" t="s">
        <v>398</v>
      </c>
      <c r="N86" s="4">
        <v>1042346998</v>
      </c>
      <c r="O86" s="1" t="s">
        <v>813</v>
      </c>
    </row>
    <row r="87" spans="1:15" ht="45" x14ac:dyDescent="0.25">
      <c r="A87" s="1">
        <v>62</v>
      </c>
      <c r="B87" s="1" t="s">
        <v>915</v>
      </c>
      <c r="C87" s="1" t="s">
        <v>17</v>
      </c>
      <c r="D87" s="1" t="s">
        <v>555</v>
      </c>
      <c r="E87" s="1" t="s">
        <v>886</v>
      </c>
      <c r="F87" s="1" t="s">
        <v>538</v>
      </c>
      <c r="G87" s="22" t="s">
        <v>556</v>
      </c>
      <c r="H87" s="1">
        <v>200</v>
      </c>
      <c r="I87" s="1" t="s">
        <v>22</v>
      </c>
      <c r="J87" s="1" t="s">
        <v>398</v>
      </c>
      <c r="N87" s="4">
        <v>1042346999</v>
      </c>
      <c r="O87" s="1" t="s">
        <v>813</v>
      </c>
    </row>
    <row r="88" spans="1:15" ht="45" x14ac:dyDescent="0.25">
      <c r="A88" s="1"/>
      <c r="B88" s="1" t="s">
        <v>915</v>
      </c>
      <c r="C88" s="1"/>
      <c r="D88" s="1" t="s">
        <v>557</v>
      </c>
      <c r="E88" s="1" t="s">
        <v>887</v>
      </c>
      <c r="F88" s="1" t="s">
        <v>538</v>
      </c>
      <c r="G88" s="22" t="s">
        <v>556</v>
      </c>
      <c r="H88" s="1">
        <v>200</v>
      </c>
      <c r="I88" s="1" t="s">
        <v>22</v>
      </c>
      <c r="J88" s="1" t="s">
        <v>398</v>
      </c>
      <c r="N88" s="4">
        <v>1042346999</v>
      </c>
      <c r="O88" s="1" t="s">
        <v>813</v>
      </c>
    </row>
    <row r="89" spans="1:15" ht="45" x14ac:dyDescent="0.25">
      <c r="A89" s="1">
        <v>63</v>
      </c>
      <c r="B89" s="1" t="s">
        <v>915</v>
      </c>
      <c r="C89" s="1" t="s">
        <v>17</v>
      </c>
      <c r="D89" s="1" t="s">
        <v>558</v>
      </c>
      <c r="E89" s="1" t="s">
        <v>888</v>
      </c>
      <c r="F89" s="1" t="s">
        <v>542</v>
      </c>
      <c r="G89" s="22" t="s">
        <v>556</v>
      </c>
      <c r="H89" s="1">
        <v>200</v>
      </c>
      <c r="I89" s="1" t="s">
        <v>22</v>
      </c>
      <c r="J89" s="1" t="s">
        <v>398</v>
      </c>
      <c r="N89" s="4">
        <v>1042347000</v>
      </c>
      <c r="O89" s="1" t="s">
        <v>813</v>
      </c>
    </row>
    <row r="90" spans="1:15" ht="45" x14ac:dyDescent="0.25">
      <c r="A90" s="1">
        <v>64</v>
      </c>
      <c r="B90" s="1" t="s">
        <v>915</v>
      </c>
      <c r="C90" s="1" t="s">
        <v>17</v>
      </c>
      <c r="D90" s="1" t="s">
        <v>559</v>
      </c>
      <c r="E90" s="1" t="s">
        <v>889</v>
      </c>
      <c r="F90" s="1" t="s">
        <v>544</v>
      </c>
      <c r="G90" s="22" t="s">
        <v>556</v>
      </c>
      <c r="H90" s="1">
        <v>200</v>
      </c>
      <c r="I90" s="1" t="s">
        <v>22</v>
      </c>
      <c r="J90" s="1" t="s">
        <v>398</v>
      </c>
      <c r="N90" s="4">
        <v>1042347001</v>
      </c>
      <c r="O90" s="1" t="s">
        <v>813</v>
      </c>
    </row>
    <row r="91" spans="1:15" ht="45" x14ac:dyDescent="0.25">
      <c r="A91" s="1">
        <v>65</v>
      </c>
      <c r="B91" s="1" t="s">
        <v>915</v>
      </c>
      <c r="C91" s="1" t="s">
        <v>17</v>
      </c>
      <c r="D91" s="1" t="s">
        <v>560</v>
      </c>
      <c r="E91" s="1" t="s">
        <v>890</v>
      </c>
      <c r="F91" s="1" t="s">
        <v>561</v>
      </c>
      <c r="G91" s="22" t="s">
        <v>556</v>
      </c>
      <c r="H91" s="1">
        <v>200</v>
      </c>
      <c r="I91" s="1" t="s">
        <v>22</v>
      </c>
      <c r="J91" s="1" t="s">
        <v>398</v>
      </c>
      <c r="N91" s="4">
        <v>1042347002</v>
      </c>
      <c r="O91" s="1" t="s">
        <v>813</v>
      </c>
    </row>
    <row r="92" spans="1:15" ht="45" x14ac:dyDescent="0.25">
      <c r="A92" s="1"/>
      <c r="B92" s="1" t="s">
        <v>915</v>
      </c>
      <c r="C92" s="1"/>
      <c r="D92" s="1" t="s">
        <v>562</v>
      </c>
      <c r="E92" s="1" t="s">
        <v>891</v>
      </c>
      <c r="F92" s="1" t="s">
        <v>561</v>
      </c>
      <c r="G92" s="22" t="s">
        <v>556</v>
      </c>
      <c r="H92" s="1">
        <v>200</v>
      </c>
      <c r="I92" s="1" t="s">
        <v>22</v>
      </c>
      <c r="J92" s="1" t="s">
        <v>398</v>
      </c>
      <c r="N92" s="4">
        <v>1042347002</v>
      </c>
      <c r="O92" s="1" t="s">
        <v>813</v>
      </c>
    </row>
    <row r="93" spans="1:15" ht="45" x14ac:dyDescent="0.25">
      <c r="A93" s="1"/>
      <c r="B93" s="1" t="s">
        <v>915</v>
      </c>
      <c r="C93" s="1"/>
      <c r="D93" s="1" t="s">
        <v>563</v>
      </c>
      <c r="E93" s="1" t="s">
        <v>892</v>
      </c>
      <c r="F93" s="1" t="s">
        <v>561</v>
      </c>
      <c r="G93" s="22" t="s">
        <v>556</v>
      </c>
      <c r="H93" s="1">
        <v>200</v>
      </c>
      <c r="I93" s="1" t="s">
        <v>22</v>
      </c>
      <c r="J93" s="1" t="s">
        <v>398</v>
      </c>
      <c r="N93" s="4">
        <v>1042347002</v>
      </c>
      <c r="O93" s="1" t="s">
        <v>813</v>
      </c>
    </row>
    <row r="94" spans="1:15" ht="45" x14ac:dyDescent="0.25">
      <c r="A94" s="1"/>
      <c r="B94" s="1" t="s">
        <v>915</v>
      </c>
      <c r="C94" s="1"/>
      <c r="D94" s="1" t="s">
        <v>564</v>
      </c>
      <c r="E94" s="1" t="s">
        <v>893</v>
      </c>
      <c r="F94" s="1" t="s">
        <v>561</v>
      </c>
      <c r="G94" s="22" t="s">
        <v>556</v>
      </c>
      <c r="H94" s="1">
        <v>200</v>
      </c>
      <c r="I94" s="1" t="s">
        <v>22</v>
      </c>
      <c r="J94" s="1" t="s">
        <v>398</v>
      </c>
      <c r="N94" s="4">
        <v>1042347002</v>
      </c>
      <c r="O94" s="1" t="s">
        <v>813</v>
      </c>
    </row>
    <row r="95" spans="1:15" ht="45" x14ac:dyDescent="0.25">
      <c r="A95">
        <v>84</v>
      </c>
      <c r="B95" s="1" t="s">
        <v>915</v>
      </c>
      <c r="D95" s="1" t="s">
        <v>461</v>
      </c>
      <c r="E95" s="1" t="s">
        <v>966</v>
      </c>
      <c r="F95" s="1" t="s">
        <v>561</v>
      </c>
      <c r="G95" s="22" t="s">
        <v>967</v>
      </c>
      <c r="H95">
        <v>200</v>
      </c>
      <c r="I95" s="1" t="s">
        <v>22</v>
      </c>
      <c r="J95" s="1" t="s">
        <v>398</v>
      </c>
    </row>
    <row r="96" spans="1:15" ht="45" x14ac:dyDescent="0.25">
      <c r="A96" s="1">
        <v>66</v>
      </c>
      <c r="B96" s="1" t="s">
        <v>915</v>
      </c>
      <c r="C96" s="1" t="s">
        <v>17</v>
      </c>
      <c r="D96" s="1" t="s">
        <v>565</v>
      </c>
      <c r="E96" s="1" t="s">
        <v>894</v>
      </c>
      <c r="F96" s="1" t="s">
        <v>561</v>
      </c>
      <c r="G96" s="22" t="s">
        <v>556</v>
      </c>
      <c r="H96" s="1">
        <v>200</v>
      </c>
      <c r="I96" s="1" t="s">
        <v>22</v>
      </c>
      <c r="J96" s="1" t="s">
        <v>398</v>
      </c>
      <c r="N96" s="4">
        <v>1042347003</v>
      </c>
      <c r="O96" s="1" t="s">
        <v>813</v>
      </c>
    </row>
    <row r="97" spans="1:15" ht="45" x14ac:dyDescent="0.25">
      <c r="A97" s="1"/>
      <c r="B97" s="1" t="s">
        <v>915</v>
      </c>
      <c r="C97" s="1"/>
      <c r="D97" s="1" t="s">
        <v>566</v>
      </c>
      <c r="E97" s="1" t="s">
        <v>895</v>
      </c>
      <c r="F97" s="1" t="s">
        <v>561</v>
      </c>
      <c r="G97" s="22" t="s">
        <v>556</v>
      </c>
      <c r="H97" s="1">
        <v>200</v>
      </c>
      <c r="I97" s="1" t="s">
        <v>22</v>
      </c>
      <c r="J97" s="1" t="s">
        <v>398</v>
      </c>
      <c r="N97" s="4">
        <v>1042347003</v>
      </c>
      <c r="O97" s="1" t="s">
        <v>813</v>
      </c>
    </row>
    <row r="98" spans="1:15" ht="45" x14ac:dyDescent="0.25">
      <c r="A98" s="1"/>
      <c r="B98" s="1" t="s">
        <v>915</v>
      </c>
      <c r="C98" s="1"/>
      <c r="D98" s="1" t="s">
        <v>567</v>
      </c>
      <c r="E98" s="1" t="s">
        <v>896</v>
      </c>
      <c r="F98" s="1" t="s">
        <v>561</v>
      </c>
      <c r="G98" s="22" t="s">
        <v>556</v>
      </c>
      <c r="H98" s="1">
        <v>200</v>
      </c>
      <c r="I98" s="1" t="s">
        <v>22</v>
      </c>
      <c r="J98" s="1" t="s">
        <v>398</v>
      </c>
      <c r="N98" s="4">
        <v>1042347003</v>
      </c>
      <c r="O98" s="1" t="s">
        <v>813</v>
      </c>
    </row>
    <row r="99" spans="1:15" ht="45" x14ac:dyDescent="0.25">
      <c r="A99" s="1"/>
      <c r="B99" s="1" t="s">
        <v>915</v>
      </c>
      <c r="C99" s="1"/>
      <c r="D99" s="1" t="s">
        <v>568</v>
      </c>
      <c r="E99" s="1" t="s">
        <v>897</v>
      </c>
      <c r="F99" s="1" t="s">
        <v>561</v>
      </c>
      <c r="G99" s="22" t="s">
        <v>556</v>
      </c>
      <c r="H99" s="1">
        <v>200</v>
      </c>
      <c r="I99" s="1" t="s">
        <v>22</v>
      </c>
      <c r="J99" s="1" t="s">
        <v>398</v>
      </c>
      <c r="N99" s="4">
        <v>1042347003</v>
      </c>
      <c r="O99" s="1" t="s">
        <v>813</v>
      </c>
    </row>
    <row r="100" spans="1:15" ht="45" x14ac:dyDescent="0.25">
      <c r="A100" s="1">
        <v>67</v>
      </c>
      <c r="B100" s="1" t="s">
        <v>915</v>
      </c>
      <c r="C100" s="1" t="s">
        <v>17</v>
      </c>
      <c r="D100" s="1" t="s">
        <v>569</v>
      </c>
      <c r="E100" s="1" t="s">
        <v>898</v>
      </c>
      <c r="F100" s="1" t="s">
        <v>570</v>
      </c>
      <c r="G100" s="22" t="s">
        <v>556</v>
      </c>
      <c r="H100" s="1">
        <v>200</v>
      </c>
      <c r="I100" s="1" t="s">
        <v>22</v>
      </c>
      <c r="J100" s="1" t="s">
        <v>398</v>
      </c>
      <c r="N100" s="4">
        <v>1042347003</v>
      </c>
      <c r="O100" s="1" t="s">
        <v>813</v>
      </c>
    </row>
    <row r="101" spans="1:15" ht="45" x14ac:dyDescent="0.25">
      <c r="A101" s="1"/>
      <c r="B101" s="1" t="s">
        <v>915</v>
      </c>
      <c r="C101" s="1"/>
      <c r="D101" s="1" t="s">
        <v>571</v>
      </c>
      <c r="E101" s="1" t="s">
        <v>899</v>
      </c>
      <c r="F101" s="1" t="s">
        <v>570</v>
      </c>
      <c r="G101" s="22" t="s">
        <v>556</v>
      </c>
      <c r="H101" s="1">
        <v>200</v>
      </c>
      <c r="I101" s="1" t="s">
        <v>22</v>
      </c>
      <c r="J101" s="1" t="s">
        <v>398</v>
      </c>
      <c r="N101" s="4">
        <v>1042347003</v>
      </c>
      <c r="O101" s="1" t="s">
        <v>813</v>
      </c>
    </row>
    <row r="102" spans="1:15" ht="45" x14ac:dyDescent="0.25">
      <c r="A102" s="1"/>
      <c r="B102" s="1" t="s">
        <v>915</v>
      </c>
      <c r="C102" s="1"/>
      <c r="D102" s="1" t="s">
        <v>572</v>
      </c>
      <c r="E102" s="1" t="s">
        <v>900</v>
      </c>
      <c r="F102" s="1" t="s">
        <v>570</v>
      </c>
      <c r="G102" s="22" t="s">
        <v>556</v>
      </c>
      <c r="H102" s="1">
        <v>200</v>
      </c>
      <c r="I102" s="1" t="s">
        <v>22</v>
      </c>
      <c r="J102" s="1" t="s">
        <v>398</v>
      </c>
      <c r="N102" s="4">
        <v>1042347003</v>
      </c>
      <c r="O102" s="1" t="s">
        <v>813</v>
      </c>
    </row>
    <row r="103" spans="1:15" ht="45" x14ac:dyDescent="0.25">
      <c r="A103" s="1"/>
      <c r="B103" s="1" t="s">
        <v>915</v>
      </c>
      <c r="C103" s="1"/>
      <c r="D103" s="1" t="s">
        <v>573</v>
      </c>
      <c r="E103" s="1" t="s">
        <v>901</v>
      </c>
      <c r="F103" s="1" t="s">
        <v>570</v>
      </c>
      <c r="G103" s="22" t="s">
        <v>556</v>
      </c>
      <c r="H103" s="1">
        <v>200</v>
      </c>
      <c r="I103" s="1" t="s">
        <v>22</v>
      </c>
      <c r="J103" s="1" t="s">
        <v>398</v>
      </c>
      <c r="N103" s="4">
        <v>1042347003</v>
      </c>
      <c r="O103" s="1" t="s">
        <v>813</v>
      </c>
    </row>
    <row r="104" spans="1:15" ht="60" x14ac:dyDescent="0.25">
      <c r="A104" s="1">
        <v>68</v>
      </c>
      <c r="B104" s="1" t="s">
        <v>915</v>
      </c>
      <c r="C104" s="1" t="s">
        <v>17</v>
      </c>
      <c r="D104" s="1" t="s">
        <v>574</v>
      </c>
      <c r="E104" s="1" t="s">
        <v>902</v>
      </c>
      <c r="F104" s="1" t="s">
        <v>575</v>
      </c>
      <c r="G104" s="22" t="s">
        <v>556</v>
      </c>
      <c r="H104" s="1">
        <v>200</v>
      </c>
      <c r="I104" s="1" t="s">
        <v>22</v>
      </c>
      <c r="J104" s="1" t="s">
        <v>398</v>
      </c>
      <c r="N104" s="4">
        <v>1042347003</v>
      </c>
      <c r="O104" s="1" t="s">
        <v>813</v>
      </c>
    </row>
    <row r="105" spans="1:15" ht="60" x14ac:dyDescent="0.25">
      <c r="A105" s="1"/>
      <c r="B105" s="1" t="s">
        <v>915</v>
      </c>
      <c r="C105" s="1"/>
      <c r="D105" s="1" t="s">
        <v>576</v>
      </c>
      <c r="E105" s="1" t="s">
        <v>903</v>
      </c>
      <c r="F105" s="1" t="s">
        <v>575</v>
      </c>
      <c r="G105" s="22" t="s">
        <v>556</v>
      </c>
      <c r="H105" s="1">
        <v>200</v>
      </c>
      <c r="I105" s="1" t="s">
        <v>22</v>
      </c>
      <c r="J105" s="1" t="s">
        <v>398</v>
      </c>
      <c r="N105" s="4">
        <v>1042347003</v>
      </c>
      <c r="O105" s="1" t="s">
        <v>813</v>
      </c>
    </row>
    <row r="106" spans="1:15" ht="60" x14ac:dyDescent="0.25">
      <c r="A106" s="1"/>
      <c r="B106" s="1" t="s">
        <v>915</v>
      </c>
      <c r="C106" s="1"/>
      <c r="D106" s="1" t="s">
        <v>577</v>
      </c>
      <c r="E106" s="1" t="s">
        <v>904</v>
      </c>
      <c r="F106" s="1" t="s">
        <v>575</v>
      </c>
      <c r="G106" s="22" t="s">
        <v>556</v>
      </c>
      <c r="H106" s="1">
        <v>200</v>
      </c>
      <c r="I106" s="1" t="s">
        <v>22</v>
      </c>
      <c r="J106" s="1" t="s">
        <v>398</v>
      </c>
      <c r="N106" s="4">
        <v>1042347003</v>
      </c>
      <c r="O106" s="1" t="s">
        <v>813</v>
      </c>
    </row>
    <row r="107" spans="1:15" ht="60" x14ac:dyDescent="0.25">
      <c r="A107" s="1"/>
      <c r="B107" s="1" t="s">
        <v>915</v>
      </c>
      <c r="C107" s="1"/>
      <c r="D107" s="1" t="s">
        <v>578</v>
      </c>
      <c r="E107" s="1" t="s">
        <v>905</v>
      </c>
      <c r="F107" s="1" t="s">
        <v>575</v>
      </c>
      <c r="G107" s="22" t="s">
        <v>556</v>
      </c>
      <c r="H107" s="1">
        <v>200</v>
      </c>
      <c r="I107" s="1" t="s">
        <v>22</v>
      </c>
      <c r="J107" s="1" t="s">
        <v>398</v>
      </c>
      <c r="N107" s="4">
        <v>1042347003</v>
      </c>
      <c r="O107" s="1" t="s">
        <v>813</v>
      </c>
    </row>
    <row r="108" spans="1:15" ht="75" x14ac:dyDescent="0.25">
      <c r="A108" s="1">
        <v>69</v>
      </c>
      <c r="B108" s="1" t="s">
        <v>915</v>
      </c>
      <c r="C108" s="1" t="s">
        <v>17</v>
      </c>
      <c r="D108" s="1" t="s">
        <v>579</v>
      </c>
      <c r="E108" s="1" t="s">
        <v>906</v>
      </c>
      <c r="F108" s="1" t="s">
        <v>580</v>
      </c>
      <c r="G108" s="22" t="s">
        <v>556</v>
      </c>
      <c r="H108" s="1">
        <v>409</v>
      </c>
      <c r="I108" s="1" t="s">
        <v>22</v>
      </c>
      <c r="J108" s="1" t="s">
        <v>398</v>
      </c>
      <c r="N108" s="4">
        <v>1042347003</v>
      </c>
      <c r="O108" s="1" t="s">
        <v>813</v>
      </c>
    </row>
    <row r="109" spans="1:15" ht="75" x14ac:dyDescent="0.25">
      <c r="A109" s="1"/>
      <c r="B109" s="1" t="s">
        <v>915</v>
      </c>
      <c r="C109" s="1"/>
      <c r="D109" s="1" t="s">
        <v>581</v>
      </c>
      <c r="E109" s="1" t="s">
        <v>907</v>
      </c>
      <c r="F109" s="1" t="s">
        <v>580</v>
      </c>
      <c r="G109" s="22" t="s">
        <v>556</v>
      </c>
      <c r="H109" s="1">
        <v>409</v>
      </c>
      <c r="I109" s="1" t="s">
        <v>22</v>
      </c>
      <c r="J109" s="1" t="s">
        <v>398</v>
      </c>
      <c r="N109" s="4">
        <v>1042347003</v>
      </c>
      <c r="O109" s="1" t="s">
        <v>813</v>
      </c>
    </row>
    <row r="110" spans="1:15" ht="75" x14ac:dyDescent="0.25">
      <c r="A110" s="1"/>
      <c r="B110" s="1" t="s">
        <v>915</v>
      </c>
      <c r="C110" s="1"/>
      <c r="D110" s="1" t="s">
        <v>582</v>
      </c>
      <c r="E110" s="1" t="s">
        <v>908</v>
      </c>
      <c r="F110" s="1" t="s">
        <v>580</v>
      </c>
      <c r="G110" s="22" t="s">
        <v>556</v>
      </c>
      <c r="H110" s="1">
        <v>409</v>
      </c>
      <c r="I110" s="1" t="s">
        <v>22</v>
      </c>
      <c r="J110" s="1" t="s">
        <v>398</v>
      </c>
      <c r="N110" s="4">
        <v>1042347003</v>
      </c>
      <c r="O110" s="1" t="s">
        <v>813</v>
      </c>
    </row>
    <row r="111" spans="1:15" ht="75" x14ac:dyDescent="0.25">
      <c r="A111" s="1"/>
      <c r="B111" s="1" t="s">
        <v>915</v>
      </c>
      <c r="C111" s="1"/>
      <c r="D111" s="1" t="s">
        <v>583</v>
      </c>
      <c r="E111" s="1" t="s">
        <v>909</v>
      </c>
      <c r="F111" s="1" t="s">
        <v>580</v>
      </c>
      <c r="G111" s="22" t="s">
        <v>556</v>
      </c>
      <c r="H111" s="1">
        <v>409</v>
      </c>
      <c r="I111" s="1" t="s">
        <v>22</v>
      </c>
      <c r="J111" s="1" t="s">
        <v>398</v>
      </c>
      <c r="N111" s="4">
        <v>1042347003</v>
      </c>
      <c r="O111" s="1" t="s">
        <v>813</v>
      </c>
    </row>
    <row r="112" spans="1:15" ht="75" x14ac:dyDescent="0.25">
      <c r="A112" s="1">
        <v>70</v>
      </c>
      <c r="B112" s="1" t="s">
        <v>915</v>
      </c>
      <c r="C112" s="1" t="s">
        <v>17</v>
      </c>
      <c r="D112" s="1" t="s">
        <v>584</v>
      </c>
      <c r="E112" s="1" t="s">
        <v>910</v>
      </c>
      <c r="F112" s="1" t="s">
        <v>585</v>
      </c>
      <c r="G112" s="22" t="s">
        <v>556</v>
      </c>
      <c r="H112" s="1"/>
      <c r="I112" s="1" t="s">
        <v>22</v>
      </c>
      <c r="J112" s="1" t="s">
        <v>398</v>
      </c>
      <c r="N112" s="4">
        <v>1042347003</v>
      </c>
      <c r="O112" s="1" t="s">
        <v>813</v>
      </c>
    </row>
    <row r="113" spans="1:15" ht="75" x14ac:dyDescent="0.25">
      <c r="A113" s="1"/>
      <c r="B113" s="1" t="s">
        <v>915</v>
      </c>
      <c r="C113" s="1"/>
      <c r="D113" s="1" t="s">
        <v>586</v>
      </c>
      <c r="E113" s="1" t="s">
        <v>911</v>
      </c>
      <c r="F113" s="1" t="s">
        <v>585</v>
      </c>
      <c r="G113" s="22" t="s">
        <v>556</v>
      </c>
      <c r="H113" s="1"/>
      <c r="I113" s="1" t="s">
        <v>22</v>
      </c>
      <c r="J113" s="1" t="s">
        <v>398</v>
      </c>
      <c r="N113" s="4">
        <v>1042347003</v>
      </c>
      <c r="O113" s="1" t="s">
        <v>813</v>
      </c>
    </row>
    <row r="114" spans="1:15" ht="75" x14ac:dyDescent="0.25">
      <c r="B114" s="1" t="s">
        <v>915</v>
      </c>
      <c r="D114" s="1" t="s">
        <v>587</v>
      </c>
      <c r="E114" s="1" t="s">
        <v>912</v>
      </c>
      <c r="F114" s="1" t="s">
        <v>585</v>
      </c>
      <c r="G114" s="22" t="s">
        <v>556</v>
      </c>
      <c r="I114" s="1" t="s">
        <v>22</v>
      </c>
      <c r="J114" s="1" t="s">
        <v>398</v>
      </c>
      <c r="N114" s="4">
        <v>1042347003</v>
      </c>
      <c r="O114" s="1" t="s">
        <v>813</v>
      </c>
    </row>
    <row r="115" spans="1:15" ht="75" x14ac:dyDescent="0.25">
      <c r="B115" s="1" t="s">
        <v>915</v>
      </c>
      <c r="D115" s="1" t="s">
        <v>588</v>
      </c>
      <c r="E115" s="1" t="s">
        <v>913</v>
      </c>
      <c r="F115" s="1" t="s">
        <v>585</v>
      </c>
      <c r="G115" s="22" t="s">
        <v>556</v>
      </c>
      <c r="I115" s="1" t="s">
        <v>22</v>
      </c>
      <c r="J115" s="1" t="s">
        <v>398</v>
      </c>
      <c r="N115" s="4">
        <v>1042347003</v>
      </c>
      <c r="O115" s="1" t="s">
        <v>813</v>
      </c>
    </row>
  </sheetData>
  <autoFilter ref="A1:AG101" xr:uid="{79F6950A-D734-4B90-9E33-D37FA7A2D6A5}">
    <sortState xmlns:xlrd2="http://schemas.microsoft.com/office/spreadsheetml/2017/richdata2" ref="A2:AG115">
      <sortCondition ref="E1:E101"/>
    </sortState>
  </autoFilter>
  <phoneticPr fontId="2"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6F73E-5A87-4324-B0A3-0D09DEFB0D97}">
  <sheetPr>
    <tabColor rgb="FF00B0F0"/>
  </sheetPr>
  <dimension ref="A1:U28"/>
  <sheetViews>
    <sheetView topLeftCell="F1" zoomScaleNormal="100" workbookViewId="0">
      <pane ySplit="1" topLeftCell="A26" activePane="bottomLeft" state="frozen"/>
      <selection pane="bottomLeft" activeCell="O3" sqref="O3:O28"/>
    </sheetView>
  </sheetViews>
  <sheetFormatPr defaultRowHeight="15" x14ac:dyDescent="0.25"/>
  <cols>
    <col min="1" max="1" width="3.140625" style="4" bestFit="1" customWidth="1"/>
    <col min="2" max="3" width="9.140625" style="3"/>
    <col min="4" max="4" width="24" style="4" bestFit="1"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37" t="s">
        <v>0</v>
      </c>
      <c r="B1" s="38" t="s">
        <v>1</v>
      </c>
      <c r="C1" s="38" t="s">
        <v>1496</v>
      </c>
      <c r="D1" s="38" t="s">
        <v>3</v>
      </c>
      <c r="E1" s="38" t="s">
        <v>4</v>
      </c>
      <c r="F1" s="38" t="s">
        <v>5</v>
      </c>
      <c r="G1" s="38" t="s">
        <v>6</v>
      </c>
      <c r="H1" s="38" t="s">
        <v>7</v>
      </c>
      <c r="I1" s="39" t="s">
        <v>8</v>
      </c>
      <c r="J1" s="40" t="s">
        <v>9</v>
      </c>
      <c r="K1" s="40" t="s">
        <v>10</v>
      </c>
      <c r="L1" s="40" t="s">
        <v>11</v>
      </c>
      <c r="M1" s="40" t="s">
        <v>12</v>
      </c>
      <c r="N1" s="40" t="s">
        <v>13</v>
      </c>
      <c r="O1" s="9" t="s">
        <v>14</v>
      </c>
      <c r="P1" s="41" t="s">
        <v>15</v>
      </c>
      <c r="Q1" s="41" t="s">
        <v>16</v>
      </c>
      <c r="R1" s="26" t="s">
        <v>1484</v>
      </c>
      <c r="S1" s="26" t="s">
        <v>1485</v>
      </c>
      <c r="T1" s="26" t="s">
        <v>1486</v>
      </c>
      <c r="U1" s="26" t="s">
        <v>1487</v>
      </c>
    </row>
    <row r="2" spans="1:21" ht="60" x14ac:dyDescent="0.25">
      <c r="A2" s="42">
        <v>1</v>
      </c>
      <c r="B2" s="43" t="str">
        <f t="shared" ref="B2:B28" si="0">C2</f>
        <v>Y</v>
      </c>
      <c r="C2" s="43" t="s">
        <v>17</v>
      </c>
      <c r="D2" s="43" t="s">
        <v>1534</v>
      </c>
      <c r="E2" s="43" t="s">
        <v>1535</v>
      </c>
      <c r="F2" s="43" t="s">
        <v>53</v>
      </c>
      <c r="G2" s="43" t="s">
        <v>1536</v>
      </c>
      <c r="H2" s="42">
        <v>200</v>
      </c>
      <c r="I2" s="69" t="s">
        <v>22</v>
      </c>
      <c r="J2" s="69" t="s">
        <v>23</v>
      </c>
      <c r="K2" s="7" t="s">
        <v>927</v>
      </c>
      <c r="L2" s="7" t="s">
        <v>926</v>
      </c>
      <c r="M2" s="23" t="s">
        <v>921</v>
      </c>
      <c r="N2" s="1" t="s">
        <v>920</v>
      </c>
      <c r="O2" s="1" t="s">
        <v>23</v>
      </c>
      <c r="P2" s="73" t="s">
        <v>923</v>
      </c>
      <c r="Q2" s="69" t="s">
        <v>27</v>
      </c>
      <c r="S2" s="7"/>
    </row>
    <row r="3" spans="1:21" ht="76.5" x14ac:dyDescent="0.25">
      <c r="A3" s="42">
        <v>2</v>
      </c>
      <c r="B3" s="43" t="str">
        <f t="shared" si="0"/>
        <v>Y</v>
      </c>
      <c r="C3" s="43" t="s">
        <v>17</v>
      </c>
      <c r="D3" s="43" t="s">
        <v>1818</v>
      </c>
      <c r="E3" s="43" t="s">
        <v>1820</v>
      </c>
      <c r="F3" s="65" t="s">
        <v>44</v>
      </c>
      <c r="G3" s="66" t="s">
        <v>1497</v>
      </c>
      <c r="H3" s="42">
        <v>401</v>
      </c>
      <c r="I3" s="43" t="s">
        <v>22</v>
      </c>
      <c r="J3" s="43" t="s">
        <v>23</v>
      </c>
      <c r="K3" s="70" t="s">
        <v>927</v>
      </c>
      <c r="L3" s="83" t="s">
        <v>1828</v>
      </c>
      <c r="M3" s="67" t="s">
        <v>921</v>
      </c>
      <c r="N3" s="44" t="s">
        <v>920</v>
      </c>
      <c r="O3" s="7" t="s">
        <v>23</v>
      </c>
      <c r="P3" s="68" t="s">
        <v>923</v>
      </c>
      <c r="Q3" s="43" t="s">
        <v>27</v>
      </c>
    </row>
    <row r="4" spans="1:21" ht="84" customHeight="1" x14ac:dyDescent="0.25">
      <c r="A4" s="42">
        <v>3</v>
      </c>
      <c r="B4" s="43" t="str">
        <f t="shared" si="0"/>
        <v>Y</v>
      </c>
      <c r="C4" s="43" t="s">
        <v>17</v>
      </c>
      <c r="D4" s="43" t="s">
        <v>1819</v>
      </c>
      <c r="E4" s="43" t="s">
        <v>1821</v>
      </c>
      <c r="F4" s="65" t="s">
        <v>44</v>
      </c>
      <c r="G4" s="66" t="s">
        <v>1497</v>
      </c>
      <c r="H4" s="42">
        <v>401</v>
      </c>
      <c r="I4" s="43" t="s">
        <v>22</v>
      </c>
      <c r="J4" s="43" t="s">
        <v>23</v>
      </c>
      <c r="K4" s="83" t="s">
        <v>1827</v>
      </c>
      <c r="L4" s="70" t="s">
        <v>926</v>
      </c>
      <c r="M4" s="67" t="s">
        <v>921</v>
      </c>
      <c r="N4" s="44" t="s">
        <v>920</v>
      </c>
      <c r="O4" s="7" t="s">
        <v>23</v>
      </c>
      <c r="P4" s="68">
        <v>200061817815</v>
      </c>
      <c r="Q4" s="43" t="s">
        <v>27</v>
      </c>
    </row>
    <row r="5" spans="1:21" ht="76.5" x14ac:dyDescent="0.25">
      <c r="A5" s="42">
        <v>4</v>
      </c>
      <c r="B5" s="43" t="str">
        <f t="shared" si="0"/>
        <v>Y</v>
      </c>
      <c r="C5" s="43" t="s">
        <v>17</v>
      </c>
      <c r="D5" s="43" t="s">
        <v>1498</v>
      </c>
      <c r="E5" s="43" t="s">
        <v>1499</v>
      </c>
      <c r="F5" s="65" t="s">
        <v>49</v>
      </c>
      <c r="G5" s="66" t="s">
        <v>1500</v>
      </c>
      <c r="H5" s="42">
        <v>401</v>
      </c>
      <c r="I5" s="43" t="s">
        <v>22</v>
      </c>
      <c r="J5" s="43" t="s">
        <v>23</v>
      </c>
      <c r="K5" s="44" t="s">
        <v>927</v>
      </c>
      <c r="L5" s="44" t="s">
        <v>926</v>
      </c>
      <c r="M5" s="84" t="s">
        <v>1822</v>
      </c>
      <c r="N5" s="44" t="s">
        <v>920</v>
      </c>
      <c r="O5" s="7" t="s">
        <v>23</v>
      </c>
      <c r="P5" s="68" t="s">
        <v>923</v>
      </c>
      <c r="Q5" s="43" t="s">
        <v>27</v>
      </c>
    </row>
    <row r="6" spans="1:21" ht="60" x14ac:dyDescent="0.25">
      <c r="A6" s="42">
        <v>5</v>
      </c>
      <c r="B6" s="43" t="str">
        <f t="shared" si="0"/>
        <v>Y</v>
      </c>
      <c r="C6" s="43" t="s">
        <v>17</v>
      </c>
      <c r="D6" s="43" t="s">
        <v>1509</v>
      </c>
      <c r="E6" s="43" t="s">
        <v>1510</v>
      </c>
      <c r="F6" s="43" t="s">
        <v>55</v>
      </c>
      <c r="G6" s="43" t="s">
        <v>1511</v>
      </c>
      <c r="H6" s="42">
        <v>400</v>
      </c>
      <c r="I6" s="43" t="s">
        <v>22</v>
      </c>
      <c r="J6" s="43" t="s">
        <v>23</v>
      </c>
      <c r="K6" s="44" t="s">
        <v>927</v>
      </c>
      <c r="L6" s="44" t="s">
        <v>926</v>
      </c>
      <c r="M6" s="67" t="s">
        <v>921</v>
      </c>
      <c r="N6" s="44" t="s">
        <v>920</v>
      </c>
      <c r="O6" s="7" t="s">
        <v>23</v>
      </c>
      <c r="P6" s="82"/>
      <c r="Q6" s="43" t="s">
        <v>27</v>
      </c>
    </row>
    <row r="7" spans="1:21" ht="60" x14ac:dyDescent="0.25">
      <c r="A7" s="42">
        <v>6</v>
      </c>
      <c r="B7" s="43" t="str">
        <f t="shared" si="0"/>
        <v>Y</v>
      </c>
      <c r="C7" s="43" t="s">
        <v>17</v>
      </c>
      <c r="D7" s="43" t="s">
        <v>1509</v>
      </c>
      <c r="E7" s="43" t="s">
        <v>1838</v>
      </c>
      <c r="F7" s="43" t="s">
        <v>55</v>
      </c>
      <c r="G7" s="43" t="s">
        <v>1511</v>
      </c>
      <c r="H7" s="42">
        <v>400</v>
      </c>
      <c r="I7" s="43" t="s">
        <v>22</v>
      </c>
      <c r="J7" s="43" t="s">
        <v>23</v>
      </c>
      <c r="K7" s="44" t="s">
        <v>927</v>
      </c>
      <c r="L7" s="44" t="s">
        <v>926</v>
      </c>
      <c r="M7" s="67" t="s">
        <v>921</v>
      </c>
      <c r="N7" s="44" t="s">
        <v>920</v>
      </c>
      <c r="O7" s="7" t="s">
        <v>23</v>
      </c>
      <c r="P7" s="68" t="s">
        <v>923</v>
      </c>
      <c r="Q7" s="82"/>
    </row>
    <row r="8" spans="1:21" ht="75" x14ac:dyDescent="0.25">
      <c r="A8" s="42">
        <v>7</v>
      </c>
      <c r="B8" s="43" t="str">
        <f t="shared" si="0"/>
        <v>Y</v>
      </c>
      <c r="C8" s="43" t="s">
        <v>17</v>
      </c>
      <c r="D8" s="43" t="s">
        <v>1515</v>
      </c>
      <c r="E8" s="43" t="s">
        <v>1516</v>
      </c>
      <c r="F8" s="43" t="s">
        <v>63</v>
      </c>
      <c r="G8" s="43" t="s">
        <v>1517</v>
      </c>
      <c r="H8" s="42">
        <v>200</v>
      </c>
      <c r="I8" s="69" t="s">
        <v>22</v>
      </c>
      <c r="J8" s="69" t="s">
        <v>23</v>
      </c>
      <c r="K8" s="70" t="s">
        <v>927</v>
      </c>
      <c r="L8" s="70" t="s">
        <v>926</v>
      </c>
      <c r="M8" s="71" t="s">
        <v>921</v>
      </c>
      <c r="N8" s="70" t="s">
        <v>920</v>
      </c>
      <c r="O8" s="72" t="s">
        <v>23</v>
      </c>
      <c r="P8" s="73">
        <v>200061817815</v>
      </c>
      <c r="Q8" s="69" t="s">
        <v>27</v>
      </c>
    </row>
    <row r="9" spans="1:21" ht="60" x14ac:dyDescent="0.25">
      <c r="A9" s="42">
        <v>8</v>
      </c>
      <c r="B9" s="43" t="str">
        <f t="shared" si="0"/>
        <v>Y</v>
      </c>
      <c r="C9" s="43" t="s">
        <v>17</v>
      </c>
      <c r="D9" s="43" t="s">
        <v>1518</v>
      </c>
      <c r="E9" s="43" t="s">
        <v>1519</v>
      </c>
      <c r="F9" s="43" t="s">
        <v>67</v>
      </c>
      <c r="G9" s="43" t="s">
        <v>68</v>
      </c>
      <c r="H9" s="42">
        <v>200</v>
      </c>
      <c r="I9" s="69" t="s">
        <v>22</v>
      </c>
      <c r="J9" s="69" t="s">
        <v>23</v>
      </c>
      <c r="K9" s="70" t="s">
        <v>927</v>
      </c>
      <c r="L9" s="70" t="s">
        <v>926</v>
      </c>
      <c r="M9" s="71" t="s">
        <v>921</v>
      </c>
      <c r="N9" s="70" t="s">
        <v>920</v>
      </c>
      <c r="O9" s="72" t="s">
        <v>23</v>
      </c>
      <c r="P9" s="73">
        <v>200061817815</v>
      </c>
      <c r="Q9" s="69" t="s">
        <v>27</v>
      </c>
    </row>
    <row r="10" spans="1:21" ht="60" x14ac:dyDescent="0.25">
      <c r="A10" s="42">
        <v>9</v>
      </c>
      <c r="B10" s="43" t="str">
        <f t="shared" si="0"/>
        <v>Y</v>
      </c>
      <c r="C10" s="43" t="s">
        <v>17</v>
      </c>
      <c r="D10" s="43" t="s">
        <v>1520</v>
      </c>
      <c r="E10" s="43" t="s">
        <v>1521</v>
      </c>
      <c r="F10" s="43" t="s">
        <v>71</v>
      </c>
      <c r="G10" s="43" t="s">
        <v>72</v>
      </c>
      <c r="H10" s="42">
        <v>200</v>
      </c>
      <c r="I10" s="69" t="s">
        <v>22</v>
      </c>
      <c r="J10" s="69" t="s">
        <v>23</v>
      </c>
      <c r="K10" s="70" t="s">
        <v>927</v>
      </c>
      <c r="L10" s="70" t="s">
        <v>926</v>
      </c>
      <c r="M10" s="71" t="s">
        <v>921</v>
      </c>
      <c r="N10" s="70" t="s">
        <v>920</v>
      </c>
      <c r="O10" s="72" t="s">
        <v>23</v>
      </c>
      <c r="P10" s="73">
        <v>200061817815</v>
      </c>
      <c r="Q10" s="69" t="s">
        <v>27</v>
      </c>
    </row>
    <row r="11" spans="1:21" ht="60" x14ac:dyDescent="0.25">
      <c r="A11" s="42">
        <v>10</v>
      </c>
      <c r="B11" s="43" t="str">
        <f t="shared" si="0"/>
        <v>Y</v>
      </c>
      <c r="C11" s="43" t="s">
        <v>17</v>
      </c>
      <c r="D11" s="43" t="s">
        <v>1829</v>
      </c>
      <c r="E11" s="43" t="s">
        <v>1823</v>
      </c>
      <c r="F11" s="43" t="s">
        <v>75</v>
      </c>
      <c r="G11" s="43" t="s">
        <v>1522</v>
      </c>
      <c r="H11" s="42">
        <v>401</v>
      </c>
      <c r="I11" s="69" t="s">
        <v>22</v>
      </c>
      <c r="J11" s="69" t="s">
        <v>23</v>
      </c>
      <c r="K11" s="70" t="s">
        <v>927</v>
      </c>
      <c r="L11" s="83" t="s">
        <v>1828</v>
      </c>
      <c r="M11" s="71" t="s">
        <v>921</v>
      </c>
      <c r="N11" s="70" t="s">
        <v>920</v>
      </c>
      <c r="O11" s="72" t="s">
        <v>23</v>
      </c>
      <c r="P11" s="73">
        <v>200061817815</v>
      </c>
      <c r="Q11" s="69" t="s">
        <v>27</v>
      </c>
    </row>
    <row r="12" spans="1:21" ht="60" x14ac:dyDescent="0.25">
      <c r="A12" s="42">
        <v>11</v>
      </c>
      <c r="B12" s="43" t="str">
        <f t="shared" si="0"/>
        <v>Y</v>
      </c>
      <c r="C12" s="43" t="s">
        <v>17</v>
      </c>
      <c r="D12" s="43" t="s">
        <v>1830</v>
      </c>
      <c r="E12" s="43" t="s">
        <v>1824</v>
      </c>
      <c r="F12" s="43" t="s">
        <v>75</v>
      </c>
      <c r="G12" s="43" t="s">
        <v>1522</v>
      </c>
      <c r="H12" s="42">
        <v>401</v>
      </c>
      <c r="I12" s="69" t="s">
        <v>22</v>
      </c>
      <c r="J12" s="69" t="s">
        <v>23</v>
      </c>
      <c r="K12" s="83" t="s">
        <v>1827</v>
      </c>
      <c r="L12" s="70" t="s">
        <v>926</v>
      </c>
      <c r="M12" s="71" t="s">
        <v>921</v>
      </c>
      <c r="N12" s="70" t="s">
        <v>920</v>
      </c>
      <c r="O12" s="72" t="s">
        <v>23</v>
      </c>
      <c r="P12" s="73">
        <v>200061817815</v>
      </c>
      <c r="Q12" s="69" t="s">
        <v>27</v>
      </c>
    </row>
    <row r="13" spans="1:21" ht="60" x14ac:dyDescent="0.25">
      <c r="A13" s="42">
        <v>12</v>
      </c>
      <c r="B13" s="43" t="str">
        <f t="shared" si="0"/>
        <v>Y</v>
      </c>
      <c r="C13" s="43" t="s">
        <v>17</v>
      </c>
      <c r="D13" s="43" t="s">
        <v>1831</v>
      </c>
      <c r="E13" s="43" t="s">
        <v>1825</v>
      </c>
      <c r="F13" s="43" t="s">
        <v>75</v>
      </c>
      <c r="G13" s="43" t="s">
        <v>1522</v>
      </c>
      <c r="H13" s="42">
        <v>401</v>
      </c>
      <c r="I13" s="69" t="s">
        <v>22</v>
      </c>
      <c r="J13" s="69" t="s">
        <v>23</v>
      </c>
      <c r="K13" s="70" t="s">
        <v>927</v>
      </c>
      <c r="L13" s="70"/>
      <c r="M13" s="71" t="s">
        <v>921</v>
      </c>
      <c r="N13" s="70" t="s">
        <v>920</v>
      </c>
      <c r="O13" s="72" t="s">
        <v>23</v>
      </c>
      <c r="P13" s="73">
        <v>200061817815</v>
      </c>
      <c r="Q13" s="69" t="s">
        <v>27</v>
      </c>
    </row>
    <row r="14" spans="1:21" ht="60" x14ac:dyDescent="0.25">
      <c r="A14" s="42">
        <v>13</v>
      </c>
      <c r="B14" s="43" t="str">
        <f t="shared" si="0"/>
        <v>Y</v>
      </c>
      <c r="C14" s="43" t="s">
        <v>17</v>
      </c>
      <c r="D14" s="43" t="s">
        <v>1832</v>
      </c>
      <c r="E14" s="43" t="s">
        <v>1826</v>
      </c>
      <c r="F14" s="43" t="s">
        <v>75</v>
      </c>
      <c r="G14" s="43" t="s">
        <v>1522</v>
      </c>
      <c r="H14" s="42">
        <v>401</v>
      </c>
      <c r="I14" s="69" t="s">
        <v>22</v>
      </c>
      <c r="J14" s="69" t="s">
        <v>23</v>
      </c>
      <c r="K14" s="70"/>
      <c r="L14" s="70" t="s">
        <v>926</v>
      </c>
      <c r="M14" s="71" t="s">
        <v>921</v>
      </c>
      <c r="N14" s="70" t="s">
        <v>920</v>
      </c>
      <c r="O14" s="72" t="s">
        <v>23</v>
      </c>
      <c r="P14" s="73">
        <v>200061817815</v>
      </c>
      <c r="Q14" s="69" t="s">
        <v>27</v>
      </c>
    </row>
    <row r="15" spans="1:21" ht="60" x14ac:dyDescent="0.25">
      <c r="A15" s="42">
        <v>14</v>
      </c>
      <c r="B15" s="43" t="str">
        <f t="shared" si="0"/>
        <v>Y</v>
      </c>
      <c r="C15" s="43" t="s">
        <v>17</v>
      </c>
      <c r="D15" s="43" t="s">
        <v>1836</v>
      </c>
      <c r="E15" s="43" t="s">
        <v>1834</v>
      </c>
      <c r="F15" s="43" t="s">
        <v>75</v>
      </c>
      <c r="G15" s="43" t="s">
        <v>1523</v>
      </c>
      <c r="H15" s="42">
        <v>400</v>
      </c>
      <c r="I15" s="69" t="s">
        <v>22</v>
      </c>
      <c r="J15" s="69" t="s">
        <v>23</v>
      </c>
      <c r="K15" s="70" t="s">
        <v>927</v>
      </c>
      <c r="L15" s="70" t="s">
        <v>926</v>
      </c>
      <c r="M15" s="71" t="s">
        <v>921</v>
      </c>
      <c r="N15" s="70" t="s">
        <v>920</v>
      </c>
      <c r="O15" s="72" t="s">
        <v>23</v>
      </c>
      <c r="P15" s="82"/>
      <c r="Q15" s="69" t="s">
        <v>27</v>
      </c>
    </row>
    <row r="16" spans="1:21" ht="60" x14ac:dyDescent="0.25">
      <c r="A16" s="42">
        <v>15</v>
      </c>
      <c r="B16" s="43" t="str">
        <f t="shared" si="0"/>
        <v>Y</v>
      </c>
      <c r="C16" s="43" t="s">
        <v>17</v>
      </c>
      <c r="D16" s="43" t="s">
        <v>1833</v>
      </c>
      <c r="E16" s="43" t="s">
        <v>1835</v>
      </c>
      <c r="F16" s="43" t="s">
        <v>83</v>
      </c>
      <c r="G16" s="43" t="s">
        <v>1523</v>
      </c>
      <c r="H16" s="42">
        <v>400</v>
      </c>
      <c r="I16" s="69" t="s">
        <v>22</v>
      </c>
      <c r="J16" s="69" t="s">
        <v>23</v>
      </c>
      <c r="K16" s="70" t="s">
        <v>927</v>
      </c>
      <c r="L16" s="70" t="s">
        <v>926</v>
      </c>
      <c r="M16" s="71" t="s">
        <v>921</v>
      </c>
      <c r="N16" s="70" t="s">
        <v>920</v>
      </c>
      <c r="O16" s="72" t="s">
        <v>23</v>
      </c>
      <c r="P16" s="82">
        <v>200061817716</v>
      </c>
      <c r="Q16" s="69" t="s">
        <v>27</v>
      </c>
    </row>
    <row r="17" spans="1:17" ht="60" x14ac:dyDescent="0.25">
      <c r="A17" s="42">
        <v>16</v>
      </c>
      <c r="B17" s="43" t="str">
        <f t="shared" si="0"/>
        <v>Y</v>
      </c>
      <c r="C17" s="43" t="s">
        <v>17</v>
      </c>
      <c r="D17" s="43" t="s">
        <v>1524</v>
      </c>
      <c r="E17" s="43" t="s">
        <v>1525</v>
      </c>
      <c r="F17" s="43" t="s">
        <v>91</v>
      </c>
      <c r="G17" s="43" t="s">
        <v>1523</v>
      </c>
      <c r="H17" s="42">
        <v>400</v>
      </c>
      <c r="I17" s="69" t="s">
        <v>22</v>
      </c>
      <c r="J17" s="69" t="s">
        <v>23</v>
      </c>
      <c r="K17" s="70" t="s">
        <v>927</v>
      </c>
      <c r="L17" s="70" t="s">
        <v>926</v>
      </c>
      <c r="M17" s="71" t="s">
        <v>921</v>
      </c>
      <c r="N17" s="70" t="s">
        <v>920</v>
      </c>
      <c r="O17" s="72" t="s">
        <v>23</v>
      </c>
      <c r="P17" s="82" t="s">
        <v>1816</v>
      </c>
      <c r="Q17" s="69" t="s">
        <v>27</v>
      </c>
    </row>
    <row r="18" spans="1:17" ht="60" x14ac:dyDescent="0.25">
      <c r="A18" s="42">
        <v>17</v>
      </c>
      <c r="B18" s="43" t="str">
        <f t="shared" si="0"/>
        <v>Y</v>
      </c>
      <c r="C18" s="43" t="s">
        <v>17</v>
      </c>
      <c r="D18" s="43" t="s">
        <v>1526</v>
      </c>
      <c r="E18" s="43" t="s">
        <v>1527</v>
      </c>
      <c r="F18" s="43" t="s">
        <v>94</v>
      </c>
      <c r="G18" s="43" t="s">
        <v>1523</v>
      </c>
      <c r="H18" s="42">
        <v>400</v>
      </c>
      <c r="I18" s="69" t="s">
        <v>22</v>
      </c>
      <c r="J18" s="69" t="s">
        <v>23</v>
      </c>
      <c r="K18" s="70" t="s">
        <v>927</v>
      </c>
      <c r="L18" s="70" t="s">
        <v>926</v>
      </c>
      <c r="M18" s="71" t="s">
        <v>921</v>
      </c>
      <c r="N18" s="70" t="s">
        <v>920</v>
      </c>
      <c r="O18" s="72" t="s">
        <v>23</v>
      </c>
      <c r="P18" s="82" t="s">
        <v>1837</v>
      </c>
      <c r="Q18" s="69" t="s">
        <v>27</v>
      </c>
    </row>
    <row r="19" spans="1:17" ht="60" x14ac:dyDescent="0.25">
      <c r="A19" s="42">
        <v>18</v>
      </c>
      <c r="B19" s="43" t="str">
        <f t="shared" si="0"/>
        <v>Y</v>
      </c>
      <c r="C19" s="43" t="s">
        <v>17</v>
      </c>
      <c r="D19" s="43" t="s">
        <v>1528</v>
      </c>
      <c r="E19" s="43" t="s">
        <v>1529</v>
      </c>
      <c r="F19" s="43" t="s">
        <v>97</v>
      </c>
      <c r="G19" s="43" t="s">
        <v>1530</v>
      </c>
      <c r="H19" s="42">
        <v>200</v>
      </c>
      <c r="I19" s="69" t="s">
        <v>22</v>
      </c>
      <c r="J19" s="69" t="s">
        <v>23</v>
      </c>
      <c r="K19" s="70" t="s">
        <v>927</v>
      </c>
      <c r="L19" s="70" t="s">
        <v>926</v>
      </c>
      <c r="M19" s="71" t="s">
        <v>921</v>
      </c>
      <c r="N19" s="70" t="s">
        <v>920</v>
      </c>
      <c r="O19" s="72" t="s">
        <v>23</v>
      </c>
      <c r="P19" s="73" t="s">
        <v>923</v>
      </c>
      <c r="Q19" s="69" t="s">
        <v>27</v>
      </c>
    </row>
    <row r="20" spans="1:17" ht="60" x14ac:dyDescent="0.25">
      <c r="A20" s="42">
        <v>19</v>
      </c>
      <c r="B20" s="43" t="str">
        <f t="shared" si="0"/>
        <v>Y</v>
      </c>
      <c r="C20" s="43" t="s">
        <v>17</v>
      </c>
      <c r="D20" s="43" t="s">
        <v>1531</v>
      </c>
      <c r="E20" s="43" t="s">
        <v>1532</v>
      </c>
      <c r="F20" s="43" t="s">
        <v>101</v>
      </c>
      <c r="G20" s="43" t="s">
        <v>1533</v>
      </c>
      <c r="H20" s="42">
        <v>400</v>
      </c>
      <c r="I20" s="69" t="s">
        <v>22</v>
      </c>
      <c r="J20" s="69" t="s">
        <v>23</v>
      </c>
      <c r="K20" s="70" t="s">
        <v>927</v>
      </c>
      <c r="L20" s="70" t="s">
        <v>926</v>
      </c>
      <c r="M20" s="71" t="s">
        <v>921</v>
      </c>
      <c r="N20" s="70" t="s">
        <v>920</v>
      </c>
      <c r="O20" s="72" t="s">
        <v>23</v>
      </c>
      <c r="P20" s="73" t="s">
        <v>923</v>
      </c>
      <c r="Q20" s="85" t="s">
        <v>1817</v>
      </c>
    </row>
    <row r="21" spans="1:17" ht="75" x14ac:dyDescent="0.25">
      <c r="A21" s="42">
        <v>20</v>
      </c>
      <c r="B21" s="64" t="str">
        <f>C21</f>
        <v>Y</v>
      </c>
      <c r="C21" s="64" t="s">
        <v>17</v>
      </c>
      <c r="D21" s="64" t="s">
        <v>589</v>
      </c>
      <c r="E21" s="64" t="s">
        <v>590</v>
      </c>
      <c r="F21" s="64" t="s">
        <v>591</v>
      </c>
      <c r="G21" s="64" t="s">
        <v>21</v>
      </c>
      <c r="H21" s="75">
        <v>200</v>
      </c>
      <c r="I21" s="64" t="s">
        <v>22</v>
      </c>
      <c r="J21" s="64" t="s">
        <v>23</v>
      </c>
      <c r="K21" s="64"/>
      <c r="L21" s="64"/>
      <c r="M21" s="76"/>
      <c r="N21" s="64"/>
      <c r="O21" s="77" t="s">
        <v>23</v>
      </c>
      <c r="P21" s="78">
        <v>200061817815</v>
      </c>
      <c r="Q21" s="64" t="s">
        <v>27</v>
      </c>
    </row>
    <row r="22" spans="1:17" ht="75" x14ac:dyDescent="0.25">
      <c r="A22" s="42">
        <v>21</v>
      </c>
      <c r="B22" s="64" t="str">
        <f t="shared" si="0"/>
        <v>Y</v>
      </c>
      <c r="C22" s="64" t="s">
        <v>17</v>
      </c>
      <c r="D22" s="64" t="s">
        <v>592</v>
      </c>
      <c r="E22" s="64" t="s">
        <v>593</v>
      </c>
      <c r="F22" s="64" t="s">
        <v>30</v>
      </c>
      <c r="G22" s="64" t="s">
        <v>31</v>
      </c>
      <c r="H22" s="75">
        <v>401</v>
      </c>
      <c r="I22" s="64" t="s">
        <v>22</v>
      </c>
      <c r="J22" s="64" t="s">
        <v>23</v>
      </c>
      <c r="K22" s="64"/>
      <c r="L22" s="64"/>
      <c r="M22" s="76"/>
      <c r="N22" s="64"/>
      <c r="O22" s="77" t="s">
        <v>23</v>
      </c>
      <c r="P22" s="78"/>
      <c r="Q22" s="64" t="s">
        <v>27</v>
      </c>
    </row>
    <row r="23" spans="1:17" ht="75" x14ac:dyDescent="0.25">
      <c r="A23" s="42">
        <v>22</v>
      </c>
      <c r="B23" s="64" t="str">
        <f t="shared" si="0"/>
        <v>Y</v>
      </c>
      <c r="C23" s="64" t="s">
        <v>17</v>
      </c>
      <c r="D23" s="64" t="s">
        <v>594</v>
      </c>
      <c r="E23" s="64" t="s">
        <v>595</v>
      </c>
      <c r="F23" s="64" t="s">
        <v>596</v>
      </c>
      <c r="G23" s="64" t="s">
        <v>35</v>
      </c>
      <c r="H23" s="75">
        <v>401</v>
      </c>
      <c r="I23" s="64" t="s">
        <v>22</v>
      </c>
      <c r="J23" s="64" t="s">
        <v>23</v>
      </c>
      <c r="K23" s="64"/>
      <c r="L23" s="64"/>
      <c r="M23" s="76"/>
      <c r="N23" s="64"/>
      <c r="O23" s="77" t="s">
        <v>23</v>
      </c>
      <c r="P23" s="78"/>
      <c r="Q23" s="64" t="s">
        <v>27</v>
      </c>
    </row>
    <row r="24" spans="1:17" ht="75" x14ac:dyDescent="0.25">
      <c r="A24" s="42">
        <v>23</v>
      </c>
      <c r="B24" s="64" t="str">
        <f t="shared" si="0"/>
        <v>Y</v>
      </c>
      <c r="C24" s="64" t="s">
        <v>17</v>
      </c>
      <c r="D24" s="64" t="s">
        <v>597</v>
      </c>
      <c r="E24" s="64" t="s">
        <v>598</v>
      </c>
      <c r="F24" s="64" t="s">
        <v>38</v>
      </c>
      <c r="G24" s="64" t="s">
        <v>35</v>
      </c>
      <c r="H24" s="75">
        <v>401</v>
      </c>
      <c r="I24" s="64" t="s">
        <v>22</v>
      </c>
      <c r="J24" s="64" t="s">
        <v>23</v>
      </c>
      <c r="K24" s="64"/>
      <c r="L24" s="64"/>
      <c r="M24" s="76"/>
      <c r="N24" s="64"/>
      <c r="O24" s="77" t="s">
        <v>23</v>
      </c>
      <c r="P24" s="78"/>
      <c r="Q24" s="64" t="s">
        <v>27</v>
      </c>
    </row>
    <row r="25" spans="1:17" ht="75" x14ac:dyDescent="0.25">
      <c r="A25" s="42">
        <v>24</v>
      </c>
      <c r="B25" s="64" t="str">
        <f t="shared" si="0"/>
        <v>Y</v>
      </c>
      <c r="C25" s="64" t="s">
        <v>17</v>
      </c>
      <c r="D25" s="64" t="s">
        <v>599</v>
      </c>
      <c r="E25" s="64" t="s">
        <v>600</v>
      </c>
      <c r="F25" s="64" t="s">
        <v>41</v>
      </c>
      <c r="G25" s="64" t="s">
        <v>35</v>
      </c>
      <c r="H25" s="75">
        <v>401</v>
      </c>
      <c r="I25" s="64" t="s">
        <v>22</v>
      </c>
      <c r="J25" s="64" t="s">
        <v>23</v>
      </c>
      <c r="K25" s="64"/>
      <c r="L25" s="64"/>
      <c r="M25" s="76"/>
      <c r="N25" s="64"/>
      <c r="O25" s="77" t="s">
        <v>23</v>
      </c>
      <c r="P25" s="78"/>
      <c r="Q25" s="64" t="s">
        <v>27</v>
      </c>
    </row>
    <row r="26" spans="1:17" ht="189" x14ac:dyDescent="0.25">
      <c r="A26" s="42">
        <v>25</v>
      </c>
      <c r="B26" s="64" t="str">
        <f t="shared" si="0"/>
        <v>Y</v>
      </c>
      <c r="C26" s="64" t="s">
        <v>17</v>
      </c>
      <c r="D26" s="64" t="s">
        <v>1501</v>
      </c>
      <c r="E26" s="64" t="s">
        <v>1502</v>
      </c>
      <c r="F26" s="64" t="s">
        <v>1503</v>
      </c>
      <c r="G26" s="79" t="s">
        <v>1504</v>
      </c>
      <c r="H26" s="74">
        <v>403</v>
      </c>
      <c r="I26" s="64" t="s">
        <v>22</v>
      </c>
      <c r="J26" s="64" t="s">
        <v>23</v>
      </c>
      <c r="K26" s="80" t="s">
        <v>1815</v>
      </c>
      <c r="L26" s="64"/>
      <c r="M26" s="76"/>
      <c r="N26" s="64"/>
      <c r="O26" s="77" t="s">
        <v>23</v>
      </c>
      <c r="P26" s="78" t="s">
        <v>923</v>
      </c>
      <c r="Q26" s="64" t="s">
        <v>27</v>
      </c>
    </row>
    <row r="27" spans="1:17" ht="240" x14ac:dyDescent="0.25">
      <c r="A27" s="42">
        <v>26</v>
      </c>
      <c r="B27" s="64" t="str">
        <f t="shared" si="0"/>
        <v>Y</v>
      </c>
      <c r="C27" s="64" t="s">
        <v>17</v>
      </c>
      <c r="D27" s="64" t="s">
        <v>1505</v>
      </c>
      <c r="E27" s="64" t="s">
        <v>1506</v>
      </c>
      <c r="F27" s="79" t="s">
        <v>1507</v>
      </c>
      <c r="G27" s="64" t="s">
        <v>1508</v>
      </c>
      <c r="H27" s="74">
        <v>403</v>
      </c>
      <c r="I27" s="64" t="s">
        <v>22</v>
      </c>
      <c r="J27" s="64" t="s">
        <v>23</v>
      </c>
      <c r="K27" s="80" t="s">
        <v>927</v>
      </c>
      <c r="L27" s="80" t="s">
        <v>926</v>
      </c>
      <c r="M27" s="81" t="s">
        <v>921</v>
      </c>
      <c r="N27" s="80" t="s">
        <v>920</v>
      </c>
      <c r="O27" s="77" t="s">
        <v>23</v>
      </c>
      <c r="P27" s="78" t="s">
        <v>923</v>
      </c>
      <c r="Q27" s="64" t="s">
        <v>27</v>
      </c>
    </row>
    <row r="28" spans="1:17" ht="60" x14ac:dyDescent="0.25">
      <c r="A28" s="42">
        <v>27</v>
      </c>
      <c r="B28" s="64" t="str">
        <f t="shared" si="0"/>
        <v>Y</v>
      </c>
      <c r="C28" s="64" t="s">
        <v>17</v>
      </c>
      <c r="D28" s="64" t="s">
        <v>1512</v>
      </c>
      <c r="E28" s="64" t="s">
        <v>1513</v>
      </c>
      <c r="F28" s="64" t="s">
        <v>59</v>
      </c>
      <c r="G28" s="64" t="s">
        <v>1514</v>
      </c>
      <c r="H28" s="74">
        <v>403</v>
      </c>
      <c r="I28" s="64" t="s">
        <v>22</v>
      </c>
      <c r="J28" s="64" t="s">
        <v>23</v>
      </c>
      <c r="K28" s="80" t="s">
        <v>927</v>
      </c>
      <c r="L28" s="80" t="s">
        <v>926</v>
      </c>
      <c r="M28" s="81" t="s">
        <v>921</v>
      </c>
      <c r="N28" s="80" t="s">
        <v>920</v>
      </c>
      <c r="O28" s="77" t="s">
        <v>23</v>
      </c>
      <c r="P28" s="78" t="s">
        <v>923</v>
      </c>
      <c r="Q28" s="64" t="s">
        <v>27</v>
      </c>
    </row>
  </sheetData>
  <autoFilter ref="F1:F20" xr:uid="{F796F73E-5A87-4324-B0A3-0D09DEFB0D97}"/>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4C430-27D2-4BA9-9F89-F238E906176E}">
  <sheetPr>
    <tabColor rgb="FF00B0F0"/>
  </sheetPr>
  <dimension ref="A1:Q15"/>
  <sheetViews>
    <sheetView topLeftCell="E1" workbookViewId="0">
      <pane ySplit="1" topLeftCell="A2" activePane="bottomLeft" state="frozen"/>
      <selection activeCell="D9" sqref="D9"/>
      <selection pane="bottomLeft" activeCell="E4" sqref="E4"/>
    </sheetView>
  </sheetViews>
  <sheetFormatPr defaultColWidth="9.140625"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4"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4" max="17" width="8.85546875" customWidth="1"/>
    <col min="18" max="16384" width="9.140625" style="4"/>
  </cols>
  <sheetData>
    <row r="1" spans="1:17" s="8" customFormat="1" ht="45" x14ac:dyDescent="0.25">
      <c r="A1" s="8" t="s">
        <v>0</v>
      </c>
      <c r="B1" s="2" t="s">
        <v>1</v>
      </c>
      <c r="C1" s="2" t="s">
        <v>2</v>
      </c>
      <c r="D1" s="2" t="s">
        <v>3</v>
      </c>
      <c r="E1" s="2" t="s">
        <v>4</v>
      </c>
      <c r="F1" s="2" t="s">
        <v>5</v>
      </c>
      <c r="G1" s="8" t="s">
        <v>6</v>
      </c>
      <c r="H1" s="2" t="s">
        <v>7</v>
      </c>
      <c r="I1" s="13" t="s">
        <v>8</v>
      </c>
      <c r="J1" s="14" t="s">
        <v>103</v>
      </c>
      <c r="K1" s="9" t="s">
        <v>12</v>
      </c>
      <c r="L1" s="9" t="s">
        <v>13</v>
      </c>
      <c r="M1" s="9" t="s">
        <v>104</v>
      </c>
      <c r="N1" s="26" t="s">
        <v>1484</v>
      </c>
      <c r="O1" s="26" t="s">
        <v>1485</v>
      </c>
      <c r="P1" s="26" t="s">
        <v>1486</v>
      </c>
      <c r="Q1" s="26" t="s">
        <v>1487</v>
      </c>
    </row>
    <row r="2" spans="1:17" ht="75" x14ac:dyDescent="0.25">
      <c r="A2" s="4">
        <v>1</v>
      </c>
      <c r="B2" s="1" t="s">
        <v>17</v>
      </c>
      <c r="C2" s="1"/>
      <c r="D2" s="1" t="s">
        <v>601</v>
      </c>
      <c r="E2" s="1" t="s">
        <v>602</v>
      </c>
      <c r="F2" s="1" t="s">
        <v>107</v>
      </c>
      <c r="G2" s="12" t="s">
        <v>108</v>
      </c>
      <c r="H2" s="5">
        <v>200</v>
      </c>
      <c r="I2" s="1" t="str">
        <f>"/send-funds/localft/v1/list/institutions?channel="&amp;J2</f>
        <v>/send-funds/localft/v1/list/institutions?channel=PESONET</v>
      </c>
      <c r="J2" s="1" t="s">
        <v>109</v>
      </c>
      <c r="K2" s="1" t="s">
        <v>110</v>
      </c>
      <c r="L2" s="7" t="s">
        <v>111</v>
      </c>
      <c r="M2" s="7" t="s">
        <v>112</v>
      </c>
    </row>
    <row r="3" spans="1:17" ht="75" x14ac:dyDescent="0.25">
      <c r="A3" s="4">
        <v>2</v>
      </c>
      <c r="B3" s="1" t="s">
        <v>17</v>
      </c>
      <c r="C3" s="1"/>
      <c r="D3" s="1" t="s">
        <v>603</v>
      </c>
      <c r="E3" s="1" t="s">
        <v>604</v>
      </c>
      <c r="F3" s="1" t="s">
        <v>115</v>
      </c>
      <c r="G3" s="12" t="s">
        <v>116</v>
      </c>
      <c r="H3" s="5">
        <v>200</v>
      </c>
      <c r="I3" s="1" t="str">
        <f t="shared" ref="I3:I15" si="0">"/send-funds/localft/v1/list/institutions?channel="&amp;J3</f>
        <v>/send-funds/localft/v1/list/institutions?channel=</v>
      </c>
      <c r="K3" s="1" t="s">
        <v>110</v>
      </c>
      <c r="L3" s="7" t="s">
        <v>111</v>
      </c>
      <c r="M3" s="7" t="s">
        <v>112</v>
      </c>
    </row>
    <row r="4" spans="1:17" ht="75" x14ac:dyDescent="0.25">
      <c r="A4" s="4">
        <v>3</v>
      </c>
      <c r="B4" s="1" t="s">
        <v>17</v>
      </c>
      <c r="C4" s="1"/>
      <c r="D4" s="1" t="s">
        <v>605</v>
      </c>
      <c r="E4" s="1" t="s">
        <v>606</v>
      </c>
      <c r="F4" s="1" t="s">
        <v>119</v>
      </c>
      <c r="G4" s="12" t="s">
        <v>120</v>
      </c>
      <c r="H4" s="5">
        <v>200</v>
      </c>
      <c r="I4" s="1" t="str">
        <f t="shared" si="0"/>
        <v>/send-funds/localft/v1/list/institutions?channel=Instapay</v>
      </c>
      <c r="J4" s="1" t="s">
        <v>121</v>
      </c>
      <c r="K4" s="1" t="s">
        <v>110</v>
      </c>
      <c r="L4" s="7" t="s">
        <v>111</v>
      </c>
      <c r="M4" s="7" t="s">
        <v>112</v>
      </c>
    </row>
    <row r="5" spans="1:17" ht="75" x14ac:dyDescent="0.25">
      <c r="A5" s="4">
        <v>4</v>
      </c>
      <c r="B5" s="1" t="s">
        <v>17</v>
      </c>
      <c r="C5" s="1"/>
      <c r="D5" s="1" t="s">
        <v>607</v>
      </c>
      <c r="E5" s="1" t="s">
        <v>608</v>
      </c>
      <c r="F5" s="1" t="s">
        <v>124</v>
      </c>
      <c r="G5" s="12" t="s">
        <v>125</v>
      </c>
      <c r="H5" s="5">
        <v>200</v>
      </c>
      <c r="I5" s="1" t="str">
        <f t="shared" si="0"/>
        <v>/send-funds/localft/v1/list/institutions?channel=PESONET</v>
      </c>
      <c r="J5" s="1" t="s">
        <v>109</v>
      </c>
      <c r="K5" s="1" t="s">
        <v>110</v>
      </c>
      <c r="L5" s="7" t="s">
        <v>111</v>
      </c>
      <c r="M5" s="7" t="s">
        <v>112</v>
      </c>
    </row>
    <row r="6" spans="1:17" ht="75" x14ac:dyDescent="0.25">
      <c r="A6" s="4">
        <v>5</v>
      </c>
      <c r="B6" s="1" t="s">
        <v>17</v>
      </c>
      <c r="C6" s="1"/>
      <c r="D6" s="1" t="s">
        <v>609</v>
      </c>
      <c r="E6" s="1" t="s">
        <v>610</v>
      </c>
      <c r="F6" s="1" t="s">
        <v>128</v>
      </c>
      <c r="G6" s="12" t="s">
        <v>129</v>
      </c>
      <c r="H6" s="5">
        <v>200</v>
      </c>
      <c r="I6" s="1" t="str">
        <f t="shared" si="0"/>
        <v>/send-funds/localft/v1/list/institutions?channel=</v>
      </c>
      <c r="K6" s="1" t="s">
        <v>110</v>
      </c>
      <c r="L6" s="7" t="s">
        <v>111</v>
      </c>
      <c r="M6" s="7" t="s">
        <v>112</v>
      </c>
    </row>
    <row r="7" spans="1:17" ht="75" x14ac:dyDescent="0.25">
      <c r="A7" s="4">
        <v>6</v>
      </c>
      <c r="B7" s="1" t="s">
        <v>17</v>
      </c>
      <c r="D7" s="1" t="s">
        <v>611</v>
      </c>
      <c r="E7" s="1" t="s">
        <v>612</v>
      </c>
      <c r="F7" s="1" t="s">
        <v>132</v>
      </c>
      <c r="G7" s="12" t="s">
        <v>613</v>
      </c>
      <c r="H7" s="5">
        <v>500</v>
      </c>
      <c r="I7" s="1" t="str">
        <f t="shared" si="0"/>
        <v>/send-funds/localft/v1/list/institutions?channel=</v>
      </c>
      <c r="K7" s="1" t="s">
        <v>110</v>
      </c>
      <c r="L7" s="7" t="s">
        <v>111</v>
      </c>
      <c r="M7" s="7" t="s">
        <v>112</v>
      </c>
    </row>
    <row r="8" spans="1:17" ht="75" x14ac:dyDescent="0.25">
      <c r="A8" s="4">
        <v>7</v>
      </c>
      <c r="B8" s="1" t="s">
        <v>17</v>
      </c>
      <c r="D8" s="1" t="s">
        <v>614</v>
      </c>
      <c r="E8" s="1" t="s">
        <v>615</v>
      </c>
      <c r="F8" s="1" t="s">
        <v>136</v>
      </c>
      <c r="G8" s="12" t="s">
        <v>144</v>
      </c>
      <c r="H8" s="5">
        <v>401</v>
      </c>
      <c r="I8" s="1" t="str">
        <f t="shared" si="0"/>
        <v>/send-funds/localft/v1/list/institutions?channel=</v>
      </c>
      <c r="K8" s="1" t="s">
        <v>110</v>
      </c>
      <c r="L8" s="7" t="s">
        <v>111</v>
      </c>
      <c r="M8" s="7" t="s">
        <v>112</v>
      </c>
    </row>
    <row r="9" spans="1:17" ht="75" x14ac:dyDescent="0.25">
      <c r="A9" s="4">
        <v>8</v>
      </c>
      <c r="B9" s="1" t="s">
        <v>17</v>
      </c>
      <c r="D9" s="1" t="s">
        <v>616</v>
      </c>
      <c r="E9" s="1" t="s">
        <v>617</v>
      </c>
      <c r="F9" s="1" t="s">
        <v>140</v>
      </c>
      <c r="G9" s="12" t="s">
        <v>137</v>
      </c>
      <c r="H9" s="5">
        <v>400</v>
      </c>
      <c r="I9" s="1" t="str">
        <f t="shared" si="0"/>
        <v>/send-funds/localft/v1/list/institutions?channel=</v>
      </c>
      <c r="K9" s="1" t="s">
        <v>110</v>
      </c>
      <c r="L9" s="7" t="s">
        <v>111</v>
      </c>
      <c r="M9" s="7" t="s">
        <v>112</v>
      </c>
    </row>
    <row r="10" spans="1:17" ht="75" x14ac:dyDescent="0.25">
      <c r="A10" s="4">
        <v>9</v>
      </c>
      <c r="B10" s="1" t="s">
        <v>17</v>
      </c>
      <c r="D10" s="1" t="s">
        <v>618</v>
      </c>
      <c r="E10" s="1" t="s">
        <v>619</v>
      </c>
      <c r="F10" s="1" t="s">
        <v>143</v>
      </c>
      <c r="G10" s="12" t="s">
        <v>144</v>
      </c>
      <c r="H10" s="5">
        <v>401</v>
      </c>
      <c r="I10" s="1" t="str">
        <f t="shared" si="0"/>
        <v>/send-funds/localft/v1/list/institutions?channel=</v>
      </c>
      <c r="K10" s="1" t="s">
        <v>110</v>
      </c>
      <c r="L10" s="7" t="s">
        <v>111</v>
      </c>
      <c r="M10" s="7" t="s">
        <v>112</v>
      </c>
    </row>
    <row r="11" spans="1:17" ht="75" x14ac:dyDescent="0.25">
      <c r="A11" s="4">
        <v>10</v>
      </c>
      <c r="B11" s="1" t="s">
        <v>17</v>
      </c>
      <c r="D11" s="1" t="s">
        <v>620</v>
      </c>
      <c r="E11" s="1" t="s">
        <v>621</v>
      </c>
      <c r="F11" s="1" t="s">
        <v>147</v>
      </c>
      <c r="G11" s="12" t="s">
        <v>144</v>
      </c>
      <c r="H11" s="5">
        <v>401</v>
      </c>
      <c r="I11" s="1" t="str">
        <f t="shared" si="0"/>
        <v>/send-funds/localft/v1/list/institutions?channel=</v>
      </c>
      <c r="K11" s="1" t="s">
        <v>110</v>
      </c>
      <c r="L11" s="7" t="s">
        <v>111</v>
      </c>
      <c r="M11" s="7" t="s">
        <v>112</v>
      </c>
    </row>
    <row r="12" spans="1:17" ht="75" x14ac:dyDescent="0.25">
      <c r="A12" s="4">
        <v>11</v>
      </c>
      <c r="B12" s="1" t="s">
        <v>17</v>
      </c>
      <c r="D12" s="1" t="s">
        <v>622</v>
      </c>
      <c r="E12" s="1" t="s">
        <v>623</v>
      </c>
      <c r="F12" s="1" t="s">
        <v>150</v>
      </c>
      <c r="G12" s="12" t="s">
        <v>151</v>
      </c>
      <c r="H12" s="5">
        <v>403</v>
      </c>
      <c r="I12" s="1" t="str">
        <f t="shared" si="0"/>
        <v>/send-funds/localft/v1/list/institutions?channel=</v>
      </c>
      <c r="K12" s="1" t="s">
        <v>110</v>
      </c>
      <c r="L12" s="7" t="s">
        <v>111</v>
      </c>
      <c r="M12" s="7" t="s">
        <v>112</v>
      </c>
    </row>
    <row r="13" spans="1:17" ht="75" x14ac:dyDescent="0.25">
      <c r="A13" s="4">
        <v>12</v>
      </c>
      <c r="B13" s="1" t="s">
        <v>17</v>
      </c>
      <c r="D13" s="1" t="s">
        <v>624</v>
      </c>
      <c r="E13" s="1" t="s">
        <v>625</v>
      </c>
      <c r="F13" s="1" t="s">
        <v>107</v>
      </c>
      <c r="G13" s="12" t="s">
        <v>154</v>
      </c>
      <c r="I13" s="1" t="str">
        <f t="shared" si="0"/>
        <v>/send-funds/localft/v1/list/institutions?channel=</v>
      </c>
      <c r="K13" s="1" t="s">
        <v>110</v>
      </c>
      <c r="L13" s="7" t="s">
        <v>111</v>
      </c>
      <c r="M13" s="7" t="s">
        <v>112</v>
      </c>
    </row>
    <row r="14" spans="1:17" ht="75" x14ac:dyDescent="0.25">
      <c r="A14" s="4">
        <v>13</v>
      </c>
      <c r="B14" s="1" t="s">
        <v>17</v>
      </c>
      <c r="D14" s="1" t="s">
        <v>626</v>
      </c>
      <c r="E14" s="1" t="s">
        <v>627</v>
      </c>
      <c r="F14" s="1" t="s">
        <v>157</v>
      </c>
      <c r="G14" s="12" t="s">
        <v>158</v>
      </c>
      <c r="H14" s="4">
        <v>200</v>
      </c>
      <c r="I14" s="1" t="str">
        <f t="shared" si="0"/>
        <v>/send-funds/localft/v1/list/institutions?channel=</v>
      </c>
      <c r="K14" s="1" t="s">
        <v>110</v>
      </c>
      <c r="L14" s="7" t="s">
        <v>111</v>
      </c>
      <c r="M14" s="7" t="s">
        <v>112</v>
      </c>
    </row>
    <row r="15" spans="1:17" ht="75" x14ac:dyDescent="0.25">
      <c r="A15" s="4">
        <v>14</v>
      </c>
      <c r="B15" s="1" t="s">
        <v>17</v>
      </c>
      <c r="D15" s="1" t="s">
        <v>628</v>
      </c>
      <c r="E15" s="1" t="s">
        <v>629</v>
      </c>
      <c r="F15" s="1" t="s">
        <v>161</v>
      </c>
      <c r="G15" s="12" t="s">
        <v>162</v>
      </c>
      <c r="H15" s="16">
        <v>400401403</v>
      </c>
      <c r="I15" s="1" t="str">
        <f t="shared" si="0"/>
        <v>/send-funds/localft/v1/list/institutions?channel=</v>
      </c>
      <c r="K15" s="1" t="s">
        <v>110</v>
      </c>
      <c r="L15" s="7" t="s">
        <v>111</v>
      </c>
      <c r="M15" s="7" t="s">
        <v>112</v>
      </c>
    </row>
  </sheetData>
  <phoneticPr fontId="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7C634-65F0-470F-92CF-B555CDB09432}">
  <sheetPr>
    <tabColor rgb="FF00B0F0"/>
  </sheetPr>
  <dimension ref="A1:R60"/>
  <sheetViews>
    <sheetView zoomScale="70" zoomScaleNormal="70" workbookViewId="0">
      <selection activeCell="F10" sqref="F10"/>
    </sheetView>
  </sheetViews>
  <sheetFormatPr defaultColWidth="9.140625"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0.42578125" style="1" bestFit="1" customWidth="1"/>
    <col min="11" max="11" width="10.42578125" style="1" customWidth="1"/>
    <col min="12" max="12" width="14" style="1" customWidth="1"/>
    <col min="13" max="14" width="11.42578125" style="1" customWidth="1"/>
    <col min="15" max="18" width="8.85546875" customWidth="1"/>
    <col min="19" max="16384" width="9.140625" style="4"/>
  </cols>
  <sheetData>
    <row r="1" spans="1:18" s="8" customFormat="1" ht="45" x14ac:dyDescent="0.25">
      <c r="A1" s="8" t="s">
        <v>0</v>
      </c>
      <c r="B1" s="2" t="s">
        <v>1</v>
      </c>
      <c r="C1" s="2" t="s">
        <v>2</v>
      </c>
      <c r="D1" s="2" t="s">
        <v>3</v>
      </c>
      <c r="E1" s="2" t="s">
        <v>4</v>
      </c>
      <c r="F1" s="2" t="s">
        <v>5</v>
      </c>
      <c r="G1" s="2" t="s">
        <v>6</v>
      </c>
      <c r="H1" s="2" t="s">
        <v>7</v>
      </c>
      <c r="I1" s="13" t="s">
        <v>8</v>
      </c>
      <c r="J1" s="14" t="s">
        <v>630</v>
      </c>
      <c r="K1" s="14" t="s">
        <v>631</v>
      </c>
      <c r="L1" s="9" t="s">
        <v>12</v>
      </c>
      <c r="M1" s="9" t="s">
        <v>13</v>
      </c>
      <c r="N1" s="9" t="s">
        <v>14</v>
      </c>
      <c r="O1" s="26" t="s">
        <v>1484</v>
      </c>
      <c r="P1" s="26" t="s">
        <v>1485</v>
      </c>
      <c r="Q1" s="26" t="s">
        <v>1486</v>
      </c>
      <c r="R1" s="26" t="s">
        <v>1487</v>
      </c>
    </row>
    <row r="2" spans="1:18" ht="75" x14ac:dyDescent="0.25">
      <c r="A2" s="4">
        <v>1</v>
      </c>
      <c r="B2" s="1" t="s">
        <v>17</v>
      </c>
      <c r="C2" s="1"/>
      <c r="D2" s="1" t="s">
        <v>184</v>
      </c>
      <c r="E2" s="1" t="s">
        <v>185</v>
      </c>
      <c r="F2" s="1" t="s">
        <v>186</v>
      </c>
      <c r="G2" s="1" t="s">
        <v>187</v>
      </c>
      <c r="H2" s="5">
        <v>200</v>
      </c>
      <c r="I2" s="1" t="s">
        <v>167</v>
      </c>
      <c r="J2" s="1">
        <v>459</v>
      </c>
      <c r="K2" s="7" t="s">
        <v>1488</v>
      </c>
      <c r="L2" s="1">
        <v>1042346954</v>
      </c>
      <c r="M2" s="7" t="s">
        <v>813</v>
      </c>
      <c r="N2" s="7" t="s">
        <v>23</v>
      </c>
    </row>
    <row r="3" spans="1:18" ht="75" x14ac:dyDescent="0.25">
      <c r="A3" s="4">
        <v>2</v>
      </c>
      <c r="B3" s="1" t="s">
        <v>17</v>
      </c>
      <c r="C3" s="1"/>
      <c r="D3" s="1" t="s">
        <v>188</v>
      </c>
      <c r="E3" s="1" t="s">
        <v>189</v>
      </c>
      <c r="F3" s="1" t="s">
        <v>190</v>
      </c>
      <c r="G3" s="1" t="s">
        <v>191</v>
      </c>
      <c r="H3" s="5" t="s">
        <v>635</v>
      </c>
      <c r="I3" s="1" t="s">
        <v>167</v>
      </c>
      <c r="J3" s="1">
        <v>10218</v>
      </c>
      <c r="K3" s="7" t="s">
        <v>919</v>
      </c>
      <c r="L3" s="1">
        <v>1042346954</v>
      </c>
      <c r="M3" s="7" t="s">
        <v>813</v>
      </c>
      <c r="N3" s="7" t="s">
        <v>23</v>
      </c>
    </row>
    <row r="4" spans="1:18" ht="60" x14ac:dyDescent="0.25">
      <c r="A4" s="4">
        <v>3</v>
      </c>
      <c r="B4" s="1" t="s">
        <v>17</v>
      </c>
      <c r="C4" s="1"/>
      <c r="D4" s="1" t="s">
        <v>192</v>
      </c>
      <c r="E4" s="1" t="s">
        <v>193</v>
      </c>
      <c r="F4" s="1" t="s">
        <v>194</v>
      </c>
      <c r="G4" s="1" t="s">
        <v>195</v>
      </c>
      <c r="H4" s="5">
        <v>403</v>
      </c>
      <c r="I4" s="1" t="s">
        <v>167</v>
      </c>
      <c r="J4" s="1">
        <v>10218</v>
      </c>
      <c r="K4" s="7" t="s">
        <v>919</v>
      </c>
      <c r="L4" s="1">
        <v>1042346954</v>
      </c>
      <c r="M4" s="7" t="s">
        <v>813</v>
      </c>
      <c r="N4" s="7" t="s">
        <v>23</v>
      </c>
    </row>
    <row r="5" spans="1:18" ht="60" x14ac:dyDescent="0.25">
      <c r="A5" s="4">
        <v>4</v>
      </c>
      <c r="B5" s="1" t="s">
        <v>17</v>
      </c>
      <c r="C5" s="1"/>
      <c r="D5" s="1" t="s">
        <v>196</v>
      </c>
      <c r="E5" s="1" t="s">
        <v>197</v>
      </c>
      <c r="F5" s="1" t="s">
        <v>198</v>
      </c>
      <c r="G5" s="1" t="s">
        <v>199</v>
      </c>
      <c r="H5" s="5">
        <v>200</v>
      </c>
      <c r="I5" s="1" t="s">
        <v>167</v>
      </c>
      <c r="J5" s="1">
        <v>10218</v>
      </c>
      <c r="K5" s="7" t="s">
        <v>919</v>
      </c>
      <c r="L5" s="1">
        <v>1042346954</v>
      </c>
      <c r="M5" s="7" t="s">
        <v>813</v>
      </c>
      <c r="N5" s="7" t="s">
        <v>23</v>
      </c>
    </row>
    <row r="6" spans="1:18" ht="90" x14ac:dyDescent="0.25">
      <c r="A6" s="4">
        <v>5</v>
      </c>
      <c r="B6" s="1" t="s">
        <v>17</v>
      </c>
      <c r="C6" s="1"/>
      <c r="D6" s="1" t="s">
        <v>200</v>
      </c>
      <c r="E6" s="1" t="s">
        <v>201</v>
      </c>
      <c r="F6" s="1" t="s">
        <v>202</v>
      </c>
      <c r="G6" s="1" t="s">
        <v>203</v>
      </c>
      <c r="H6" s="5">
        <v>200</v>
      </c>
      <c r="I6" s="1" t="s">
        <v>167</v>
      </c>
      <c r="J6" s="1">
        <v>10218</v>
      </c>
      <c r="K6" s="7" t="s">
        <v>919</v>
      </c>
      <c r="L6" s="1">
        <v>1042346954</v>
      </c>
      <c r="M6" s="7" t="s">
        <v>813</v>
      </c>
      <c r="N6" s="7" t="s">
        <v>23</v>
      </c>
    </row>
    <row r="7" spans="1:18" ht="60" x14ac:dyDescent="0.25">
      <c r="A7" s="4">
        <v>6</v>
      </c>
      <c r="B7" s="1" t="s">
        <v>17</v>
      </c>
      <c r="D7" s="1" t="s">
        <v>204</v>
      </c>
      <c r="E7" s="1" t="s">
        <v>205</v>
      </c>
      <c r="F7" s="1" t="s">
        <v>206</v>
      </c>
      <c r="G7" s="1" t="s">
        <v>207</v>
      </c>
      <c r="H7" s="11" t="s">
        <v>635</v>
      </c>
      <c r="I7" s="1" t="s">
        <v>167</v>
      </c>
      <c r="J7" s="1">
        <v>10218</v>
      </c>
      <c r="K7" s="7" t="s">
        <v>919</v>
      </c>
      <c r="L7" s="1">
        <v>1042346954</v>
      </c>
      <c r="M7" s="7" t="s">
        <v>813</v>
      </c>
      <c r="N7" s="7" t="s">
        <v>23</v>
      </c>
    </row>
    <row r="8" spans="1:18" ht="60" x14ac:dyDescent="0.25">
      <c r="A8" s="4">
        <v>7</v>
      </c>
      <c r="B8" s="1" t="s">
        <v>17</v>
      </c>
      <c r="D8" s="1" t="s">
        <v>208</v>
      </c>
      <c r="E8" s="1" t="s">
        <v>209</v>
      </c>
      <c r="F8" s="1" t="s">
        <v>210</v>
      </c>
      <c r="G8" s="1" t="s">
        <v>207</v>
      </c>
      <c r="H8" s="11" t="s">
        <v>635</v>
      </c>
      <c r="I8" s="1" t="s">
        <v>167</v>
      </c>
      <c r="J8" s="1">
        <v>10218</v>
      </c>
      <c r="K8" s="7" t="s">
        <v>919</v>
      </c>
      <c r="L8" s="1">
        <v>1042346954</v>
      </c>
      <c r="M8" s="7" t="s">
        <v>813</v>
      </c>
      <c r="N8" s="7" t="s">
        <v>23</v>
      </c>
    </row>
    <row r="9" spans="1:18" ht="60" x14ac:dyDescent="0.25">
      <c r="A9" s="4">
        <v>8</v>
      </c>
      <c r="B9" s="1" t="s">
        <v>17</v>
      </c>
      <c r="D9" s="1" t="s">
        <v>211</v>
      </c>
      <c r="E9" s="1" t="s">
        <v>212</v>
      </c>
      <c r="F9" s="1" t="s">
        <v>213</v>
      </c>
      <c r="G9" s="1" t="s">
        <v>214</v>
      </c>
      <c r="H9" s="5">
        <v>400</v>
      </c>
      <c r="I9" s="1" t="s">
        <v>167</v>
      </c>
      <c r="J9" s="1">
        <v>10218</v>
      </c>
      <c r="K9" s="7" t="s">
        <v>919</v>
      </c>
      <c r="L9" s="1">
        <v>1042346954</v>
      </c>
      <c r="M9" s="7" t="s">
        <v>813</v>
      </c>
      <c r="N9" s="7" t="s">
        <v>23</v>
      </c>
    </row>
    <row r="10" spans="1:18" ht="75" x14ac:dyDescent="0.25">
      <c r="A10" s="4">
        <v>9</v>
      </c>
      <c r="B10" s="1" t="s">
        <v>17</v>
      </c>
      <c r="D10" s="1" t="s">
        <v>216</v>
      </c>
      <c r="E10" s="1" t="s">
        <v>217</v>
      </c>
      <c r="F10" s="1" t="s">
        <v>218</v>
      </c>
      <c r="G10" s="1" t="s">
        <v>219</v>
      </c>
      <c r="H10" s="5">
        <v>200</v>
      </c>
      <c r="I10" s="1" t="s">
        <v>167</v>
      </c>
      <c r="J10" s="1">
        <v>10218</v>
      </c>
      <c r="K10" s="7" t="s">
        <v>919</v>
      </c>
      <c r="L10" s="1">
        <v>1042346954</v>
      </c>
      <c r="M10" s="7" t="s">
        <v>813</v>
      </c>
      <c r="N10" s="7" t="s">
        <v>23</v>
      </c>
    </row>
    <row r="11" spans="1:18" ht="60" x14ac:dyDescent="0.25">
      <c r="A11" s="4">
        <v>10</v>
      </c>
      <c r="B11" s="1" t="s">
        <v>17</v>
      </c>
      <c r="D11" s="1" t="s">
        <v>220</v>
      </c>
      <c r="E11" s="1" t="s">
        <v>221</v>
      </c>
      <c r="F11" s="1" t="s">
        <v>222</v>
      </c>
      <c r="G11" s="1" t="s">
        <v>223</v>
      </c>
      <c r="H11" s="5">
        <v>400</v>
      </c>
      <c r="I11" s="1" t="s">
        <v>167</v>
      </c>
      <c r="J11" s="1">
        <v>10218</v>
      </c>
      <c r="K11" s="7" t="s">
        <v>919</v>
      </c>
      <c r="L11" s="1">
        <v>1042346954</v>
      </c>
      <c r="M11" s="7" t="s">
        <v>813</v>
      </c>
      <c r="N11" s="7" t="s">
        <v>23</v>
      </c>
    </row>
    <row r="12" spans="1:18" ht="60" x14ac:dyDescent="0.25">
      <c r="A12" s="4">
        <v>11</v>
      </c>
      <c r="B12" s="1" t="s">
        <v>17</v>
      </c>
      <c r="D12" s="1" t="s">
        <v>224</v>
      </c>
      <c r="E12" s="1" t="s">
        <v>225</v>
      </c>
      <c r="F12" s="1" t="s">
        <v>226</v>
      </c>
      <c r="G12" s="1" t="s">
        <v>227</v>
      </c>
      <c r="H12" s="5">
        <v>400</v>
      </c>
      <c r="I12" s="1" t="s">
        <v>167</v>
      </c>
      <c r="J12" s="1">
        <v>10218</v>
      </c>
      <c r="K12" s="7" t="s">
        <v>919</v>
      </c>
      <c r="L12" s="1">
        <v>1042346954</v>
      </c>
      <c r="M12" s="7" t="s">
        <v>813</v>
      </c>
      <c r="N12" s="7" t="s">
        <v>23</v>
      </c>
    </row>
    <row r="13" spans="1:18" ht="75" x14ac:dyDescent="0.25">
      <c r="A13" s="4">
        <v>12</v>
      </c>
      <c r="B13" s="1" t="s">
        <v>17</v>
      </c>
      <c r="D13" s="1" t="s">
        <v>228</v>
      </c>
      <c r="E13" s="1" t="s">
        <v>229</v>
      </c>
      <c r="F13" s="1" t="s">
        <v>230</v>
      </c>
      <c r="G13" s="1" t="s">
        <v>219</v>
      </c>
      <c r="H13" s="5">
        <v>200</v>
      </c>
      <c r="I13" s="1" t="s">
        <v>167</v>
      </c>
      <c r="J13" s="1">
        <v>10218</v>
      </c>
      <c r="K13" s="7" t="s">
        <v>919</v>
      </c>
      <c r="L13" s="1">
        <v>1042346954</v>
      </c>
      <c r="M13" s="7" t="s">
        <v>813</v>
      </c>
      <c r="N13" s="7" t="s">
        <v>23</v>
      </c>
    </row>
    <row r="14" spans="1:18" ht="60" x14ac:dyDescent="0.25">
      <c r="A14" s="4">
        <v>13</v>
      </c>
      <c r="B14" s="1" t="s">
        <v>17</v>
      </c>
      <c r="D14" s="1" t="s">
        <v>231</v>
      </c>
      <c r="E14" s="1" t="s">
        <v>232</v>
      </c>
      <c r="F14" s="1" t="s">
        <v>233</v>
      </c>
      <c r="G14" s="1" t="s">
        <v>234</v>
      </c>
      <c r="H14" s="5">
        <v>400</v>
      </c>
      <c r="I14" s="1" t="s">
        <v>167</v>
      </c>
      <c r="J14" s="1">
        <v>10218</v>
      </c>
      <c r="K14" s="7" t="s">
        <v>919</v>
      </c>
      <c r="L14" s="1">
        <v>1042346954</v>
      </c>
      <c r="M14" s="7" t="s">
        <v>813</v>
      </c>
      <c r="N14" s="7" t="s">
        <v>23</v>
      </c>
    </row>
    <row r="15" spans="1:18" ht="60" x14ac:dyDescent="0.25">
      <c r="A15" s="4">
        <v>14</v>
      </c>
      <c r="B15" s="1" t="s">
        <v>17</v>
      </c>
      <c r="D15" s="1" t="s">
        <v>163</v>
      </c>
      <c r="E15" s="1" t="s">
        <v>164</v>
      </c>
      <c r="F15" s="1" t="s">
        <v>165</v>
      </c>
      <c r="G15" s="1" t="s">
        <v>166</v>
      </c>
      <c r="H15" s="5">
        <v>400</v>
      </c>
      <c r="I15" s="1" t="s">
        <v>167</v>
      </c>
      <c r="J15" s="1">
        <v>10218</v>
      </c>
      <c r="K15" s="7" t="s">
        <v>919</v>
      </c>
      <c r="L15" s="1">
        <v>1042346954</v>
      </c>
      <c r="M15" s="7" t="s">
        <v>813</v>
      </c>
      <c r="N15" s="7" t="s">
        <v>23</v>
      </c>
    </row>
    <row r="16" spans="1:18" ht="60" x14ac:dyDescent="0.25">
      <c r="A16" s="4">
        <v>15</v>
      </c>
      <c r="B16" s="1" t="s">
        <v>17</v>
      </c>
      <c r="D16" s="1" t="s">
        <v>168</v>
      </c>
      <c r="E16" s="1" t="s">
        <v>169</v>
      </c>
      <c r="F16" s="1" t="s">
        <v>170</v>
      </c>
      <c r="G16" s="1" t="s">
        <v>166</v>
      </c>
      <c r="H16" s="5">
        <v>400</v>
      </c>
      <c r="I16" s="1" t="s">
        <v>167</v>
      </c>
      <c r="J16" s="1">
        <v>10218</v>
      </c>
      <c r="K16" s="7" t="s">
        <v>919</v>
      </c>
      <c r="L16" s="1">
        <v>1042346954</v>
      </c>
      <c r="M16" s="7" t="s">
        <v>813</v>
      </c>
      <c r="N16" s="7" t="s">
        <v>23</v>
      </c>
    </row>
    <row r="17" spans="1:14" ht="60" x14ac:dyDescent="0.25">
      <c r="A17" s="4">
        <v>16</v>
      </c>
      <c r="B17" s="1" t="s">
        <v>17</v>
      </c>
      <c r="D17" s="1" t="s">
        <v>235</v>
      </c>
      <c r="E17" s="1" t="s">
        <v>236</v>
      </c>
      <c r="F17" s="1" t="s">
        <v>237</v>
      </c>
      <c r="G17" s="1" t="s">
        <v>238</v>
      </c>
      <c r="H17" s="5">
        <v>400</v>
      </c>
      <c r="I17" s="1" t="s">
        <v>167</v>
      </c>
      <c r="J17" s="1">
        <v>10218</v>
      </c>
      <c r="K17" s="7" t="s">
        <v>919</v>
      </c>
      <c r="L17" s="1">
        <v>1042346954</v>
      </c>
      <c r="M17" s="7" t="s">
        <v>813</v>
      </c>
      <c r="N17" s="7" t="s">
        <v>23</v>
      </c>
    </row>
    <row r="18" spans="1:14" ht="75" x14ac:dyDescent="0.25">
      <c r="A18" s="4">
        <v>17</v>
      </c>
      <c r="B18" s="1" t="s">
        <v>17</v>
      </c>
      <c r="D18" s="1" t="s">
        <v>239</v>
      </c>
      <c r="E18" s="1" t="s">
        <v>240</v>
      </c>
      <c r="F18" s="1" t="s">
        <v>241</v>
      </c>
      <c r="G18" s="1" t="s">
        <v>242</v>
      </c>
      <c r="H18" s="5">
        <v>403</v>
      </c>
      <c r="I18" s="1" t="s">
        <v>167</v>
      </c>
      <c r="J18" s="1">
        <v>10218</v>
      </c>
      <c r="K18" s="7" t="s">
        <v>919</v>
      </c>
      <c r="L18" s="1">
        <v>1042346954</v>
      </c>
      <c r="M18" s="7" t="s">
        <v>813</v>
      </c>
      <c r="N18" s="7" t="s">
        <v>23</v>
      </c>
    </row>
    <row r="19" spans="1:14" ht="180" x14ac:dyDescent="0.25">
      <c r="A19" s="4">
        <v>18</v>
      </c>
      <c r="B19" s="1" t="s">
        <v>17</v>
      </c>
      <c r="D19" s="1" t="s">
        <v>243</v>
      </c>
      <c r="E19" s="1" t="s">
        <v>244</v>
      </c>
      <c r="F19" s="1" t="s">
        <v>245</v>
      </c>
      <c r="G19" s="1" t="s">
        <v>246</v>
      </c>
      <c r="H19" s="5">
        <v>200</v>
      </c>
      <c r="I19" s="1" t="s">
        <v>167</v>
      </c>
      <c r="J19" s="1">
        <v>10218</v>
      </c>
      <c r="K19" s="7" t="s">
        <v>919</v>
      </c>
      <c r="L19" s="1">
        <v>1042346954</v>
      </c>
      <c r="M19" s="7" t="s">
        <v>813</v>
      </c>
      <c r="N19" s="7" t="s">
        <v>23</v>
      </c>
    </row>
    <row r="20" spans="1:14" ht="180" x14ac:dyDescent="0.25">
      <c r="A20" s="4">
        <v>19</v>
      </c>
      <c r="B20" s="1" t="s">
        <v>17</v>
      </c>
      <c r="D20" s="1" t="s">
        <v>247</v>
      </c>
      <c r="E20" s="1" t="s">
        <v>248</v>
      </c>
      <c r="F20" s="1" t="s">
        <v>249</v>
      </c>
      <c r="G20" s="1" t="s">
        <v>250</v>
      </c>
      <c r="H20" s="5">
        <v>200</v>
      </c>
      <c r="I20" s="1" t="s">
        <v>167</v>
      </c>
      <c r="J20" s="1">
        <v>10218</v>
      </c>
      <c r="K20" s="7" t="s">
        <v>919</v>
      </c>
      <c r="L20" s="1">
        <v>1042346954</v>
      </c>
      <c r="M20" s="7" t="s">
        <v>813</v>
      </c>
      <c r="N20" s="7" t="s">
        <v>23</v>
      </c>
    </row>
    <row r="21" spans="1:14" ht="75" x14ac:dyDescent="0.25">
      <c r="A21" s="4">
        <v>20</v>
      </c>
      <c r="B21" s="1" t="s">
        <v>17</v>
      </c>
      <c r="D21" s="1" t="s">
        <v>251</v>
      </c>
      <c r="E21" s="1" t="s">
        <v>252</v>
      </c>
      <c r="F21" s="1" t="s">
        <v>253</v>
      </c>
      <c r="G21" s="1" t="s">
        <v>254</v>
      </c>
      <c r="H21" s="11" t="s">
        <v>636</v>
      </c>
      <c r="I21" s="1" t="s">
        <v>167</v>
      </c>
      <c r="J21" s="1">
        <v>10218</v>
      </c>
      <c r="K21" s="7" t="s">
        <v>919</v>
      </c>
      <c r="L21" s="1">
        <v>1042346954</v>
      </c>
      <c r="M21" s="7" t="s">
        <v>813</v>
      </c>
      <c r="N21" s="7" t="s">
        <v>23</v>
      </c>
    </row>
    <row r="22" spans="1:14" ht="60" x14ac:dyDescent="0.25">
      <c r="A22" s="4">
        <v>21</v>
      </c>
      <c r="B22" s="1" t="s">
        <v>17</v>
      </c>
      <c r="D22" s="1" t="s">
        <v>255</v>
      </c>
      <c r="E22" s="1" t="s">
        <v>256</v>
      </c>
      <c r="F22" s="1" t="s">
        <v>257</v>
      </c>
      <c r="G22" s="1" t="s">
        <v>258</v>
      </c>
      <c r="H22" s="5">
        <v>401</v>
      </c>
      <c r="I22" s="1" t="s">
        <v>167</v>
      </c>
      <c r="J22" s="1">
        <v>10218</v>
      </c>
      <c r="K22" s="7" t="s">
        <v>919</v>
      </c>
      <c r="L22" s="1">
        <v>1042346954</v>
      </c>
      <c r="M22" s="7" t="s">
        <v>813</v>
      </c>
      <c r="N22" s="7" t="s">
        <v>23</v>
      </c>
    </row>
    <row r="23" spans="1:14" ht="60" x14ac:dyDescent="0.25">
      <c r="A23" s="4">
        <v>22</v>
      </c>
      <c r="B23" s="1" t="s">
        <v>17</v>
      </c>
      <c r="D23" s="1" t="s">
        <v>259</v>
      </c>
      <c r="E23" s="1" t="s">
        <v>260</v>
      </c>
      <c r="F23" s="1" t="s">
        <v>261</v>
      </c>
      <c r="G23" s="1" t="s">
        <v>262</v>
      </c>
      <c r="H23" s="5">
        <v>403</v>
      </c>
      <c r="I23" s="1" t="s">
        <v>167</v>
      </c>
      <c r="J23" s="1">
        <v>10218</v>
      </c>
      <c r="K23" s="7" t="s">
        <v>919</v>
      </c>
      <c r="L23" s="1">
        <v>1042346954</v>
      </c>
      <c r="M23" s="7" t="s">
        <v>813</v>
      </c>
      <c r="N23" s="7" t="s">
        <v>23</v>
      </c>
    </row>
    <row r="24" spans="1:14" ht="60" x14ac:dyDescent="0.25">
      <c r="A24" s="4">
        <v>23</v>
      </c>
      <c r="B24" s="1" t="s">
        <v>17</v>
      </c>
      <c r="D24" s="1" t="s">
        <v>263</v>
      </c>
      <c r="E24" s="1" t="s">
        <v>264</v>
      </c>
      <c r="F24" s="1" t="s">
        <v>265</v>
      </c>
      <c r="G24" s="1" t="s">
        <v>262</v>
      </c>
      <c r="H24" s="5">
        <v>403</v>
      </c>
      <c r="I24" s="1" t="s">
        <v>167</v>
      </c>
      <c r="J24" s="1">
        <v>10218</v>
      </c>
      <c r="K24" s="7" t="s">
        <v>919</v>
      </c>
      <c r="L24" s="1">
        <v>1042346954</v>
      </c>
      <c r="M24" s="7" t="s">
        <v>813</v>
      </c>
      <c r="N24" s="7" t="s">
        <v>23</v>
      </c>
    </row>
    <row r="25" spans="1:14" ht="195" x14ac:dyDescent="0.25">
      <c r="A25" s="4">
        <v>24</v>
      </c>
      <c r="B25" s="1" t="s">
        <v>17</v>
      </c>
      <c r="D25" s="1" t="s">
        <v>266</v>
      </c>
      <c r="E25" s="1" t="s">
        <v>267</v>
      </c>
      <c r="F25" s="1" t="s">
        <v>268</v>
      </c>
      <c r="G25" s="1" t="s">
        <v>269</v>
      </c>
      <c r="H25" s="5">
        <v>200</v>
      </c>
      <c r="I25" s="1" t="s">
        <v>167</v>
      </c>
      <c r="J25" s="1">
        <v>10218</v>
      </c>
      <c r="K25" s="7" t="s">
        <v>919</v>
      </c>
      <c r="L25" s="1">
        <v>1042346954</v>
      </c>
      <c r="M25" s="7" t="s">
        <v>813</v>
      </c>
      <c r="N25" s="7" t="s">
        <v>23</v>
      </c>
    </row>
    <row r="26" spans="1:14" ht="195" x14ac:dyDescent="0.25">
      <c r="A26" s="4">
        <v>25</v>
      </c>
      <c r="B26" s="1" t="s">
        <v>17</v>
      </c>
      <c r="D26" s="1" t="s">
        <v>270</v>
      </c>
      <c r="E26" s="1" t="s">
        <v>271</v>
      </c>
      <c r="F26" s="1" t="s">
        <v>272</v>
      </c>
      <c r="G26" s="1" t="s">
        <v>273</v>
      </c>
      <c r="H26" s="5">
        <v>200</v>
      </c>
      <c r="I26" s="1" t="s">
        <v>167</v>
      </c>
      <c r="J26" s="1">
        <v>10218</v>
      </c>
      <c r="K26" s="7" t="s">
        <v>919</v>
      </c>
      <c r="L26" s="1">
        <v>1042346954</v>
      </c>
      <c r="M26" s="7" t="s">
        <v>813</v>
      </c>
      <c r="N26" s="7" t="s">
        <v>23</v>
      </c>
    </row>
    <row r="27" spans="1:14" ht="75" x14ac:dyDescent="0.25">
      <c r="A27" s="4">
        <v>26</v>
      </c>
      <c r="B27" s="1" t="s">
        <v>17</v>
      </c>
      <c r="D27" s="1" t="s">
        <v>274</v>
      </c>
      <c r="E27" s="1" t="s">
        <v>275</v>
      </c>
      <c r="F27" s="1" t="s">
        <v>276</v>
      </c>
      <c r="G27" s="1" t="s">
        <v>277</v>
      </c>
      <c r="H27" s="11" t="s">
        <v>635</v>
      </c>
      <c r="I27" s="1" t="s">
        <v>167</v>
      </c>
      <c r="J27" s="1">
        <v>10218</v>
      </c>
      <c r="K27" s="7" t="s">
        <v>919</v>
      </c>
      <c r="L27" s="1">
        <v>1042346954</v>
      </c>
      <c r="M27" s="7" t="s">
        <v>813</v>
      </c>
      <c r="N27" s="7" t="s">
        <v>23</v>
      </c>
    </row>
    <row r="28" spans="1:14" ht="75" x14ac:dyDescent="0.25">
      <c r="A28" s="4">
        <v>27</v>
      </c>
      <c r="B28" s="1" t="s">
        <v>17</v>
      </c>
      <c r="D28" s="1" t="s">
        <v>278</v>
      </c>
      <c r="E28" s="1" t="s">
        <v>279</v>
      </c>
      <c r="F28" s="1" t="s">
        <v>280</v>
      </c>
      <c r="G28" s="1" t="s">
        <v>277</v>
      </c>
      <c r="H28" s="11" t="s">
        <v>635</v>
      </c>
      <c r="I28" s="1" t="s">
        <v>167</v>
      </c>
      <c r="J28" s="1">
        <v>10218</v>
      </c>
      <c r="K28" s="7" t="s">
        <v>919</v>
      </c>
      <c r="L28" s="1">
        <v>1042346954</v>
      </c>
      <c r="M28" s="7" t="s">
        <v>813</v>
      </c>
      <c r="N28" s="7" t="s">
        <v>23</v>
      </c>
    </row>
    <row r="29" spans="1:14" ht="75" x14ac:dyDescent="0.25">
      <c r="A29" s="4">
        <v>28</v>
      </c>
      <c r="B29" s="1" t="s">
        <v>17</v>
      </c>
      <c r="D29" s="1" t="s">
        <v>281</v>
      </c>
      <c r="E29" s="1" t="s">
        <v>282</v>
      </c>
      <c r="F29" s="1" t="s">
        <v>283</v>
      </c>
      <c r="G29" s="1" t="s">
        <v>277</v>
      </c>
      <c r="H29" s="11" t="s">
        <v>635</v>
      </c>
      <c r="I29" s="1" t="s">
        <v>167</v>
      </c>
      <c r="J29" s="1">
        <v>10218</v>
      </c>
      <c r="K29" s="7" t="s">
        <v>919</v>
      </c>
      <c r="L29" s="1">
        <v>1042346954</v>
      </c>
      <c r="M29" s="7" t="s">
        <v>813</v>
      </c>
      <c r="N29" s="7" t="s">
        <v>23</v>
      </c>
    </row>
    <row r="30" spans="1:14" ht="75" x14ac:dyDescent="0.25">
      <c r="A30" s="4">
        <v>29</v>
      </c>
      <c r="B30" s="1" t="s">
        <v>17</v>
      </c>
      <c r="D30" s="1" t="s">
        <v>284</v>
      </c>
      <c r="E30" s="1" t="s">
        <v>285</v>
      </c>
      <c r="F30" s="1" t="s">
        <v>286</v>
      </c>
      <c r="G30" s="1" t="s">
        <v>277</v>
      </c>
      <c r="H30" s="11" t="s">
        <v>635</v>
      </c>
      <c r="I30" s="1" t="s">
        <v>167</v>
      </c>
      <c r="J30" s="1">
        <v>10218</v>
      </c>
      <c r="K30" s="7" t="s">
        <v>919</v>
      </c>
      <c r="L30" s="1">
        <v>1042346954</v>
      </c>
      <c r="M30" s="7" t="s">
        <v>813</v>
      </c>
      <c r="N30" s="7" t="s">
        <v>23</v>
      </c>
    </row>
    <row r="31" spans="1:14" ht="60" x14ac:dyDescent="0.25">
      <c r="A31" s="4">
        <v>30</v>
      </c>
      <c r="B31" s="1" t="s">
        <v>17</v>
      </c>
      <c r="D31" s="1" t="s">
        <v>287</v>
      </c>
      <c r="E31" s="1" t="s">
        <v>288</v>
      </c>
      <c r="F31" s="1" t="s">
        <v>289</v>
      </c>
      <c r="G31" s="1" t="s">
        <v>290</v>
      </c>
      <c r="H31" s="5">
        <v>400</v>
      </c>
      <c r="I31" s="1" t="s">
        <v>167</v>
      </c>
      <c r="J31" s="1">
        <v>10218</v>
      </c>
      <c r="K31" s="7" t="s">
        <v>919</v>
      </c>
      <c r="L31" s="1">
        <v>1042346954</v>
      </c>
      <c r="M31" s="7" t="s">
        <v>813</v>
      </c>
      <c r="N31" s="7" t="s">
        <v>23</v>
      </c>
    </row>
    <row r="32" spans="1:14" ht="60" x14ac:dyDescent="0.25">
      <c r="A32" s="4">
        <v>31</v>
      </c>
      <c r="B32" s="1" t="s">
        <v>17</v>
      </c>
      <c r="D32" s="1" t="s">
        <v>291</v>
      </c>
      <c r="E32" s="1" t="s">
        <v>292</v>
      </c>
      <c r="F32" s="1" t="s">
        <v>293</v>
      </c>
      <c r="G32" s="1" t="s">
        <v>290</v>
      </c>
      <c r="H32" s="5">
        <v>400</v>
      </c>
      <c r="I32" s="1" t="s">
        <v>167</v>
      </c>
      <c r="J32" s="1">
        <v>10218</v>
      </c>
      <c r="K32" s="7" t="s">
        <v>919</v>
      </c>
      <c r="L32" s="1">
        <v>1042346954</v>
      </c>
      <c r="M32" s="7" t="s">
        <v>813</v>
      </c>
      <c r="N32" s="7" t="s">
        <v>23</v>
      </c>
    </row>
    <row r="33" spans="1:14" ht="60" x14ac:dyDescent="0.25">
      <c r="A33" s="4">
        <v>32</v>
      </c>
      <c r="B33" s="1" t="s">
        <v>17</v>
      </c>
      <c r="D33" s="1" t="s">
        <v>294</v>
      </c>
      <c r="E33" s="1" t="s">
        <v>295</v>
      </c>
      <c r="F33" s="1" t="s">
        <v>296</v>
      </c>
      <c r="G33" s="1" t="s">
        <v>290</v>
      </c>
      <c r="H33" s="5">
        <v>400</v>
      </c>
      <c r="I33" s="1" t="s">
        <v>167</v>
      </c>
      <c r="J33" s="1">
        <v>10218</v>
      </c>
      <c r="K33" s="7" t="s">
        <v>919</v>
      </c>
      <c r="L33" s="1">
        <v>1042346954</v>
      </c>
      <c r="M33" s="7" t="s">
        <v>813</v>
      </c>
      <c r="N33" s="7" t="s">
        <v>23</v>
      </c>
    </row>
    <row r="34" spans="1:14" ht="60" x14ac:dyDescent="0.25">
      <c r="A34" s="4">
        <v>33</v>
      </c>
      <c r="B34" s="1" t="s">
        <v>17</v>
      </c>
      <c r="D34" s="1" t="s">
        <v>297</v>
      </c>
      <c r="E34" s="1" t="s">
        <v>298</v>
      </c>
      <c r="F34" s="1" t="s">
        <v>299</v>
      </c>
      <c r="G34" s="1" t="s">
        <v>290</v>
      </c>
      <c r="H34" s="5">
        <v>400</v>
      </c>
      <c r="I34" s="1" t="s">
        <v>167</v>
      </c>
      <c r="J34" s="1">
        <v>10218</v>
      </c>
      <c r="K34" s="7" t="s">
        <v>919</v>
      </c>
      <c r="L34" s="1">
        <v>1042346954</v>
      </c>
      <c r="M34" s="7" t="s">
        <v>813</v>
      </c>
      <c r="N34" s="7" t="s">
        <v>23</v>
      </c>
    </row>
    <row r="35" spans="1:14" ht="75" x14ac:dyDescent="0.25">
      <c r="A35" s="4">
        <v>34</v>
      </c>
      <c r="B35" s="1" t="s">
        <v>17</v>
      </c>
      <c r="D35" s="1" t="s">
        <v>300</v>
      </c>
      <c r="E35" s="1" t="s">
        <v>301</v>
      </c>
      <c r="F35" s="1" t="s">
        <v>302</v>
      </c>
      <c r="G35" s="1" t="s">
        <v>303</v>
      </c>
      <c r="H35" s="5">
        <v>400</v>
      </c>
      <c r="I35" s="1" t="s">
        <v>167</v>
      </c>
      <c r="J35" s="1">
        <v>10218</v>
      </c>
      <c r="K35" s="7" t="s">
        <v>919</v>
      </c>
      <c r="L35" s="1">
        <v>1042346954</v>
      </c>
      <c r="M35" s="7" t="s">
        <v>813</v>
      </c>
      <c r="N35" s="7" t="s">
        <v>23</v>
      </c>
    </row>
    <row r="36" spans="1:14" ht="75" x14ac:dyDescent="0.25">
      <c r="A36" s="4">
        <v>35</v>
      </c>
      <c r="B36" s="1" t="s">
        <v>17</v>
      </c>
      <c r="D36" s="1" t="s">
        <v>304</v>
      </c>
      <c r="E36" s="1" t="s">
        <v>305</v>
      </c>
      <c r="F36" s="1" t="s">
        <v>306</v>
      </c>
      <c r="G36" s="1" t="s">
        <v>303</v>
      </c>
      <c r="H36" s="5">
        <v>400</v>
      </c>
      <c r="I36" s="1" t="s">
        <v>167</v>
      </c>
      <c r="J36" s="1">
        <v>10218</v>
      </c>
      <c r="K36" s="7" t="s">
        <v>919</v>
      </c>
      <c r="L36" s="1">
        <v>1042346954</v>
      </c>
      <c r="M36" s="7" t="s">
        <v>813</v>
      </c>
      <c r="N36" s="7" t="s">
        <v>23</v>
      </c>
    </row>
    <row r="37" spans="1:14" ht="90" x14ac:dyDescent="0.25">
      <c r="A37" s="4">
        <v>36</v>
      </c>
      <c r="B37" s="1" t="s">
        <v>17</v>
      </c>
      <c r="D37" s="1" t="s">
        <v>171</v>
      </c>
      <c r="E37" s="1" t="s">
        <v>172</v>
      </c>
      <c r="F37" s="1" t="s">
        <v>173</v>
      </c>
      <c r="G37" s="1" t="s">
        <v>174</v>
      </c>
      <c r="H37" s="5">
        <v>400</v>
      </c>
      <c r="I37" s="1" t="s">
        <v>167</v>
      </c>
      <c r="J37" s="1">
        <v>10218</v>
      </c>
      <c r="K37" s="7" t="s">
        <v>919</v>
      </c>
      <c r="L37" s="1">
        <v>1042346954</v>
      </c>
      <c r="M37" s="7" t="s">
        <v>813</v>
      </c>
      <c r="N37" s="7" t="s">
        <v>23</v>
      </c>
    </row>
    <row r="38" spans="1:14" ht="90" x14ac:dyDescent="0.25">
      <c r="A38" s="4">
        <v>37</v>
      </c>
      <c r="B38" s="1" t="s">
        <v>17</v>
      </c>
      <c r="D38" s="1" t="s">
        <v>175</v>
      </c>
      <c r="E38" s="1" t="s">
        <v>176</v>
      </c>
      <c r="F38" s="1" t="s">
        <v>177</v>
      </c>
      <c r="G38" s="1" t="s">
        <v>174</v>
      </c>
      <c r="H38" s="5">
        <v>400</v>
      </c>
      <c r="I38" s="1" t="s">
        <v>167</v>
      </c>
      <c r="J38" s="1">
        <v>10218</v>
      </c>
      <c r="K38" s="7" t="s">
        <v>919</v>
      </c>
      <c r="L38" s="1">
        <v>1042346954</v>
      </c>
      <c r="M38" s="7" t="s">
        <v>813</v>
      </c>
      <c r="N38" s="7" t="s">
        <v>23</v>
      </c>
    </row>
    <row r="39" spans="1:14" ht="90" x14ac:dyDescent="0.25">
      <c r="A39" s="4">
        <v>38</v>
      </c>
      <c r="B39" s="1" t="s">
        <v>17</v>
      </c>
      <c r="D39" s="1" t="s">
        <v>178</v>
      </c>
      <c r="E39" s="1" t="s">
        <v>179</v>
      </c>
      <c r="F39" s="1" t="s">
        <v>180</v>
      </c>
      <c r="G39" s="1" t="s">
        <v>174</v>
      </c>
      <c r="H39" s="5">
        <v>400</v>
      </c>
      <c r="I39" s="1" t="s">
        <v>167</v>
      </c>
      <c r="J39" s="1">
        <v>10218</v>
      </c>
      <c r="K39" s="7" t="s">
        <v>919</v>
      </c>
      <c r="L39" s="1">
        <v>1042346954</v>
      </c>
      <c r="M39" s="7" t="s">
        <v>813</v>
      </c>
      <c r="N39" s="7" t="s">
        <v>23</v>
      </c>
    </row>
    <row r="40" spans="1:14" ht="90" x14ac:dyDescent="0.25">
      <c r="A40" s="4">
        <v>39</v>
      </c>
      <c r="B40" s="1" t="s">
        <v>17</v>
      </c>
      <c r="D40" s="1" t="s">
        <v>181</v>
      </c>
      <c r="E40" s="1" t="s">
        <v>182</v>
      </c>
      <c r="F40" s="1" t="s">
        <v>183</v>
      </c>
      <c r="G40" s="1" t="s">
        <v>174</v>
      </c>
      <c r="H40" s="5">
        <v>400</v>
      </c>
      <c r="I40" s="1" t="s">
        <v>167</v>
      </c>
      <c r="J40" s="1">
        <v>10218</v>
      </c>
      <c r="K40" s="7" t="s">
        <v>919</v>
      </c>
      <c r="L40" s="1">
        <v>1042346954</v>
      </c>
      <c r="M40" s="7" t="s">
        <v>813</v>
      </c>
      <c r="N40" s="7" t="s">
        <v>23</v>
      </c>
    </row>
    <row r="41" spans="1:14" ht="75" x14ac:dyDescent="0.25">
      <c r="A41" s="4">
        <v>40</v>
      </c>
      <c r="B41" s="1" t="s">
        <v>17</v>
      </c>
      <c r="D41" s="1" t="s">
        <v>307</v>
      </c>
      <c r="E41" s="1" t="s">
        <v>308</v>
      </c>
      <c r="F41" s="1" t="s">
        <v>309</v>
      </c>
      <c r="G41" s="1" t="s">
        <v>310</v>
      </c>
      <c r="H41" s="5">
        <v>400</v>
      </c>
      <c r="I41" s="1" t="s">
        <v>167</v>
      </c>
      <c r="J41" s="1">
        <v>10218</v>
      </c>
      <c r="K41" s="7" t="s">
        <v>919</v>
      </c>
      <c r="L41" s="1">
        <v>1042346954</v>
      </c>
      <c r="M41" s="7" t="s">
        <v>813</v>
      </c>
      <c r="N41" s="7" t="s">
        <v>23</v>
      </c>
    </row>
    <row r="42" spans="1:14" ht="75" x14ac:dyDescent="0.25">
      <c r="A42" s="4">
        <v>41</v>
      </c>
      <c r="B42" s="1" t="s">
        <v>17</v>
      </c>
      <c r="D42" s="1" t="s">
        <v>311</v>
      </c>
      <c r="E42" s="1" t="s">
        <v>312</v>
      </c>
      <c r="F42" s="1" t="s">
        <v>313</v>
      </c>
      <c r="G42" s="1" t="s">
        <v>310</v>
      </c>
      <c r="H42" s="5">
        <v>400</v>
      </c>
      <c r="I42" s="1" t="s">
        <v>167</v>
      </c>
      <c r="J42" s="1">
        <v>10218</v>
      </c>
      <c r="K42" s="7" t="s">
        <v>919</v>
      </c>
      <c r="L42" s="1">
        <v>1042346954</v>
      </c>
      <c r="M42" s="7" t="s">
        <v>813</v>
      </c>
      <c r="N42" s="7" t="s">
        <v>23</v>
      </c>
    </row>
    <row r="43" spans="1:14" ht="75" x14ac:dyDescent="0.25">
      <c r="A43" s="4">
        <v>42</v>
      </c>
      <c r="B43" s="1" t="s">
        <v>17</v>
      </c>
      <c r="D43" s="1" t="s">
        <v>314</v>
      </c>
      <c r="E43" s="1" t="s">
        <v>315</v>
      </c>
      <c r="F43" s="1" t="s">
        <v>316</v>
      </c>
      <c r="G43" s="1" t="s">
        <v>242</v>
      </c>
      <c r="H43" s="5">
        <v>403</v>
      </c>
      <c r="I43" s="1" t="s">
        <v>167</v>
      </c>
      <c r="J43" s="1">
        <v>10218</v>
      </c>
      <c r="K43" s="7" t="s">
        <v>919</v>
      </c>
      <c r="L43" s="1">
        <v>1042346954</v>
      </c>
      <c r="M43" s="7" t="s">
        <v>813</v>
      </c>
      <c r="N43" s="7" t="s">
        <v>23</v>
      </c>
    </row>
    <row r="44" spans="1:14" ht="75" x14ac:dyDescent="0.25">
      <c r="A44" s="4">
        <v>43</v>
      </c>
      <c r="B44" s="1" t="s">
        <v>17</v>
      </c>
      <c r="D44" s="1" t="s">
        <v>317</v>
      </c>
      <c r="E44" s="1" t="s">
        <v>318</v>
      </c>
      <c r="F44" s="1" t="s">
        <v>319</v>
      </c>
      <c r="G44" s="1" t="s">
        <v>242</v>
      </c>
      <c r="H44" s="5">
        <v>403</v>
      </c>
      <c r="I44" s="1" t="s">
        <v>167</v>
      </c>
      <c r="J44" s="1">
        <v>10218</v>
      </c>
      <c r="K44" s="7" t="s">
        <v>919</v>
      </c>
      <c r="L44" s="1">
        <v>1042346954</v>
      </c>
      <c r="M44" s="7" t="s">
        <v>813</v>
      </c>
      <c r="N44" s="7" t="s">
        <v>23</v>
      </c>
    </row>
    <row r="45" spans="1:14" ht="255" x14ac:dyDescent="0.25">
      <c r="A45" s="4">
        <v>44</v>
      </c>
      <c r="B45" s="1" t="s">
        <v>17</v>
      </c>
      <c r="D45" s="1" t="s">
        <v>320</v>
      </c>
      <c r="E45" s="1" t="s">
        <v>321</v>
      </c>
      <c r="F45" s="1" t="s">
        <v>322</v>
      </c>
      <c r="G45" s="1" t="s">
        <v>323</v>
      </c>
      <c r="H45" s="5">
        <v>404</v>
      </c>
      <c r="I45" s="1" t="s">
        <v>167</v>
      </c>
      <c r="J45" s="1">
        <v>10218</v>
      </c>
      <c r="K45" s="7" t="s">
        <v>919</v>
      </c>
      <c r="L45" s="1">
        <v>1042346954</v>
      </c>
      <c r="M45" s="7" t="s">
        <v>813</v>
      </c>
      <c r="N45" s="7" t="s">
        <v>23</v>
      </c>
    </row>
    <row r="46" spans="1:14" ht="105" x14ac:dyDescent="0.25">
      <c r="A46" s="4">
        <v>45</v>
      </c>
      <c r="B46" s="1" t="s">
        <v>17</v>
      </c>
      <c r="D46" s="1" t="s">
        <v>324</v>
      </c>
      <c r="E46" s="1" t="s">
        <v>325</v>
      </c>
      <c r="F46" s="1" t="s">
        <v>326</v>
      </c>
      <c r="G46" s="1" t="s">
        <v>327</v>
      </c>
      <c r="H46" s="5">
        <v>200</v>
      </c>
      <c r="I46" s="1" t="s">
        <v>167</v>
      </c>
      <c r="J46" s="1">
        <v>10218</v>
      </c>
      <c r="K46" s="7" t="s">
        <v>919</v>
      </c>
      <c r="L46" s="1">
        <v>1042346954</v>
      </c>
      <c r="M46" s="7" t="s">
        <v>813</v>
      </c>
      <c r="N46" s="7" t="s">
        <v>23</v>
      </c>
    </row>
    <row r="47" spans="1:14" ht="120" x14ac:dyDescent="0.25">
      <c r="A47" s="4">
        <v>46</v>
      </c>
      <c r="B47" s="1" t="s">
        <v>17</v>
      </c>
      <c r="D47" s="1" t="s">
        <v>328</v>
      </c>
      <c r="E47" s="1" t="s">
        <v>329</v>
      </c>
      <c r="F47" s="1" t="s">
        <v>330</v>
      </c>
      <c r="G47" s="1" t="s">
        <v>331</v>
      </c>
      <c r="H47" s="5">
        <v>200</v>
      </c>
      <c r="I47" s="1" t="s">
        <v>167</v>
      </c>
      <c r="J47" s="1">
        <v>10218</v>
      </c>
      <c r="K47" s="7" t="s">
        <v>919</v>
      </c>
      <c r="L47" s="1">
        <v>1042346954</v>
      </c>
      <c r="M47" s="7" t="s">
        <v>813</v>
      </c>
      <c r="N47" s="7" t="s">
        <v>23</v>
      </c>
    </row>
    <row r="48" spans="1:14" ht="105" x14ac:dyDescent="0.25">
      <c r="A48" s="4">
        <v>47</v>
      </c>
      <c r="B48" s="1" t="s">
        <v>17</v>
      </c>
      <c r="D48" s="1" t="s">
        <v>332</v>
      </c>
      <c r="E48" s="1" t="s">
        <v>333</v>
      </c>
      <c r="F48" s="1" t="s">
        <v>334</v>
      </c>
      <c r="G48" s="1" t="s">
        <v>327</v>
      </c>
      <c r="H48" s="5">
        <v>200</v>
      </c>
      <c r="I48" s="1" t="s">
        <v>167</v>
      </c>
      <c r="J48" s="1">
        <v>10218</v>
      </c>
      <c r="K48" s="7" t="s">
        <v>919</v>
      </c>
      <c r="L48" s="1">
        <v>1042346954</v>
      </c>
      <c r="M48" s="7" t="s">
        <v>813</v>
      </c>
      <c r="N48" s="7" t="s">
        <v>23</v>
      </c>
    </row>
    <row r="49" spans="1:14" ht="60" x14ac:dyDescent="0.25">
      <c r="A49" s="4">
        <v>48</v>
      </c>
      <c r="B49" s="1" t="s">
        <v>17</v>
      </c>
      <c r="D49" s="1" t="s">
        <v>335</v>
      </c>
      <c r="E49" s="1" t="s">
        <v>336</v>
      </c>
      <c r="F49" s="1" t="s">
        <v>337</v>
      </c>
      <c r="G49" s="1" t="s">
        <v>338</v>
      </c>
      <c r="H49" s="11" t="s">
        <v>637</v>
      </c>
      <c r="I49" s="1" t="s">
        <v>167</v>
      </c>
      <c r="J49" s="1">
        <v>10218</v>
      </c>
      <c r="K49" s="7" t="s">
        <v>919</v>
      </c>
      <c r="L49" s="1">
        <v>1042346954</v>
      </c>
      <c r="M49" s="7" t="s">
        <v>813</v>
      </c>
      <c r="N49" s="7" t="s">
        <v>23</v>
      </c>
    </row>
    <row r="50" spans="1:14" ht="165" x14ac:dyDescent="0.25">
      <c r="A50" s="4">
        <v>49</v>
      </c>
      <c r="B50" s="1" t="s">
        <v>17</v>
      </c>
      <c r="D50" s="1" t="s">
        <v>339</v>
      </c>
      <c r="E50" s="1" t="s">
        <v>340</v>
      </c>
      <c r="F50" s="1" t="s">
        <v>341</v>
      </c>
      <c r="G50" s="1" t="s">
        <v>342</v>
      </c>
      <c r="H50" s="5">
        <v>200</v>
      </c>
      <c r="I50" s="1" t="s">
        <v>167</v>
      </c>
      <c r="J50" s="1">
        <v>10218</v>
      </c>
      <c r="K50" s="7" t="s">
        <v>919</v>
      </c>
      <c r="L50" s="1">
        <v>1042346954</v>
      </c>
      <c r="M50" s="7" t="s">
        <v>813</v>
      </c>
      <c r="N50" s="7" t="s">
        <v>23</v>
      </c>
    </row>
    <row r="51" spans="1:14" ht="195" x14ac:dyDescent="0.25">
      <c r="A51" s="4">
        <v>50</v>
      </c>
      <c r="B51" s="1" t="s">
        <v>17</v>
      </c>
      <c r="D51" s="1" t="s">
        <v>343</v>
      </c>
      <c r="E51" s="1" t="s">
        <v>344</v>
      </c>
      <c r="F51" s="1" t="s">
        <v>345</v>
      </c>
      <c r="G51" s="1" t="s">
        <v>346</v>
      </c>
      <c r="H51" s="5">
        <v>200</v>
      </c>
      <c r="I51" s="1" t="s">
        <v>167</v>
      </c>
      <c r="J51" s="1">
        <v>10218</v>
      </c>
      <c r="K51" s="7" t="s">
        <v>919</v>
      </c>
      <c r="L51" s="1">
        <v>1042346954</v>
      </c>
      <c r="M51" s="7" t="s">
        <v>813</v>
      </c>
      <c r="N51" s="7" t="s">
        <v>23</v>
      </c>
    </row>
    <row r="52" spans="1:14" ht="60" x14ac:dyDescent="0.25">
      <c r="A52" s="4">
        <v>51</v>
      </c>
      <c r="B52" s="1" t="s">
        <v>17</v>
      </c>
      <c r="D52" s="1" t="s">
        <v>347</v>
      </c>
      <c r="E52" s="1" t="s">
        <v>348</v>
      </c>
      <c r="F52" s="1" t="s">
        <v>349</v>
      </c>
      <c r="G52" s="1" t="s">
        <v>258</v>
      </c>
      <c r="H52" s="5">
        <v>401</v>
      </c>
      <c r="I52" s="1" t="s">
        <v>167</v>
      </c>
      <c r="J52" s="1">
        <v>10218</v>
      </c>
      <c r="K52" s="7" t="s">
        <v>919</v>
      </c>
      <c r="L52" s="1">
        <v>1042346954</v>
      </c>
      <c r="M52" s="7" t="s">
        <v>813</v>
      </c>
      <c r="N52" s="7" t="s">
        <v>23</v>
      </c>
    </row>
    <row r="53" spans="1:14" ht="60" x14ac:dyDescent="0.25">
      <c r="A53" s="4">
        <v>52</v>
      </c>
      <c r="B53" s="1" t="s">
        <v>17</v>
      </c>
      <c r="D53" s="1" t="s">
        <v>350</v>
      </c>
      <c r="E53" s="1" t="s">
        <v>351</v>
      </c>
      <c r="F53" s="1" t="s">
        <v>352</v>
      </c>
      <c r="G53" s="1" t="s">
        <v>258</v>
      </c>
      <c r="H53" s="5">
        <v>401</v>
      </c>
      <c r="I53" s="1" t="s">
        <v>167</v>
      </c>
      <c r="J53" s="1">
        <v>10218</v>
      </c>
      <c r="K53" s="7" t="s">
        <v>919</v>
      </c>
      <c r="L53" s="1">
        <v>1042346954</v>
      </c>
      <c r="M53" s="7" t="s">
        <v>813</v>
      </c>
      <c r="N53" s="7" t="s">
        <v>23</v>
      </c>
    </row>
    <row r="54" spans="1:14" ht="180" x14ac:dyDescent="0.25">
      <c r="A54" s="4">
        <v>53</v>
      </c>
      <c r="B54" s="1" t="s">
        <v>17</v>
      </c>
      <c r="D54" s="1" t="s">
        <v>353</v>
      </c>
      <c r="E54" s="1" t="s">
        <v>354</v>
      </c>
      <c r="F54" s="1" t="s">
        <v>355</v>
      </c>
      <c r="G54" s="1" t="s">
        <v>356</v>
      </c>
      <c r="H54" s="5">
        <v>200</v>
      </c>
      <c r="I54" s="1" t="s">
        <v>167</v>
      </c>
      <c r="J54" s="1">
        <v>10218</v>
      </c>
      <c r="K54" s="7" t="s">
        <v>919</v>
      </c>
      <c r="L54" s="1">
        <v>1042346954</v>
      </c>
      <c r="M54" s="7" t="s">
        <v>813</v>
      </c>
      <c r="N54" s="7" t="s">
        <v>23</v>
      </c>
    </row>
    <row r="55" spans="1:14" ht="180" x14ac:dyDescent="0.25">
      <c r="A55" s="4">
        <v>54</v>
      </c>
      <c r="B55" s="1" t="s">
        <v>17</v>
      </c>
      <c r="D55" s="1" t="s">
        <v>357</v>
      </c>
      <c r="E55" s="1" t="s">
        <v>358</v>
      </c>
      <c r="F55" s="1" t="s">
        <v>359</v>
      </c>
      <c r="G55" s="1" t="s">
        <v>360</v>
      </c>
      <c r="H55" s="5">
        <v>200</v>
      </c>
      <c r="I55" s="1" t="s">
        <v>167</v>
      </c>
      <c r="J55" s="1">
        <v>10218</v>
      </c>
      <c r="K55" s="7" t="s">
        <v>919</v>
      </c>
      <c r="L55" s="1">
        <v>1042346954</v>
      </c>
      <c r="M55" s="7" t="s">
        <v>813</v>
      </c>
      <c r="N55" s="7" t="s">
        <v>23</v>
      </c>
    </row>
    <row r="56" spans="1:14" ht="180" x14ac:dyDescent="0.25">
      <c r="A56" s="4">
        <v>55</v>
      </c>
      <c r="B56" s="1" t="s">
        <v>17</v>
      </c>
      <c r="D56" s="1" t="s">
        <v>361</v>
      </c>
      <c r="E56" s="1" t="s">
        <v>362</v>
      </c>
      <c r="F56" s="1" t="s">
        <v>363</v>
      </c>
      <c r="G56" s="1" t="s">
        <v>364</v>
      </c>
      <c r="H56" s="5">
        <v>200</v>
      </c>
      <c r="I56" s="1" t="s">
        <v>167</v>
      </c>
      <c r="J56" s="1">
        <v>10218</v>
      </c>
      <c r="K56" s="7" t="s">
        <v>919</v>
      </c>
      <c r="L56" s="1">
        <v>1042346954</v>
      </c>
      <c r="M56" s="7" t="s">
        <v>813</v>
      </c>
      <c r="N56" s="7" t="s">
        <v>23</v>
      </c>
    </row>
    <row r="57" spans="1:14" ht="180" x14ac:dyDescent="0.25">
      <c r="A57" s="4">
        <v>56</v>
      </c>
      <c r="B57" s="1" t="s">
        <v>17</v>
      </c>
      <c r="D57" s="1" t="s">
        <v>365</v>
      </c>
      <c r="E57" s="1" t="s">
        <v>366</v>
      </c>
      <c r="F57" s="1" t="s">
        <v>367</v>
      </c>
      <c r="G57" s="1" t="s">
        <v>368</v>
      </c>
      <c r="H57" s="5">
        <v>200</v>
      </c>
      <c r="I57" s="1" t="s">
        <v>167</v>
      </c>
      <c r="J57" s="1">
        <v>10218</v>
      </c>
      <c r="K57" s="7" t="s">
        <v>919</v>
      </c>
      <c r="L57" s="1">
        <v>1042346954</v>
      </c>
      <c r="M57" s="7" t="s">
        <v>813</v>
      </c>
      <c r="N57" s="7" t="s">
        <v>23</v>
      </c>
    </row>
    <row r="58" spans="1:14" ht="225" x14ac:dyDescent="0.25">
      <c r="A58" s="4">
        <v>57</v>
      </c>
      <c r="B58" s="1" t="s">
        <v>17</v>
      </c>
      <c r="D58" s="1" t="s">
        <v>369</v>
      </c>
      <c r="E58" s="1" t="s">
        <v>370</v>
      </c>
      <c r="F58" s="1" t="s">
        <v>371</v>
      </c>
      <c r="G58" s="1" t="s">
        <v>372</v>
      </c>
      <c r="H58" s="5">
        <v>200</v>
      </c>
      <c r="I58" s="1" t="s">
        <v>167</v>
      </c>
      <c r="J58" s="1">
        <v>10218</v>
      </c>
      <c r="K58" s="7" t="s">
        <v>919</v>
      </c>
      <c r="L58" s="1">
        <v>1042346954</v>
      </c>
      <c r="M58" s="7" t="s">
        <v>813</v>
      </c>
      <c r="N58" s="7" t="s">
        <v>23</v>
      </c>
    </row>
    <row r="59" spans="1:14" ht="225" x14ac:dyDescent="0.25">
      <c r="A59" s="4">
        <v>58</v>
      </c>
      <c r="B59" s="1" t="s">
        <v>17</v>
      </c>
      <c r="D59" s="1" t="s">
        <v>373</v>
      </c>
      <c r="E59" s="1" t="s">
        <v>374</v>
      </c>
      <c r="F59" s="1" t="s">
        <v>375</v>
      </c>
      <c r="G59" s="1" t="s">
        <v>376</v>
      </c>
      <c r="H59" s="5">
        <v>200</v>
      </c>
      <c r="I59" s="1" t="s">
        <v>167</v>
      </c>
      <c r="J59" s="1">
        <v>10218</v>
      </c>
      <c r="K59" s="7" t="s">
        <v>919</v>
      </c>
      <c r="L59" s="1">
        <v>1042346954</v>
      </c>
      <c r="M59" s="7" t="s">
        <v>813</v>
      </c>
      <c r="N59" s="7" t="s">
        <v>23</v>
      </c>
    </row>
    <row r="60" spans="1:14" ht="300" x14ac:dyDescent="0.25">
      <c r="A60" s="4">
        <v>59</v>
      </c>
      <c r="B60" s="1" t="s">
        <v>17</v>
      </c>
      <c r="D60" s="1" t="s">
        <v>377</v>
      </c>
      <c r="E60" s="1" t="s">
        <v>378</v>
      </c>
      <c r="F60" s="1" t="s">
        <v>379</v>
      </c>
      <c r="G60" s="1" t="s">
        <v>380</v>
      </c>
      <c r="H60" s="5">
        <v>400</v>
      </c>
      <c r="I60" s="1" t="s">
        <v>167</v>
      </c>
      <c r="J60" s="1">
        <v>10218</v>
      </c>
      <c r="K60" s="7" t="s">
        <v>919</v>
      </c>
      <c r="L60" s="1">
        <v>1042346954</v>
      </c>
      <c r="M60" s="7" t="s">
        <v>813</v>
      </c>
      <c r="N60" s="7" t="s">
        <v>23</v>
      </c>
    </row>
  </sheetData>
  <autoFilter ref="A1:L60" xr:uid="{D8A7C634-65F0-470F-92CF-B555CDB09432}"/>
  <phoneticPr fontId="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45A5C-F0A2-441C-8DBD-6B6295C119FD}">
  <sheetPr>
    <tabColor rgb="FF00B0F0"/>
  </sheetPr>
  <dimension ref="A1:AN153"/>
  <sheetViews>
    <sheetView topLeftCell="G1" zoomScale="85" zoomScaleNormal="85" workbookViewId="0">
      <pane ySplit="1" topLeftCell="A2" activePane="bottomLeft" state="frozen"/>
      <selection pane="bottomLeft" activeCell="N4" sqref="N4"/>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style="1" customWidth="1"/>
    <col min="6" max="6" width="34.42578125" style="1" customWidth="1"/>
    <col min="7" max="7" width="48.85546875" style="22"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8"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29" t="s">
        <v>6</v>
      </c>
      <c r="H1" s="2" t="s">
        <v>7</v>
      </c>
      <c r="I1" s="13" t="s">
        <v>812</v>
      </c>
      <c r="J1" s="13" t="s">
        <v>8</v>
      </c>
      <c r="K1" s="9" t="s">
        <v>9</v>
      </c>
      <c r="L1" s="9" t="s">
        <v>11</v>
      </c>
      <c r="M1" s="9" t="s">
        <v>10</v>
      </c>
      <c r="N1" s="9" t="s">
        <v>12</v>
      </c>
      <c r="O1" s="17" t="s">
        <v>13</v>
      </c>
      <c r="P1" s="9" t="s">
        <v>104</v>
      </c>
      <c r="Q1" s="9" t="s">
        <v>14</v>
      </c>
      <c r="R1" s="9" t="s">
        <v>930</v>
      </c>
      <c r="S1" s="10" t="s">
        <v>103</v>
      </c>
      <c r="T1" s="10" t="s">
        <v>16</v>
      </c>
      <c r="U1" s="34" t="s">
        <v>381</v>
      </c>
      <c r="V1" s="10" t="s">
        <v>382</v>
      </c>
      <c r="W1" s="10" t="s">
        <v>383</v>
      </c>
      <c r="X1" s="35" t="s">
        <v>384</v>
      </c>
      <c r="Y1" s="10" t="s">
        <v>385</v>
      </c>
      <c r="Z1" s="10" t="s">
        <v>386</v>
      </c>
      <c r="AA1" s="10" t="s">
        <v>387</v>
      </c>
      <c r="AB1" s="10" t="s">
        <v>388</v>
      </c>
      <c r="AC1" s="10" t="s">
        <v>389</v>
      </c>
      <c r="AD1" s="10" t="s">
        <v>390</v>
      </c>
      <c r="AE1" s="10" t="s">
        <v>391</v>
      </c>
      <c r="AF1" s="10" t="s">
        <v>392</v>
      </c>
      <c r="AG1" s="10" t="s">
        <v>393</v>
      </c>
      <c r="AH1" s="10" t="s">
        <v>394</v>
      </c>
      <c r="AI1" s="26" t="s">
        <v>928</v>
      </c>
      <c r="AJ1" s="26" t="s">
        <v>929</v>
      </c>
      <c r="AK1" s="26" t="s">
        <v>1484</v>
      </c>
      <c r="AL1" s="26" t="s">
        <v>1485</v>
      </c>
      <c r="AM1" s="26" t="s">
        <v>1486</v>
      </c>
      <c r="AN1" s="26" t="s">
        <v>1487</v>
      </c>
    </row>
    <row r="2" spans="1:40" ht="210" x14ac:dyDescent="0.25">
      <c r="A2" s="1">
        <v>1</v>
      </c>
      <c r="B2" s="1" t="str">
        <f>C2</f>
        <v>Y</v>
      </c>
      <c r="C2" s="1" t="s">
        <v>17</v>
      </c>
      <c r="D2" s="4" t="s">
        <v>1658</v>
      </c>
      <c r="E2" s="1" t="s">
        <v>1811</v>
      </c>
      <c r="F2" s="1" t="s">
        <v>396</v>
      </c>
      <c r="G2" s="1" t="s">
        <v>1635</v>
      </c>
      <c r="H2" s="1">
        <v>200</v>
      </c>
      <c r="I2" s="1" t="s">
        <v>22</v>
      </c>
      <c r="J2" s="1" t="s">
        <v>398</v>
      </c>
      <c r="K2" s="7" t="s">
        <v>23</v>
      </c>
      <c r="L2" s="7" t="s">
        <v>926</v>
      </c>
      <c r="M2" s="7" t="s">
        <v>927</v>
      </c>
      <c r="N2" s="23" t="s">
        <v>921</v>
      </c>
      <c r="O2" s="1" t="s">
        <v>920</v>
      </c>
      <c r="P2" s="7" t="s">
        <v>922</v>
      </c>
      <c r="Q2" s="1" t="s">
        <v>23</v>
      </c>
      <c r="R2" s="1"/>
      <c r="S2" s="4" t="s">
        <v>400</v>
      </c>
      <c r="T2" s="7" t="s">
        <v>27</v>
      </c>
      <c r="U2" s="11" t="s">
        <v>923</v>
      </c>
      <c r="V2" s="1" t="s">
        <v>924</v>
      </c>
      <c r="W2" s="1" t="s">
        <v>402</v>
      </c>
      <c r="X2" s="5">
        <v>200061812481</v>
      </c>
      <c r="Y2" s="1" t="s">
        <v>925</v>
      </c>
      <c r="Z2" s="1">
        <v>1</v>
      </c>
      <c r="AA2" s="6" t="s">
        <v>404</v>
      </c>
      <c r="AB2" s="6" t="s">
        <v>405</v>
      </c>
      <c r="AC2" s="6" t="s">
        <v>406</v>
      </c>
      <c r="AD2" s="1" t="s">
        <v>407</v>
      </c>
      <c r="AE2" s="1" t="s">
        <v>408</v>
      </c>
      <c r="AF2" s="1" t="s">
        <v>409</v>
      </c>
      <c r="AG2" s="1" t="s">
        <v>410</v>
      </c>
      <c r="AH2" s="1" t="s">
        <v>411</v>
      </c>
    </row>
    <row r="3" spans="1:40" ht="210" x14ac:dyDescent="0.25">
      <c r="A3" s="1">
        <v>2</v>
      </c>
      <c r="B3" s="1" t="str">
        <f t="shared" ref="B3:B66" si="0">C3</f>
        <v>Y</v>
      </c>
      <c r="C3" s="1" t="s">
        <v>17</v>
      </c>
      <c r="D3" s="4" t="s">
        <v>1659</v>
      </c>
      <c r="E3" s="1" t="s">
        <v>1567</v>
      </c>
      <c r="F3" s="1" t="s">
        <v>413</v>
      </c>
      <c r="G3" s="1" t="s">
        <v>1635</v>
      </c>
      <c r="H3" s="1">
        <v>200</v>
      </c>
      <c r="I3" s="1" t="s">
        <v>22</v>
      </c>
      <c r="J3" s="1" t="s">
        <v>398</v>
      </c>
      <c r="K3" s="7" t="s">
        <v>23</v>
      </c>
      <c r="L3" s="7" t="s">
        <v>926</v>
      </c>
      <c r="M3" s="7" t="s">
        <v>927</v>
      </c>
      <c r="N3" s="23" t="s">
        <v>921</v>
      </c>
      <c r="O3" s="1" t="s">
        <v>920</v>
      </c>
      <c r="P3" s="7" t="s">
        <v>922</v>
      </c>
      <c r="Q3" s="1" t="s">
        <v>23</v>
      </c>
      <c r="R3" s="1"/>
      <c r="S3" s="4" t="s">
        <v>400</v>
      </c>
      <c r="T3" s="7" t="s">
        <v>27</v>
      </c>
      <c r="U3" s="11" t="s">
        <v>923</v>
      </c>
      <c r="V3" s="1" t="s">
        <v>1813</v>
      </c>
      <c r="W3" s="1" t="s">
        <v>415</v>
      </c>
      <c r="X3" s="5">
        <v>500027172507</v>
      </c>
      <c r="Y3" s="1" t="s">
        <v>925</v>
      </c>
      <c r="Z3" s="1">
        <v>1</v>
      </c>
      <c r="AA3" s="6" t="s">
        <v>404</v>
      </c>
      <c r="AB3" s="6" t="s">
        <v>405</v>
      </c>
      <c r="AC3" s="6" t="s">
        <v>406</v>
      </c>
      <c r="AD3" s="1" t="s">
        <v>407</v>
      </c>
      <c r="AE3" s="1" t="s">
        <v>408</v>
      </c>
      <c r="AF3" s="1" t="s">
        <v>409</v>
      </c>
      <c r="AG3" s="1" t="s">
        <v>410</v>
      </c>
      <c r="AH3" s="1" t="s">
        <v>411</v>
      </c>
    </row>
    <row r="4" spans="1:40" ht="210" x14ac:dyDescent="0.25">
      <c r="A4" s="1">
        <v>3</v>
      </c>
      <c r="B4" s="1" t="str">
        <f t="shared" si="0"/>
        <v>Y</v>
      </c>
      <c r="C4" s="1" t="s">
        <v>17</v>
      </c>
      <c r="D4" s="4" t="s">
        <v>1660</v>
      </c>
      <c r="E4" s="1" t="s">
        <v>1568</v>
      </c>
      <c r="F4" s="1" t="s">
        <v>423</v>
      </c>
      <c r="G4" s="1" t="s">
        <v>1636</v>
      </c>
      <c r="H4" s="1">
        <v>200</v>
      </c>
      <c r="I4" s="1" t="s">
        <v>22</v>
      </c>
      <c r="J4" s="1" t="s">
        <v>398</v>
      </c>
      <c r="K4" s="7" t="s">
        <v>23</v>
      </c>
      <c r="L4" s="7" t="s">
        <v>926</v>
      </c>
      <c r="M4" s="7" t="s">
        <v>927</v>
      </c>
      <c r="N4" s="23" t="s">
        <v>921</v>
      </c>
      <c r="O4" s="1" t="s">
        <v>920</v>
      </c>
      <c r="P4" s="7" t="s">
        <v>922</v>
      </c>
      <c r="Q4" s="1" t="s">
        <v>23</v>
      </c>
      <c r="R4" s="1"/>
      <c r="S4" s="4" t="s">
        <v>109</v>
      </c>
      <c r="T4" s="7" t="s">
        <v>27</v>
      </c>
      <c r="U4" s="11" t="s">
        <v>923</v>
      </c>
      <c r="V4" s="1" t="s">
        <v>924</v>
      </c>
      <c r="W4" s="1" t="s">
        <v>1814</v>
      </c>
      <c r="X4" s="5">
        <v>670000047</v>
      </c>
      <c r="Y4" s="1" t="s">
        <v>925</v>
      </c>
      <c r="Z4" s="1">
        <v>1</v>
      </c>
      <c r="AA4" s="6" t="s">
        <v>404</v>
      </c>
      <c r="AB4" s="6" t="s">
        <v>405</v>
      </c>
      <c r="AC4" s="6" t="s">
        <v>406</v>
      </c>
      <c r="AD4" s="1" t="s">
        <v>407</v>
      </c>
      <c r="AE4" s="1" t="s">
        <v>408</v>
      </c>
      <c r="AF4" s="1" t="s">
        <v>409</v>
      </c>
      <c r="AG4" s="1" t="s">
        <v>410</v>
      </c>
      <c r="AH4" s="1" t="s">
        <v>411</v>
      </c>
    </row>
    <row r="5" spans="1:40" ht="75" x14ac:dyDescent="0.25">
      <c r="A5" s="1">
        <v>4</v>
      </c>
      <c r="B5" s="1" t="str">
        <f t="shared" si="0"/>
        <v>N</v>
      </c>
      <c r="C5" s="1" t="s">
        <v>915</v>
      </c>
      <c r="D5" s="4" t="s">
        <v>1662</v>
      </c>
      <c r="E5" s="1" t="s">
        <v>1569</v>
      </c>
      <c r="F5" s="1" t="s">
        <v>982</v>
      </c>
      <c r="G5" s="1" t="s">
        <v>1637</v>
      </c>
      <c r="H5" s="1">
        <v>200</v>
      </c>
      <c r="I5" s="1" t="s">
        <v>22</v>
      </c>
      <c r="J5" s="1" t="s">
        <v>398</v>
      </c>
      <c r="K5" s="7" t="s">
        <v>23</v>
      </c>
      <c r="L5" s="7" t="s">
        <v>926</v>
      </c>
      <c r="M5" s="7" t="s">
        <v>927</v>
      </c>
      <c r="N5" s="23" t="s">
        <v>921</v>
      </c>
      <c r="O5" s="1" t="s">
        <v>920</v>
      </c>
      <c r="P5" s="7" t="s">
        <v>922</v>
      </c>
      <c r="Q5" s="1" t="s">
        <v>23</v>
      </c>
      <c r="R5" s="1"/>
      <c r="S5" s="4" t="s">
        <v>400</v>
      </c>
      <c r="T5" s="7" t="s">
        <v>27</v>
      </c>
      <c r="U5" s="11" t="s">
        <v>923</v>
      </c>
      <c r="V5" s="1" t="s">
        <v>924</v>
      </c>
      <c r="W5" s="1" t="s">
        <v>402</v>
      </c>
      <c r="X5" s="5">
        <v>200061812481</v>
      </c>
      <c r="Y5" s="1" t="s">
        <v>925</v>
      </c>
      <c r="Z5" s="1">
        <v>1</v>
      </c>
      <c r="AA5" s="6" t="s">
        <v>404</v>
      </c>
      <c r="AB5" s="6" t="s">
        <v>405</v>
      </c>
      <c r="AC5" s="6" t="s">
        <v>406</v>
      </c>
      <c r="AD5" s="1" t="s">
        <v>407</v>
      </c>
      <c r="AE5" s="1" t="s">
        <v>408</v>
      </c>
      <c r="AF5" s="1" t="s">
        <v>409</v>
      </c>
      <c r="AG5" s="1" t="s">
        <v>410</v>
      </c>
      <c r="AH5" s="1" t="s">
        <v>411</v>
      </c>
    </row>
    <row r="6" spans="1:40" ht="105" x14ac:dyDescent="0.25">
      <c r="A6" s="1">
        <v>5</v>
      </c>
      <c r="B6" s="1" t="str">
        <f t="shared" si="0"/>
        <v>N</v>
      </c>
      <c r="C6" s="1" t="s">
        <v>915</v>
      </c>
      <c r="D6" s="4" t="s">
        <v>1663</v>
      </c>
      <c r="E6" s="63" t="s">
        <v>1570</v>
      </c>
      <c r="F6" s="1" t="s">
        <v>983</v>
      </c>
      <c r="G6" s="1" t="s">
        <v>1656</v>
      </c>
      <c r="H6" s="1">
        <v>400</v>
      </c>
      <c r="I6" s="1" t="s">
        <v>22</v>
      </c>
      <c r="J6" s="1" t="s">
        <v>398</v>
      </c>
      <c r="K6" s="7" t="s">
        <v>23</v>
      </c>
      <c r="L6" s="7" t="s">
        <v>926</v>
      </c>
      <c r="M6" s="7" t="s">
        <v>927</v>
      </c>
      <c r="N6" s="23" t="s">
        <v>921</v>
      </c>
      <c r="O6" s="1" t="s">
        <v>920</v>
      </c>
      <c r="P6" s="7" t="s">
        <v>922</v>
      </c>
      <c r="Q6" s="1" t="s">
        <v>23</v>
      </c>
      <c r="R6" s="1"/>
      <c r="S6" s="4" t="s">
        <v>400</v>
      </c>
      <c r="T6" s="7" t="s">
        <v>27</v>
      </c>
      <c r="U6" s="11" t="s">
        <v>923</v>
      </c>
      <c r="V6" s="1" t="s">
        <v>924</v>
      </c>
      <c r="W6" s="1" t="s">
        <v>402</v>
      </c>
      <c r="X6" s="5">
        <v>200061812481</v>
      </c>
      <c r="Y6" s="1" t="s">
        <v>925</v>
      </c>
      <c r="Z6" s="1">
        <v>1</v>
      </c>
      <c r="AA6" s="6" t="s">
        <v>404</v>
      </c>
      <c r="AB6" s="6" t="s">
        <v>405</v>
      </c>
      <c r="AC6" s="6" t="s">
        <v>406</v>
      </c>
      <c r="AD6" s="1" t="s">
        <v>407</v>
      </c>
      <c r="AE6" s="1" t="s">
        <v>408</v>
      </c>
      <c r="AF6" s="1" t="s">
        <v>409</v>
      </c>
      <c r="AG6" s="1" t="s">
        <v>410</v>
      </c>
      <c r="AH6" s="1" t="s">
        <v>411</v>
      </c>
    </row>
    <row r="7" spans="1:40" ht="105" x14ac:dyDescent="0.25">
      <c r="A7" s="1">
        <v>6</v>
      </c>
      <c r="B7" s="1" t="str">
        <f t="shared" si="0"/>
        <v>N</v>
      </c>
      <c r="C7" s="1" t="s">
        <v>915</v>
      </c>
      <c r="D7" s="4" t="s">
        <v>1664</v>
      </c>
      <c r="E7" s="1" t="s">
        <v>1571</v>
      </c>
      <c r="F7" s="1" t="s">
        <v>985</v>
      </c>
      <c r="G7" s="1" t="s">
        <v>1656</v>
      </c>
      <c r="H7" s="1">
        <v>400</v>
      </c>
      <c r="I7" s="1" t="s">
        <v>22</v>
      </c>
      <c r="J7" s="1" t="s">
        <v>398</v>
      </c>
      <c r="K7" s="7" t="s">
        <v>23</v>
      </c>
      <c r="L7" s="7" t="s">
        <v>926</v>
      </c>
      <c r="M7" s="7" t="s">
        <v>927</v>
      </c>
      <c r="N7" s="23" t="s">
        <v>921</v>
      </c>
      <c r="O7" s="1" t="s">
        <v>920</v>
      </c>
      <c r="P7" s="7" t="s">
        <v>922</v>
      </c>
      <c r="Q7" s="1" t="s">
        <v>23</v>
      </c>
      <c r="R7" s="1"/>
      <c r="S7" s="4" t="s">
        <v>400</v>
      </c>
      <c r="T7" s="7" t="s">
        <v>27</v>
      </c>
      <c r="U7" s="11" t="s">
        <v>923</v>
      </c>
      <c r="V7" s="1" t="s">
        <v>924</v>
      </c>
      <c r="W7" s="1" t="s">
        <v>402</v>
      </c>
      <c r="X7" s="5">
        <v>200061812481</v>
      </c>
      <c r="Y7" s="1" t="s">
        <v>925</v>
      </c>
      <c r="Z7" s="1">
        <v>1</v>
      </c>
      <c r="AA7" s="6" t="s">
        <v>404</v>
      </c>
      <c r="AB7" s="6" t="s">
        <v>405</v>
      </c>
      <c r="AC7" s="6" t="s">
        <v>406</v>
      </c>
      <c r="AD7" s="1" t="s">
        <v>407</v>
      </c>
      <c r="AE7" s="1" t="s">
        <v>408</v>
      </c>
      <c r="AF7" s="1" t="s">
        <v>409</v>
      </c>
      <c r="AG7" s="1" t="s">
        <v>410</v>
      </c>
      <c r="AH7" s="1" t="s">
        <v>411</v>
      </c>
    </row>
    <row r="8" spans="1:40" ht="105" x14ac:dyDescent="0.25">
      <c r="A8" s="1">
        <v>7</v>
      </c>
      <c r="B8" s="1" t="str">
        <f t="shared" si="0"/>
        <v>N</v>
      </c>
      <c r="C8" s="1" t="s">
        <v>915</v>
      </c>
      <c r="D8" s="4" t="s">
        <v>1665</v>
      </c>
      <c r="E8" s="1" t="s">
        <v>1572</v>
      </c>
      <c r="F8" s="1" t="s">
        <v>1638</v>
      </c>
      <c r="G8" s="1" t="s">
        <v>1656</v>
      </c>
      <c r="H8" s="1">
        <v>400</v>
      </c>
      <c r="I8" s="1" t="s">
        <v>22</v>
      </c>
      <c r="J8" s="1" t="s">
        <v>398</v>
      </c>
      <c r="K8" s="7" t="s">
        <v>23</v>
      </c>
      <c r="L8" s="7" t="s">
        <v>926</v>
      </c>
      <c r="M8" s="7" t="s">
        <v>927</v>
      </c>
      <c r="N8" s="23" t="s">
        <v>921</v>
      </c>
      <c r="O8" s="1" t="s">
        <v>920</v>
      </c>
      <c r="P8" s="7" t="s">
        <v>922</v>
      </c>
      <c r="Q8" s="1" t="s">
        <v>23</v>
      </c>
      <c r="R8" s="1"/>
      <c r="S8" s="4" t="s">
        <v>400</v>
      </c>
      <c r="T8" s="7" t="s">
        <v>27</v>
      </c>
      <c r="U8" s="11" t="s">
        <v>923</v>
      </c>
      <c r="V8" s="1" t="s">
        <v>924</v>
      </c>
      <c r="W8" s="1" t="s">
        <v>402</v>
      </c>
      <c r="X8" s="5">
        <v>200061812481</v>
      </c>
      <c r="Y8" s="1" t="s">
        <v>925</v>
      </c>
      <c r="Z8" s="1">
        <v>1</v>
      </c>
      <c r="AA8" s="6" t="s">
        <v>404</v>
      </c>
      <c r="AB8" s="6" t="s">
        <v>405</v>
      </c>
      <c r="AC8" s="6" t="s">
        <v>406</v>
      </c>
      <c r="AD8" s="1" t="s">
        <v>407</v>
      </c>
      <c r="AE8" s="1" t="s">
        <v>408</v>
      </c>
      <c r="AF8" s="1" t="s">
        <v>409</v>
      </c>
      <c r="AG8" s="1" t="s">
        <v>410</v>
      </c>
      <c r="AH8" s="1" t="s">
        <v>411</v>
      </c>
    </row>
    <row r="9" spans="1:40" ht="105" x14ac:dyDescent="0.25">
      <c r="A9" s="1">
        <v>8</v>
      </c>
      <c r="B9" s="1" t="str">
        <f t="shared" si="0"/>
        <v>N</v>
      </c>
      <c r="C9" s="1" t="s">
        <v>915</v>
      </c>
      <c r="D9" s="4" t="s">
        <v>1666</v>
      </c>
      <c r="E9" s="1" t="s">
        <v>1573</v>
      </c>
      <c r="F9" s="1" t="s">
        <v>1640</v>
      </c>
      <c r="G9" s="1" t="s">
        <v>1656</v>
      </c>
      <c r="H9" s="1">
        <v>400</v>
      </c>
      <c r="I9" s="1" t="s">
        <v>22</v>
      </c>
      <c r="J9" s="1" t="s">
        <v>398</v>
      </c>
      <c r="K9" s="7" t="s">
        <v>23</v>
      </c>
      <c r="L9" s="7" t="s">
        <v>926</v>
      </c>
      <c r="M9" s="7" t="s">
        <v>927</v>
      </c>
      <c r="N9" s="23" t="s">
        <v>921</v>
      </c>
      <c r="O9" s="1" t="s">
        <v>920</v>
      </c>
      <c r="P9" s="7" t="s">
        <v>922</v>
      </c>
      <c r="Q9" s="1" t="s">
        <v>23</v>
      </c>
      <c r="R9" s="1"/>
      <c r="S9" s="4" t="s">
        <v>400</v>
      </c>
      <c r="T9" s="7" t="s">
        <v>27</v>
      </c>
      <c r="U9" s="11" t="s">
        <v>923</v>
      </c>
      <c r="V9" s="1" t="s">
        <v>924</v>
      </c>
      <c r="W9" s="1" t="s">
        <v>402</v>
      </c>
      <c r="X9" s="5">
        <v>200061812481</v>
      </c>
      <c r="Y9" s="1" t="s">
        <v>925</v>
      </c>
      <c r="Z9" s="1">
        <v>1</v>
      </c>
      <c r="AA9" s="6" t="s">
        <v>404</v>
      </c>
      <c r="AB9" s="6" t="s">
        <v>405</v>
      </c>
      <c r="AC9" s="6" t="s">
        <v>406</v>
      </c>
      <c r="AD9" s="1" t="s">
        <v>407</v>
      </c>
      <c r="AE9" s="1" t="s">
        <v>408</v>
      </c>
      <c r="AF9" s="1" t="s">
        <v>409</v>
      </c>
      <c r="AG9" s="1" t="s">
        <v>410</v>
      </c>
      <c r="AH9" s="1" t="s">
        <v>411</v>
      </c>
    </row>
    <row r="10" spans="1:40" ht="45" x14ac:dyDescent="0.25">
      <c r="A10" s="1">
        <v>9</v>
      </c>
      <c r="B10" s="1" t="str">
        <f t="shared" si="0"/>
        <v>N</v>
      </c>
      <c r="C10" s="1" t="s">
        <v>915</v>
      </c>
      <c r="D10" s="4" t="s">
        <v>1667</v>
      </c>
      <c r="E10" s="1" t="s">
        <v>1574</v>
      </c>
      <c r="F10" s="1" t="s">
        <v>986</v>
      </c>
      <c r="G10" s="1" t="s">
        <v>427</v>
      </c>
      <c r="H10" s="1">
        <v>401</v>
      </c>
      <c r="I10" s="1" t="s">
        <v>22</v>
      </c>
      <c r="J10" s="1" t="s">
        <v>398</v>
      </c>
      <c r="K10" s="7" t="s">
        <v>23</v>
      </c>
      <c r="L10" s="7" t="s">
        <v>926</v>
      </c>
      <c r="M10" s="7" t="s">
        <v>927</v>
      </c>
      <c r="N10" s="23" t="s">
        <v>921</v>
      </c>
      <c r="O10" s="1" t="s">
        <v>920</v>
      </c>
      <c r="P10" s="7" t="s">
        <v>922</v>
      </c>
      <c r="Q10" s="1" t="s">
        <v>23</v>
      </c>
      <c r="R10" s="1"/>
      <c r="S10" s="4" t="s">
        <v>400</v>
      </c>
      <c r="T10" s="7" t="s">
        <v>27</v>
      </c>
      <c r="U10" s="11" t="s">
        <v>923</v>
      </c>
      <c r="V10" s="1" t="s">
        <v>924</v>
      </c>
      <c r="W10" s="1" t="s">
        <v>402</v>
      </c>
      <c r="X10" s="5">
        <v>200061812481</v>
      </c>
      <c r="Y10" s="1" t="s">
        <v>925</v>
      </c>
      <c r="Z10" s="1">
        <v>1</v>
      </c>
      <c r="AA10" s="6" t="s">
        <v>404</v>
      </c>
      <c r="AB10" s="6" t="s">
        <v>405</v>
      </c>
      <c r="AC10" s="6" t="s">
        <v>406</v>
      </c>
      <c r="AD10" s="1" t="s">
        <v>407</v>
      </c>
      <c r="AE10" s="1" t="s">
        <v>408</v>
      </c>
      <c r="AF10" s="1" t="s">
        <v>409</v>
      </c>
      <c r="AG10" s="1" t="s">
        <v>410</v>
      </c>
      <c r="AH10" s="1" t="s">
        <v>411</v>
      </c>
    </row>
    <row r="11" spans="1:40" ht="45" x14ac:dyDescent="0.25">
      <c r="A11" s="1">
        <v>10</v>
      </c>
      <c r="B11" s="1" t="str">
        <f t="shared" si="0"/>
        <v>N</v>
      </c>
      <c r="C11" s="1" t="s">
        <v>915</v>
      </c>
      <c r="D11" s="4" t="s">
        <v>1668</v>
      </c>
      <c r="E11" s="1" t="s">
        <v>1575</v>
      </c>
      <c r="F11" s="1" t="s">
        <v>987</v>
      </c>
      <c r="G11" s="1" t="s">
        <v>427</v>
      </c>
      <c r="H11" s="1">
        <v>401</v>
      </c>
      <c r="I11" s="1" t="s">
        <v>22</v>
      </c>
      <c r="J11" s="1" t="s">
        <v>398</v>
      </c>
      <c r="K11" s="7" t="s">
        <v>23</v>
      </c>
      <c r="L11" s="7" t="s">
        <v>926</v>
      </c>
      <c r="M11" s="7" t="s">
        <v>927</v>
      </c>
      <c r="N11" s="23" t="s">
        <v>921</v>
      </c>
      <c r="O11" s="1" t="s">
        <v>920</v>
      </c>
      <c r="P11" s="7" t="s">
        <v>922</v>
      </c>
      <c r="Q11" s="1" t="s">
        <v>23</v>
      </c>
      <c r="R11" s="1"/>
      <c r="S11" s="4" t="s">
        <v>400</v>
      </c>
      <c r="T11" s="7" t="s">
        <v>27</v>
      </c>
      <c r="U11" s="11" t="s">
        <v>923</v>
      </c>
      <c r="V11" s="1" t="s">
        <v>924</v>
      </c>
      <c r="W11" s="1" t="s">
        <v>402</v>
      </c>
      <c r="X11" s="5">
        <v>200061812481</v>
      </c>
      <c r="Y11" s="1" t="s">
        <v>925</v>
      </c>
      <c r="Z11" s="1">
        <v>1</v>
      </c>
      <c r="AA11" s="6" t="s">
        <v>404</v>
      </c>
      <c r="AB11" s="6" t="s">
        <v>405</v>
      </c>
      <c r="AC11" s="6" t="s">
        <v>406</v>
      </c>
      <c r="AD11" s="1" t="s">
        <v>407</v>
      </c>
      <c r="AE11" s="1" t="s">
        <v>408</v>
      </c>
      <c r="AF11" s="1" t="s">
        <v>409</v>
      </c>
      <c r="AG11" s="1" t="s">
        <v>410</v>
      </c>
      <c r="AH11" s="1" t="s">
        <v>411</v>
      </c>
    </row>
    <row r="12" spans="1:40" ht="45" x14ac:dyDescent="0.25">
      <c r="A12" s="1">
        <v>11</v>
      </c>
      <c r="B12" s="1" t="str">
        <f t="shared" si="0"/>
        <v>N</v>
      </c>
      <c r="C12" s="1" t="s">
        <v>915</v>
      </c>
      <c r="D12" s="4" t="s">
        <v>1669</v>
      </c>
      <c r="E12" s="1" t="s">
        <v>1576</v>
      </c>
      <c r="F12" s="1" t="s">
        <v>988</v>
      </c>
      <c r="G12" s="1" t="s">
        <v>1657</v>
      </c>
      <c r="H12" s="1">
        <v>401</v>
      </c>
      <c r="I12" s="1" t="s">
        <v>22</v>
      </c>
      <c r="J12" s="1" t="s">
        <v>398</v>
      </c>
      <c r="K12" s="7" t="s">
        <v>23</v>
      </c>
      <c r="L12" s="7" t="s">
        <v>926</v>
      </c>
      <c r="M12" s="7" t="s">
        <v>927</v>
      </c>
      <c r="N12" s="23" t="s">
        <v>921</v>
      </c>
      <c r="O12" s="1" t="s">
        <v>920</v>
      </c>
      <c r="P12" s="7" t="s">
        <v>922</v>
      </c>
      <c r="Q12" s="1" t="s">
        <v>23</v>
      </c>
      <c r="R12" s="1"/>
      <c r="S12" s="4" t="s">
        <v>400</v>
      </c>
      <c r="T12" s="7" t="s">
        <v>27</v>
      </c>
      <c r="U12" s="11" t="s">
        <v>923</v>
      </c>
      <c r="V12" s="1" t="s">
        <v>924</v>
      </c>
      <c r="W12" s="1" t="s">
        <v>402</v>
      </c>
      <c r="X12" s="5">
        <v>200061812481</v>
      </c>
      <c r="Y12" s="1" t="s">
        <v>925</v>
      </c>
      <c r="Z12" s="1">
        <v>1</v>
      </c>
      <c r="AA12" s="6" t="s">
        <v>404</v>
      </c>
      <c r="AB12" s="6" t="s">
        <v>405</v>
      </c>
      <c r="AC12" s="6" t="s">
        <v>406</v>
      </c>
      <c r="AD12" s="1" t="s">
        <v>407</v>
      </c>
      <c r="AE12" s="1" t="s">
        <v>408</v>
      </c>
      <c r="AF12" s="1" t="s">
        <v>409</v>
      </c>
      <c r="AG12" s="1" t="s">
        <v>410</v>
      </c>
      <c r="AH12" s="1" t="s">
        <v>411</v>
      </c>
    </row>
    <row r="13" spans="1:40" ht="45" x14ac:dyDescent="0.25">
      <c r="A13" s="1">
        <v>12</v>
      </c>
      <c r="B13" s="1" t="str">
        <f t="shared" si="0"/>
        <v>N</v>
      </c>
      <c r="C13" s="1" t="s">
        <v>915</v>
      </c>
      <c r="D13" s="4" t="s">
        <v>1670</v>
      </c>
      <c r="E13" s="1" t="s">
        <v>1577</v>
      </c>
      <c r="F13" s="1" t="s">
        <v>426</v>
      </c>
      <c r="G13" s="1" t="s">
        <v>427</v>
      </c>
      <c r="H13" s="1">
        <v>401</v>
      </c>
      <c r="I13" s="1" t="s">
        <v>22</v>
      </c>
      <c r="J13" s="1" t="s">
        <v>398</v>
      </c>
      <c r="K13" s="7" t="s">
        <v>23</v>
      </c>
      <c r="L13" s="7" t="s">
        <v>926</v>
      </c>
      <c r="M13" s="7" t="s">
        <v>927</v>
      </c>
      <c r="N13" s="23" t="s">
        <v>921</v>
      </c>
      <c r="O13" s="1" t="s">
        <v>920</v>
      </c>
      <c r="P13" s="7" t="s">
        <v>922</v>
      </c>
      <c r="Q13" s="1" t="s">
        <v>23</v>
      </c>
      <c r="R13" s="1"/>
      <c r="S13" s="4" t="s">
        <v>400</v>
      </c>
      <c r="T13" s="7" t="s">
        <v>27</v>
      </c>
      <c r="U13" s="11" t="s">
        <v>923</v>
      </c>
      <c r="V13" s="1" t="s">
        <v>924</v>
      </c>
      <c r="W13" s="1" t="s">
        <v>402</v>
      </c>
      <c r="X13" s="5">
        <v>200061812481</v>
      </c>
      <c r="Y13" s="1" t="s">
        <v>925</v>
      </c>
      <c r="Z13" s="1">
        <v>1</v>
      </c>
      <c r="AA13" s="6" t="s">
        <v>404</v>
      </c>
      <c r="AB13" s="6" t="s">
        <v>405</v>
      </c>
      <c r="AC13" s="6" t="s">
        <v>406</v>
      </c>
      <c r="AD13" s="1" t="s">
        <v>407</v>
      </c>
      <c r="AE13" s="1" t="s">
        <v>408</v>
      </c>
      <c r="AF13" s="1" t="s">
        <v>409</v>
      </c>
      <c r="AG13" s="1" t="s">
        <v>410</v>
      </c>
      <c r="AH13" s="1" t="s">
        <v>411</v>
      </c>
    </row>
    <row r="14" spans="1:40" ht="45" x14ac:dyDescent="0.25">
      <c r="A14" s="1">
        <v>13</v>
      </c>
      <c r="B14" s="1" t="str">
        <f t="shared" si="0"/>
        <v>N</v>
      </c>
      <c r="C14" s="1" t="s">
        <v>915</v>
      </c>
      <c r="D14" s="4" t="s">
        <v>1671</v>
      </c>
      <c r="E14" s="1" t="s">
        <v>1578</v>
      </c>
      <c r="F14" s="1" t="s">
        <v>989</v>
      </c>
      <c r="G14" s="1" t="s">
        <v>427</v>
      </c>
      <c r="H14" s="4">
        <v>200</v>
      </c>
      <c r="I14" s="1" t="s">
        <v>22</v>
      </c>
      <c r="J14" s="1" t="s">
        <v>398</v>
      </c>
      <c r="K14" s="7" t="s">
        <v>23</v>
      </c>
      <c r="L14" s="7" t="s">
        <v>926</v>
      </c>
      <c r="M14" s="7" t="s">
        <v>927</v>
      </c>
      <c r="N14" s="23" t="s">
        <v>921</v>
      </c>
      <c r="O14" s="1" t="s">
        <v>920</v>
      </c>
      <c r="P14" s="7" t="s">
        <v>922</v>
      </c>
      <c r="Q14" s="1" t="s">
        <v>23</v>
      </c>
      <c r="R14" s="1"/>
      <c r="S14" s="4" t="s">
        <v>400</v>
      </c>
      <c r="T14" s="7" t="s">
        <v>27</v>
      </c>
      <c r="U14" s="11" t="s">
        <v>923</v>
      </c>
      <c r="V14" s="1" t="s">
        <v>924</v>
      </c>
      <c r="W14" s="1" t="s">
        <v>402</v>
      </c>
      <c r="X14" s="5">
        <v>200061812481</v>
      </c>
      <c r="Y14" s="1" t="s">
        <v>925</v>
      </c>
      <c r="Z14" s="1">
        <v>1</v>
      </c>
      <c r="AA14" s="6" t="s">
        <v>404</v>
      </c>
      <c r="AB14" s="6" t="s">
        <v>405</v>
      </c>
      <c r="AC14" s="6" t="s">
        <v>406</v>
      </c>
      <c r="AD14" s="1" t="s">
        <v>407</v>
      </c>
      <c r="AE14" s="1" t="s">
        <v>408</v>
      </c>
      <c r="AF14" s="1" t="s">
        <v>409</v>
      </c>
      <c r="AG14" s="1" t="s">
        <v>410</v>
      </c>
      <c r="AH14" s="1" t="s">
        <v>411</v>
      </c>
    </row>
    <row r="15" spans="1:40" ht="45" x14ac:dyDescent="0.25">
      <c r="A15" s="1">
        <v>14</v>
      </c>
      <c r="B15" s="1" t="str">
        <f t="shared" si="0"/>
        <v>N</v>
      </c>
      <c r="C15" s="1" t="s">
        <v>915</v>
      </c>
      <c r="D15" s="4" t="s">
        <v>1672</v>
      </c>
      <c r="E15" s="1" t="s">
        <v>1579</v>
      </c>
      <c r="F15" s="1" t="s">
        <v>992</v>
      </c>
      <c r="G15" s="1" t="s">
        <v>1641</v>
      </c>
      <c r="H15" s="4">
        <v>200</v>
      </c>
      <c r="I15" s="1" t="s">
        <v>22</v>
      </c>
      <c r="J15" s="1" t="s">
        <v>398</v>
      </c>
      <c r="K15" s="7" t="s">
        <v>23</v>
      </c>
      <c r="L15" s="7" t="s">
        <v>926</v>
      </c>
      <c r="M15" s="7" t="s">
        <v>927</v>
      </c>
      <c r="N15" s="23" t="s">
        <v>921</v>
      </c>
      <c r="O15" s="1" t="s">
        <v>920</v>
      </c>
      <c r="P15" s="7" t="s">
        <v>922</v>
      </c>
      <c r="Q15" s="1" t="s">
        <v>23</v>
      </c>
      <c r="R15" s="1"/>
      <c r="S15" s="4" t="s">
        <v>400</v>
      </c>
      <c r="T15" s="7" t="s">
        <v>27</v>
      </c>
      <c r="U15" s="11" t="s">
        <v>923</v>
      </c>
      <c r="V15" s="1" t="s">
        <v>924</v>
      </c>
      <c r="W15" s="1" t="s">
        <v>402</v>
      </c>
      <c r="X15" s="5">
        <v>200061812481</v>
      </c>
      <c r="Y15" s="1" t="s">
        <v>925</v>
      </c>
      <c r="Z15" s="1">
        <v>1</v>
      </c>
      <c r="AA15" s="6" t="s">
        <v>404</v>
      </c>
      <c r="AB15" s="6" t="s">
        <v>405</v>
      </c>
      <c r="AC15" s="6" t="s">
        <v>406</v>
      </c>
      <c r="AD15" s="1" t="s">
        <v>407</v>
      </c>
      <c r="AE15" s="1" t="s">
        <v>408</v>
      </c>
      <c r="AF15" s="1" t="s">
        <v>409</v>
      </c>
      <c r="AG15" s="1" t="s">
        <v>410</v>
      </c>
      <c r="AH15" s="1" t="s">
        <v>411</v>
      </c>
    </row>
    <row r="16" spans="1:40" ht="210" x14ac:dyDescent="0.25">
      <c r="A16" s="1">
        <v>15</v>
      </c>
      <c r="B16" s="1" t="str">
        <f t="shared" si="0"/>
        <v>N</v>
      </c>
      <c r="C16" s="1" t="s">
        <v>915</v>
      </c>
      <c r="D16" s="4" t="s">
        <v>1673</v>
      </c>
      <c r="E16" s="1" t="s">
        <v>1580</v>
      </c>
      <c r="F16" s="1" t="s">
        <v>993</v>
      </c>
      <c r="G16" s="1" t="s">
        <v>994</v>
      </c>
      <c r="H16" s="4">
        <v>200</v>
      </c>
      <c r="I16" s="1" t="s">
        <v>22</v>
      </c>
      <c r="J16" s="1" t="s">
        <v>398</v>
      </c>
      <c r="K16" s="7" t="s">
        <v>23</v>
      </c>
      <c r="L16" s="7" t="s">
        <v>926</v>
      </c>
      <c r="M16" s="7" t="s">
        <v>927</v>
      </c>
      <c r="N16" s="23" t="s">
        <v>921</v>
      </c>
      <c r="O16" s="1" t="s">
        <v>920</v>
      </c>
      <c r="P16" s="7" t="s">
        <v>922</v>
      </c>
      <c r="Q16" s="1" t="s">
        <v>23</v>
      </c>
      <c r="R16" s="1"/>
      <c r="S16" s="4" t="s">
        <v>400</v>
      </c>
      <c r="T16" s="7" t="s">
        <v>27</v>
      </c>
      <c r="U16" s="11" t="s">
        <v>923</v>
      </c>
      <c r="V16" s="1" t="s">
        <v>924</v>
      </c>
      <c r="W16" s="1" t="s">
        <v>402</v>
      </c>
      <c r="X16" s="5">
        <v>200061812481</v>
      </c>
      <c r="Y16" s="1" t="s">
        <v>925</v>
      </c>
      <c r="Z16" s="1">
        <v>1</v>
      </c>
      <c r="AA16" s="6" t="s">
        <v>404</v>
      </c>
      <c r="AB16" s="6" t="s">
        <v>405</v>
      </c>
      <c r="AC16" s="6" t="s">
        <v>406</v>
      </c>
      <c r="AD16" s="1" t="s">
        <v>407</v>
      </c>
      <c r="AE16" s="1" t="s">
        <v>408</v>
      </c>
      <c r="AF16" s="1" t="s">
        <v>409</v>
      </c>
      <c r="AG16" s="1" t="s">
        <v>410</v>
      </c>
      <c r="AH16" s="1" t="s">
        <v>411</v>
      </c>
    </row>
    <row r="17" spans="1:34" ht="210" x14ac:dyDescent="0.25">
      <c r="A17" s="1">
        <v>16</v>
      </c>
      <c r="B17" s="1" t="str">
        <f t="shared" si="0"/>
        <v>N</v>
      </c>
      <c r="C17" s="1" t="s">
        <v>915</v>
      </c>
      <c r="D17" s="4" t="s">
        <v>1674</v>
      </c>
      <c r="E17" s="1" t="s">
        <v>1581</v>
      </c>
      <c r="F17" s="1" t="s">
        <v>995</v>
      </c>
      <c r="G17" s="1" t="s">
        <v>994</v>
      </c>
      <c r="H17" s="4">
        <v>200</v>
      </c>
      <c r="I17" s="1" t="s">
        <v>22</v>
      </c>
      <c r="J17" s="1" t="s">
        <v>398</v>
      </c>
      <c r="K17" s="7" t="s">
        <v>23</v>
      </c>
      <c r="L17" s="7" t="s">
        <v>926</v>
      </c>
      <c r="M17" s="7" t="s">
        <v>927</v>
      </c>
      <c r="N17" s="23" t="s">
        <v>921</v>
      </c>
      <c r="O17" s="1" t="s">
        <v>920</v>
      </c>
      <c r="P17" s="7" t="s">
        <v>922</v>
      </c>
      <c r="Q17" s="1" t="s">
        <v>23</v>
      </c>
      <c r="R17" s="1"/>
      <c r="S17" s="4" t="s">
        <v>400</v>
      </c>
      <c r="T17" s="7" t="s">
        <v>27</v>
      </c>
      <c r="U17" s="11" t="s">
        <v>923</v>
      </c>
      <c r="V17" s="1" t="s">
        <v>924</v>
      </c>
      <c r="W17" s="1" t="s">
        <v>402</v>
      </c>
      <c r="X17" s="5">
        <v>200061812481</v>
      </c>
      <c r="Y17" s="1" t="s">
        <v>925</v>
      </c>
      <c r="Z17" s="1">
        <v>1</v>
      </c>
      <c r="AA17" s="6" t="s">
        <v>404</v>
      </c>
      <c r="AB17" s="6" t="s">
        <v>405</v>
      </c>
      <c r="AC17" s="6" t="s">
        <v>406</v>
      </c>
      <c r="AD17" s="1" t="s">
        <v>407</v>
      </c>
      <c r="AE17" s="1" t="s">
        <v>408</v>
      </c>
      <c r="AF17" s="1" t="s">
        <v>409</v>
      </c>
      <c r="AG17" s="1" t="s">
        <v>410</v>
      </c>
      <c r="AH17" s="1" t="s">
        <v>411</v>
      </c>
    </row>
    <row r="18" spans="1:34" ht="210" x14ac:dyDescent="0.25">
      <c r="A18" s="1">
        <v>17</v>
      </c>
      <c r="B18" s="1" t="str">
        <f t="shared" si="0"/>
        <v>N</v>
      </c>
      <c r="C18" s="1" t="s">
        <v>915</v>
      </c>
      <c r="D18" s="4" t="s">
        <v>1675</v>
      </c>
      <c r="E18" s="1" t="s">
        <v>1582</v>
      </c>
      <c r="F18" s="1" t="s">
        <v>996</v>
      </c>
      <c r="G18" s="1" t="s">
        <v>994</v>
      </c>
      <c r="H18" s="4">
        <v>200</v>
      </c>
      <c r="I18" s="1" t="s">
        <v>22</v>
      </c>
      <c r="J18" s="1" t="s">
        <v>398</v>
      </c>
      <c r="K18" s="7" t="s">
        <v>23</v>
      </c>
      <c r="L18" s="7" t="s">
        <v>926</v>
      </c>
      <c r="M18" s="7" t="s">
        <v>927</v>
      </c>
      <c r="N18" s="23" t="s">
        <v>921</v>
      </c>
      <c r="O18" s="1" t="s">
        <v>920</v>
      </c>
      <c r="P18" s="7" t="s">
        <v>922</v>
      </c>
      <c r="Q18" s="1" t="s">
        <v>23</v>
      </c>
      <c r="R18" s="1"/>
      <c r="S18" s="4" t="s">
        <v>400</v>
      </c>
      <c r="T18" s="7" t="s">
        <v>27</v>
      </c>
      <c r="U18" s="11" t="s">
        <v>923</v>
      </c>
      <c r="V18" s="1" t="s">
        <v>924</v>
      </c>
      <c r="W18" s="1" t="s">
        <v>402</v>
      </c>
      <c r="X18" s="5">
        <v>200061812481</v>
      </c>
      <c r="Y18" s="1" t="s">
        <v>925</v>
      </c>
      <c r="Z18" s="1">
        <v>1</v>
      </c>
      <c r="AA18" s="6" t="s">
        <v>404</v>
      </c>
      <c r="AB18" s="6" t="s">
        <v>405</v>
      </c>
      <c r="AC18" s="6" t="s">
        <v>406</v>
      </c>
      <c r="AD18" s="1" t="s">
        <v>407</v>
      </c>
      <c r="AE18" s="1" t="s">
        <v>408</v>
      </c>
      <c r="AF18" s="1" t="s">
        <v>409</v>
      </c>
      <c r="AG18" s="1" t="s">
        <v>410</v>
      </c>
      <c r="AH18" s="1" t="s">
        <v>411</v>
      </c>
    </row>
    <row r="19" spans="1:34" ht="210" x14ac:dyDescent="0.25">
      <c r="A19" s="1">
        <v>18</v>
      </c>
      <c r="B19" s="1" t="str">
        <f t="shared" si="0"/>
        <v>N</v>
      </c>
      <c r="C19" s="1" t="s">
        <v>915</v>
      </c>
      <c r="D19" s="4" t="s">
        <v>1676</v>
      </c>
      <c r="E19" s="1" t="s">
        <v>1583</v>
      </c>
      <c r="F19" s="1" t="s">
        <v>997</v>
      </c>
      <c r="G19" s="1" t="s">
        <v>994</v>
      </c>
      <c r="H19" s="4">
        <v>200</v>
      </c>
      <c r="I19" s="1" t="s">
        <v>22</v>
      </c>
      <c r="J19" s="1" t="s">
        <v>398</v>
      </c>
      <c r="K19" s="7" t="s">
        <v>23</v>
      </c>
      <c r="L19" s="7" t="s">
        <v>926</v>
      </c>
      <c r="M19" s="7" t="s">
        <v>927</v>
      </c>
      <c r="N19" s="23" t="s">
        <v>921</v>
      </c>
      <c r="O19" s="1" t="s">
        <v>920</v>
      </c>
      <c r="P19" s="7" t="s">
        <v>922</v>
      </c>
      <c r="Q19" s="1" t="s">
        <v>23</v>
      </c>
      <c r="R19" s="1"/>
      <c r="S19" s="4" t="s">
        <v>400</v>
      </c>
      <c r="T19" s="7" t="s">
        <v>27</v>
      </c>
      <c r="U19" s="11" t="s">
        <v>923</v>
      </c>
      <c r="V19" s="1" t="s">
        <v>924</v>
      </c>
      <c r="W19" s="1" t="s">
        <v>402</v>
      </c>
      <c r="X19" s="5">
        <v>200061812481</v>
      </c>
      <c r="Y19" s="1" t="s">
        <v>925</v>
      </c>
      <c r="Z19" s="1">
        <v>1</v>
      </c>
      <c r="AA19" s="6" t="s">
        <v>404</v>
      </c>
      <c r="AB19" s="6" t="s">
        <v>405</v>
      </c>
      <c r="AC19" s="6" t="s">
        <v>406</v>
      </c>
      <c r="AD19" s="1" t="s">
        <v>407</v>
      </c>
      <c r="AE19" s="1" t="s">
        <v>408</v>
      </c>
      <c r="AF19" s="1" t="s">
        <v>409</v>
      </c>
      <c r="AG19" s="1" t="s">
        <v>410</v>
      </c>
      <c r="AH19" s="1" t="s">
        <v>411</v>
      </c>
    </row>
    <row r="20" spans="1:34" ht="210" x14ac:dyDescent="0.25">
      <c r="A20" s="1">
        <v>19</v>
      </c>
      <c r="B20" s="1" t="str">
        <f t="shared" si="0"/>
        <v>N</v>
      </c>
      <c r="C20" s="1" t="s">
        <v>915</v>
      </c>
      <c r="D20" s="4" t="s">
        <v>1677</v>
      </c>
      <c r="E20" s="1" t="s">
        <v>1584</v>
      </c>
      <c r="F20" s="1" t="s">
        <v>1002</v>
      </c>
      <c r="G20" s="1" t="s">
        <v>1642</v>
      </c>
      <c r="H20" s="4">
        <v>200</v>
      </c>
      <c r="I20" s="1" t="s">
        <v>22</v>
      </c>
      <c r="J20" s="1" t="s">
        <v>398</v>
      </c>
      <c r="K20" s="7" t="s">
        <v>23</v>
      </c>
      <c r="L20" s="7" t="s">
        <v>926</v>
      </c>
      <c r="M20" s="7" t="s">
        <v>927</v>
      </c>
      <c r="N20" s="23" t="s">
        <v>921</v>
      </c>
      <c r="O20" s="1" t="s">
        <v>920</v>
      </c>
      <c r="P20" s="7" t="s">
        <v>922</v>
      </c>
      <c r="Q20" s="1" t="s">
        <v>23</v>
      </c>
      <c r="R20" s="1"/>
      <c r="S20" s="4" t="s">
        <v>400</v>
      </c>
      <c r="T20" s="7" t="s">
        <v>27</v>
      </c>
      <c r="U20" s="11" t="s">
        <v>923</v>
      </c>
      <c r="V20" s="1" t="s">
        <v>924</v>
      </c>
      <c r="W20" s="1" t="s">
        <v>402</v>
      </c>
      <c r="X20" s="5">
        <v>200061812481</v>
      </c>
      <c r="Y20" s="1" t="s">
        <v>925</v>
      </c>
      <c r="Z20" s="1">
        <v>1</v>
      </c>
      <c r="AA20" s="6" t="s">
        <v>404</v>
      </c>
      <c r="AB20" s="6" t="s">
        <v>405</v>
      </c>
      <c r="AC20" s="6" t="s">
        <v>406</v>
      </c>
      <c r="AD20" s="1" t="s">
        <v>407</v>
      </c>
      <c r="AE20" s="1" t="s">
        <v>408</v>
      </c>
      <c r="AF20" s="1" t="s">
        <v>409</v>
      </c>
      <c r="AG20" s="1" t="s">
        <v>410</v>
      </c>
      <c r="AH20" s="1" t="s">
        <v>411</v>
      </c>
    </row>
    <row r="21" spans="1:34" ht="165" x14ac:dyDescent="0.25">
      <c r="A21" s="1">
        <v>20</v>
      </c>
      <c r="B21" s="1" t="str">
        <f t="shared" si="0"/>
        <v>N</v>
      </c>
      <c r="C21" s="1" t="s">
        <v>915</v>
      </c>
      <c r="D21" s="4" t="s">
        <v>1678</v>
      </c>
      <c r="E21" s="1" t="s">
        <v>1585</v>
      </c>
      <c r="F21" s="1" t="s">
        <v>449</v>
      </c>
      <c r="G21" s="1" t="s">
        <v>1643</v>
      </c>
      <c r="H21" s="4">
        <v>200</v>
      </c>
      <c r="I21" s="1" t="s">
        <v>22</v>
      </c>
      <c r="J21" s="1" t="s">
        <v>398</v>
      </c>
      <c r="K21" s="7" t="s">
        <v>23</v>
      </c>
      <c r="L21" s="7" t="s">
        <v>926</v>
      </c>
      <c r="M21" s="7" t="s">
        <v>927</v>
      </c>
      <c r="N21" s="23" t="s">
        <v>921</v>
      </c>
      <c r="O21" s="1" t="s">
        <v>920</v>
      </c>
      <c r="P21" s="7" t="s">
        <v>922</v>
      </c>
      <c r="Q21" s="1" t="s">
        <v>23</v>
      </c>
      <c r="R21" s="1"/>
      <c r="S21" s="4" t="s">
        <v>400</v>
      </c>
      <c r="T21" s="7" t="s">
        <v>27</v>
      </c>
      <c r="U21" s="11" t="s">
        <v>923</v>
      </c>
      <c r="V21" s="1" t="s">
        <v>924</v>
      </c>
      <c r="W21" s="1" t="s">
        <v>402</v>
      </c>
      <c r="X21" s="5">
        <v>200061812481</v>
      </c>
      <c r="Y21" s="1" t="s">
        <v>925</v>
      </c>
      <c r="Z21" s="1">
        <v>1</v>
      </c>
      <c r="AA21" s="6" t="s">
        <v>404</v>
      </c>
      <c r="AB21" s="6" t="s">
        <v>405</v>
      </c>
      <c r="AC21" s="6" t="s">
        <v>406</v>
      </c>
      <c r="AD21" s="1" t="s">
        <v>407</v>
      </c>
      <c r="AE21" s="1" t="s">
        <v>408</v>
      </c>
      <c r="AF21" s="1" t="s">
        <v>409</v>
      </c>
      <c r="AG21" s="1" t="s">
        <v>410</v>
      </c>
      <c r="AH21" s="1" t="s">
        <v>411</v>
      </c>
    </row>
    <row r="22" spans="1:34" ht="150" x14ac:dyDescent="0.25">
      <c r="A22" s="1">
        <v>21</v>
      </c>
      <c r="B22" s="1" t="str">
        <f t="shared" si="0"/>
        <v>N</v>
      </c>
      <c r="C22" s="1" t="s">
        <v>915</v>
      </c>
      <c r="D22" s="4" t="s">
        <v>1679</v>
      </c>
      <c r="E22" s="1" t="s">
        <v>1586</v>
      </c>
      <c r="F22" s="1" t="s">
        <v>452</v>
      </c>
      <c r="G22" s="1" t="s">
        <v>1644</v>
      </c>
      <c r="H22" s="1">
        <v>400</v>
      </c>
      <c r="I22" s="1" t="s">
        <v>22</v>
      </c>
      <c r="J22" s="1" t="s">
        <v>398</v>
      </c>
      <c r="K22" s="7" t="s">
        <v>23</v>
      </c>
      <c r="L22" s="7" t="s">
        <v>926</v>
      </c>
      <c r="M22" s="7" t="s">
        <v>927</v>
      </c>
      <c r="N22" s="23" t="s">
        <v>921</v>
      </c>
      <c r="O22" s="1" t="s">
        <v>920</v>
      </c>
      <c r="P22" s="7" t="s">
        <v>922</v>
      </c>
      <c r="Q22" s="1" t="s">
        <v>23</v>
      </c>
      <c r="R22" s="1"/>
      <c r="S22" s="4" t="s">
        <v>400</v>
      </c>
      <c r="T22" s="7" t="s">
        <v>27</v>
      </c>
      <c r="U22" s="11" t="s">
        <v>923</v>
      </c>
      <c r="V22" s="1" t="s">
        <v>924</v>
      </c>
      <c r="W22" s="1" t="s">
        <v>402</v>
      </c>
      <c r="X22" s="5">
        <v>200061812481</v>
      </c>
      <c r="Y22" s="1" t="s">
        <v>925</v>
      </c>
      <c r="Z22" s="1">
        <v>1</v>
      </c>
      <c r="AA22" s="6" t="s">
        <v>404</v>
      </c>
      <c r="AB22" s="6" t="s">
        <v>405</v>
      </c>
      <c r="AC22" s="6" t="s">
        <v>406</v>
      </c>
      <c r="AD22" s="1" t="s">
        <v>407</v>
      </c>
      <c r="AE22" s="1" t="s">
        <v>408</v>
      </c>
      <c r="AF22" s="1" t="s">
        <v>409</v>
      </c>
      <c r="AG22" s="1" t="s">
        <v>410</v>
      </c>
      <c r="AH22" s="1" t="s">
        <v>411</v>
      </c>
    </row>
    <row r="23" spans="1:34" ht="165" x14ac:dyDescent="0.25">
      <c r="A23" s="1">
        <v>22</v>
      </c>
      <c r="B23" s="1" t="str">
        <f t="shared" si="0"/>
        <v>N</v>
      </c>
      <c r="C23" s="1" t="s">
        <v>915</v>
      </c>
      <c r="D23" s="4" t="s">
        <v>1680</v>
      </c>
      <c r="E23" s="1" t="s">
        <v>1587</v>
      </c>
      <c r="F23" s="1" t="s">
        <v>454</v>
      </c>
      <c r="G23" s="1" t="s">
        <v>1645</v>
      </c>
      <c r="H23" s="1">
        <v>400</v>
      </c>
      <c r="I23" s="1" t="s">
        <v>22</v>
      </c>
      <c r="J23" s="1" t="s">
        <v>398</v>
      </c>
      <c r="K23" s="7" t="s">
        <v>23</v>
      </c>
      <c r="L23" s="7" t="s">
        <v>926</v>
      </c>
      <c r="M23" s="7" t="s">
        <v>927</v>
      </c>
      <c r="N23" s="23" t="s">
        <v>921</v>
      </c>
      <c r="O23" s="1" t="s">
        <v>920</v>
      </c>
      <c r="P23" s="7" t="s">
        <v>922</v>
      </c>
      <c r="Q23" s="1" t="s">
        <v>23</v>
      </c>
      <c r="R23" s="1"/>
      <c r="S23" s="4" t="s">
        <v>400</v>
      </c>
      <c r="T23" s="7" t="s">
        <v>27</v>
      </c>
      <c r="U23" s="11" t="s">
        <v>923</v>
      </c>
      <c r="V23" s="1" t="s">
        <v>924</v>
      </c>
      <c r="W23" s="1" t="s">
        <v>402</v>
      </c>
      <c r="X23" s="5">
        <v>200061812481</v>
      </c>
      <c r="Y23" s="1" t="s">
        <v>925</v>
      </c>
      <c r="Z23" s="1">
        <v>1</v>
      </c>
      <c r="AA23" s="6" t="s">
        <v>404</v>
      </c>
      <c r="AB23" s="6" t="s">
        <v>405</v>
      </c>
      <c r="AC23" s="6" t="s">
        <v>406</v>
      </c>
      <c r="AD23" s="1" t="s">
        <v>407</v>
      </c>
      <c r="AE23" s="1" t="s">
        <v>408</v>
      </c>
      <c r="AF23" s="1" t="s">
        <v>409</v>
      </c>
      <c r="AG23" s="1" t="s">
        <v>410</v>
      </c>
      <c r="AH23" s="1" t="s">
        <v>411</v>
      </c>
    </row>
    <row r="24" spans="1:34" ht="150" x14ac:dyDescent="0.25">
      <c r="A24" s="1">
        <v>23</v>
      </c>
      <c r="B24" s="1" t="str">
        <f t="shared" si="0"/>
        <v>N</v>
      </c>
      <c r="C24" s="1" t="s">
        <v>915</v>
      </c>
      <c r="D24" s="4" t="s">
        <v>1681</v>
      </c>
      <c r="E24" s="1" t="s">
        <v>1588</v>
      </c>
      <c r="F24" s="1" t="s">
        <v>456</v>
      </c>
      <c r="G24" s="1" t="s">
        <v>1646</v>
      </c>
      <c r="H24" s="1">
        <v>400</v>
      </c>
      <c r="I24" s="1" t="s">
        <v>22</v>
      </c>
      <c r="J24" s="1" t="s">
        <v>398</v>
      </c>
      <c r="K24" s="7" t="s">
        <v>23</v>
      </c>
      <c r="L24" s="7" t="s">
        <v>926</v>
      </c>
      <c r="M24" s="7" t="s">
        <v>927</v>
      </c>
      <c r="N24" s="23" t="s">
        <v>921</v>
      </c>
      <c r="O24" s="1" t="s">
        <v>920</v>
      </c>
      <c r="P24" s="7" t="s">
        <v>922</v>
      </c>
      <c r="Q24" s="1" t="s">
        <v>23</v>
      </c>
      <c r="R24" s="1"/>
      <c r="S24" s="4" t="s">
        <v>400</v>
      </c>
      <c r="T24" s="7" t="s">
        <v>27</v>
      </c>
      <c r="U24" s="11" t="s">
        <v>923</v>
      </c>
      <c r="V24" s="1" t="s">
        <v>924</v>
      </c>
      <c r="W24" s="1" t="s">
        <v>402</v>
      </c>
      <c r="X24" s="5">
        <v>200061812481</v>
      </c>
      <c r="Y24" s="1" t="s">
        <v>925</v>
      </c>
      <c r="Z24" s="1">
        <v>1</v>
      </c>
      <c r="AA24" s="6" t="s">
        <v>404</v>
      </c>
      <c r="AB24" s="6" t="s">
        <v>405</v>
      </c>
      <c r="AC24" s="6" t="s">
        <v>406</v>
      </c>
      <c r="AD24" s="1" t="s">
        <v>407</v>
      </c>
      <c r="AE24" s="1" t="s">
        <v>408</v>
      </c>
      <c r="AF24" s="1" t="s">
        <v>409</v>
      </c>
      <c r="AG24" s="1" t="s">
        <v>410</v>
      </c>
      <c r="AH24" s="1" t="s">
        <v>411</v>
      </c>
    </row>
    <row r="25" spans="1:34" ht="210" x14ac:dyDescent="0.25">
      <c r="A25" s="1">
        <v>24</v>
      </c>
      <c r="B25" s="1" t="str">
        <f t="shared" si="0"/>
        <v>N</v>
      </c>
      <c r="C25" s="1" t="s">
        <v>915</v>
      </c>
      <c r="D25" s="4" t="s">
        <v>1682</v>
      </c>
      <c r="E25" s="1" t="s">
        <v>1589</v>
      </c>
      <c r="F25" s="1" t="s">
        <v>1003</v>
      </c>
      <c r="G25" s="1" t="s">
        <v>1647</v>
      </c>
      <c r="H25" s="1">
        <v>400</v>
      </c>
      <c r="I25" s="1" t="s">
        <v>22</v>
      </c>
      <c r="J25" s="1" t="s">
        <v>398</v>
      </c>
      <c r="K25" s="7" t="s">
        <v>23</v>
      </c>
      <c r="L25" s="7" t="s">
        <v>926</v>
      </c>
      <c r="M25" s="7" t="s">
        <v>927</v>
      </c>
      <c r="N25" s="23" t="s">
        <v>921</v>
      </c>
      <c r="O25" s="1" t="s">
        <v>920</v>
      </c>
      <c r="P25" s="7" t="s">
        <v>922</v>
      </c>
      <c r="Q25" s="1" t="s">
        <v>23</v>
      </c>
      <c r="R25" s="1"/>
      <c r="S25" s="4" t="s">
        <v>400</v>
      </c>
      <c r="T25" s="7" t="s">
        <v>27</v>
      </c>
      <c r="U25" s="11" t="s">
        <v>923</v>
      </c>
      <c r="V25" s="1" t="s">
        <v>924</v>
      </c>
      <c r="W25" s="1" t="s">
        <v>402</v>
      </c>
      <c r="X25" s="5">
        <v>200061812481</v>
      </c>
      <c r="Y25" s="1" t="s">
        <v>925</v>
      </c>
      <c r="Z25" s="1">
        <v>1</v>
      </c>
      <c r="AA25" s="6" t="s">
        <v>404</v>
      </c>
      <c r="AB25" s="6" t="s">
        <v>405</v>
      </c>
      <c r="AC25" s="6" t="s">
        <v>406</v>
      </c>
      <c r="AD25" s="1" t="s">
        <v>407</v>
      </c>
      <c r="AE25" s="1" t="s">
        <v>408</v>
      </c>
      <c r="AF25" s="1" t="s">
        <v>409</v>
      </c>
      <c r="AG25" s="1" t="s">
        <v>410</v>
      </c>
      <c r="AH25" s="1" t="s">
        <v>411</v>
      </c>
    </row>
    <row r="26" spans="1:34" ht="210" x14ac:dyDescent="0.25">
      <c r="A26" s="1">
        <v>25</v>
      </c>
      <c r="B26" s="1" t="str">
        <f t="shared" si="0"/>
        <v>N</v>
      </c>
      <c r="C26" s="1" t="s">
        <v>915</v>
      </c>
      <c r="D26" s="4" t="s">
        <v>1683</v>
      </c>
      <c r="E26" s="1" t="s">
        <v>1590</v>
      </c>
      <c r="F26" s="1" t="s">
        <v>1004</v>
      </c>
      <c r="G26" s="1" t="s">
        <v>1648</v>
      </c>
      <c r="H26" s="1">
        <v>400</v>
      </c>
      <c r="I26" s="1" t="s">
        <v>22</v>
      </c>
      <c r="J26" s="1" t="s">
        <v>398</v>
      </c>
      <c r="K26" s="7" t="s">
        <v>23</v>
      </c>
      <c r="L26" s="7" t="s">
        <v>926</v>
      </c>
      <c r="M26" s="7" t="s">
        <v>927</v>
      </c>
      <c r="N26" s="23" t="s">
        <v>921</v>
      </c>
      <c r="O26" s="1" t="s">
        <v>920</v>
      </c>
      <c r="P26" s="7" t="s">
        <v>922</v>
      </c>
      <c r="Q26" s="1" t="s">
        <v>23</v>
      </c>
      <c r="R26" s="1"/>
      <c r="S26" s="4" t="s">
        <v>400</v>
      </c>
      <c r="T26" s="7" t="s">
        <v>27</v>
      </c>
      <c r="U26" s="11" t="s">
        <v>923</v>
      </c>
      <c r="V26" s="1" t="s">
        <v>924</v>
      </c>
      <c r="W26" s="1" t="s">
        <v>402</v>
      </c>
      <c r="X26" s="5">
        <v>200061812481</v>
      </c>
      <c r="Y26" s="1" t="s">
        <v>925</v>
      </c>
      <c r="Z26" s="1">
        <v>1</v>
      </c>
      <c r="AA26" s="6" t="s">
        <v>404</v>
      </c>
      <c r="AB26" s="6" t="s">
        <v>405</v>
      </c>
      <c r="AC26" s="6" t="s">
        <v>406</v>
      </c>
      <c r="AD26" s="1" t="s">
        <v>407</v>
      </c>
      <c r="AE26" s="1" t="s">
        <v>408</v>
      </c>
      <c r="AF26" s="1" t="s">
        <v>409</v>
      </c>
      <c r="AG26" s="1" t="s">
        <v>410</v>
      </c>
      <c r="AH26" s="1" t="s">
        <v>411</v>
      </c>
    </row>
    <row r="27" spans="1:34" ht="210" x14ac:dyDescent="0.25">
      <c r="A27" s="1">
        <v>26</v>
      </c>
      <c r="B27" s="1" t="str">
        <f t="shared" si="0"/>
        <v>N</v>
      </c>
      <c r="C27" s="1" t="s">
        <v>915</v>
      </c>
      <c r="D27" s="4" t="s">
        <v>1684</v>
      </c>
      <c r="E27" s="1" t="s">
        <v>1591</v>
      </c>
      <c r="F27" s="1" t="s">
        <v>1005</v>
      </c>
      <c r="G27" s="1" t="s">
        <v>994</v>
      </c>
      <c r="H27" s="1">
        <v>400</v>
      </c>
      <c r="I27" s="1" t="s">
        <v>22</v>
      </c>
      <c r="J27" s="1" t="s">
        <v>398</v>
      </c>
      <c r="K27" s="7" t="s">
        <v>23</v>
      </c>
      <c r="L27" s="7" t="s">
        <v>926</v>
      </c>
      <c r="M27" s="7" t="s">
        <v>927</v>
      </c>
      <c r="N27" s="23" t="s">
        <v>921</v>
      </c>
      <c r="O27" s="1" t="s">
        <v>920</v>
      </c>
      <c r="P27" s="7" t="s">
        <v>922</v>
      </c>
      <c r="Q27" s="1" t="s">
        <v>23</v>
      </c>
      <c r="R27" s="1"/>
      <c r="S27" s="4" t="s">
        <v>400</v>
      </c>
      <c r="T27" s="7" t="s">
        <v>27</v>
      </c>
      <c r="U27" s="11" t="s">
        <v>923</v>
      </c>
      <c r="V27" s="1" t="s">
        <v>924</v>
      </c>
      <c r="W27" s="1" t="s">
        <v>402</v>
      </c>
      <c r="X27" s="5">
        <v>200061812481</v>
      </c>
      <c r="Y27" s="1" t="s">
        <v>925</v>
      </c>
      <c r="Z27" s="1">
        <v>1</v>
      </c>
      <c r="AA27" s="6" t="s">
        <v>404</v>
      </c>
      <c r="AB27" s="6" t="s">
        <v>405</v>
      </c>
      <c r="AC27" s="6" t="s">
        <v>406</v>
      </c>
      <c r="AD27" s="1" t="s">
        <v>407</v>
      </c>
      <c r="AE27" s="1" t="s">
        <v>408</v>
      </c>
      <c r="AF27" s="1" t="s">
        <v>409</v>
      </c>
      <c r="AG27" s="1" t="s">
        <v>410</v>
      </c>
      <c r="AH27" s="1" t="s">
        <v>411</v>
      </c>
    </row>
    <row r="28" spans="1:34" ht="210" x14ac:dyDescent="0.25">
      <c r="A28" s="1">
        <v>27</v>
      </c>
      <c r="B28" s="1" t="str">
        <f t="shared" si="0"/>
        <v>N</v>
      </c>
      <c r="C28" s="1" t="s">
        <v>915</v>
      </c>
      <c r="D28" s="4" t="s">
        <v>1685</v>
      </c>
      <c r="E28" s="1" t="s">
        <v>1592</v>
      </c>
      <c r="F28" s="1" t="s">
        <v>1006</v>
      </c>
      <c r="G28" s="1" t="s">
        <v>994</v>
      </c>
      <c r="H28" s="1">
        <v>400</v>
      </c>
      <c r="I28" s="1" t="s">
        <v>22</v>
      </c>
      <c r="J28" s="1" t="s">
        <v>398</v>
      </c>
      <c r="K28" s="7" t="s">
        <v>23</v>
      </c>
      <c r="L28" s="7" t="s">
        <v>926</v>
      </c>
      <c r="M28" s="7" t="s">
        <v>927</v>
      </c>
      <c r="N28" s="23" t="s">
        <v>921</v>
      </c>
      <c r="O28" s="1" t="s">
        <v>920</v>
      </c>
      <c r="P28" s="7" t="s">
        <v>922</v>
      </c>
      <c r="Q28" s="1" t="s">
        <v>23</v>
      </c>
      <c r="R28" s="1"/>
      <c r="S28" s="4" t="s">
        <v>400</v>
      </c>
      <c r="T28" s="7" t="s">
        <v>27</v>
      </c>
      <c r="U28" s="11" t="s">
        <v>923</v>
      </c>
      <c r="V28" s="1" t="s">
        <v>924</v>
      </c>
      <c r="W28" s="1" t="s">
        <v>402</v>
      </c>
      <c r="X28" s="5">
        <v>200061812481</v>
      </c>
      <c r="Y28" s="1" t="s">
        <v>925</v>
      </c>
      <c r="Z28" s="1">
        <v>1</v>
      </c>
      <c r="AA28" s="6" t="s">
        <v>404</v>
      </c>
      <c r="AB28" s="6" t="s">
        <v>405</v>
      </c>
      <c r="AC28" s="6" t="s">
        <v>406</v>
      </c>
      <c r="AD28" s="1" t="s">
        <v>407</v>
      </c>
      <c r="AE28" s="1" t="s">
        <v>408</v>
      </c>
      <c r="AF28" s="1" t="s">
        <v>409</v>
      </c>
      <c r="AG28" s="1" t="s">
        <v>410</v>
      </c>
      <c r="AH28" s="1" t="s">
        <v>411</v>
      </c>
    </row>
    <row r="29" spans="1:34" ht="210" x14ac:dyDescent="0.25">
      <c r="A29" s="1">
        <v>28</v>
      </c>
      <c r="B29" s="1" t="str">
        <f t="shared" si="0"/>
        <v>N</v>
      </c>
      <c r="C29" s="1" t="s">
        <v>915</v>
      </c>
      <c r="D29" s="4" t="s">
        <v>1686</v>
      </c>
      <c r="E29" s="1" t="s">
        <v>1593</v>
      </c>
      <c r="F29" s="1" t="s">
        <v>1007</v>
      </c>
      <c r="G29" s="1" t="s">
        <v>994</v>
      </c>
      <c r="H29" s="1">
        <v>400</v>
      </c>
      <c r="I29" s="1" t="s">
        <v>22</v>
      </c>
      <c r="J29" s="1" t="s">
        <v>398</v>
      </c>
      <c r="K29" s="7" t="s">
        <v>23</v>
      </c>
      <c r="L29" s="7" t="s">
        <v>926</v>
      </c>
      <c r="M29" s="7" t="s">
        <v>927</v>
      </c>
      <c r="N29" s="23" t="s">
        <v>921</v>
      </c>
      <c r="O29" s="1" t="s">
        <v>920</v>
      </c>
      <c r="P29" s="7" t="s">
        <v>922</v>
      </c>
      <c r="Q29" s="1" t="s">
        <v>23</v>
      </c>
      <c r="R29" s="1"/>
      <c r="S29" s="4" t="s">
        <v>400</v>
      </c>
      <c r="T29" s="7" t="s">
        <v>27</v>
      </c>
      <c r="U29" s="11" t="s">
        <v>923</v>
      </c>
      <c r="V29" s="1" t="s">
        <v>924</v>
      </c>
      <c r="W29" s="1" t="s">
        <v>402</v>
      </c>
      <c r="X29" s="5">
        <v>200061812481</v>
      </c>
      <c r="Y29" s="1" t="s">
        <v>925</v>
      </c>
      <c r="Z29" s="1">
        <v>1</v>
      </c>
      <c r="AA29" s="6" t="s">
        <v>404</v>
      </c>
      <c r="AB29" s="6" t="s">
        <v>405</v>
      </c>
      <c r="AC29" s="6" t="s">
        <v>406</v>
      </c>
      <c r="AD29" s="1" t="s">
        <v>407</v>
      </c>
      <c r="AE29" s="1" t="s">
        <v>408</v>
      </c>
      <c r="AF29" s="1" t="s">
        <v>409</v>
      </c>
      <c r="AG29" s="1" t="s">
        <v>410</v>
      </c>
      <c r="AH29" s="1" t="s">
        <v>411</v>
      </c>
    </row>
    <row r="30" spans="1:34" ht="210" x14ac:dyDescent="0.25">
      <c r="A30" s="1">
        <v>29</v>
      </c>
      <c r="B30" s="1" t="str">
        <f t="shared" si="0"/>
        <v>N</v>
      </c>
      <c r="C30" s="1" t="s">
        <v>915</v>
      </c>
      <c r="D30" s="4" t="s">
        <v>1687</v>
      </c>
      <c r="E30" s="1" t="s">
        <v>1594</v>
      </c>
      <c r="F30" s="1" t="s">
        <v>1008</v>
      </c>
      <c r="G30" s="1" t="s">
        <v>994</v>
      </c>
      <c r="H30" s="1">
        <v>400</v>
      </c>
      <c r="I30" s="1" t="s">
        <v>22</v>
      </c>
      <c r="J30" s="1" t="s">
        <v>398</v>
      </c>
      <c r="K30" s="7" t="s">
        <v>23</v>
      </c>
      <c r="L30" s="7" t="s">
        <v>926</v>
      </c>
      <c r="M30" s="7" t="s">
        <v>927</v>
      </c>
      <c r="N30" s="23" t="s">
        <v>921</v>
      </c>
      <c r="O30" s="1" t="s">
        <v>920</v>
      </c>
      <c r="P30" s="7" t="s">
        <v>922</v>
      </c>
      <c r="Q30" s="1" t="s">
        <v>23</v>
      </c>
      <c r="R30" s="1"/>
      <c r="S30" s="4" t="s">
        <v>400</v>
      </c>
      <c r="T30" s="7" t="s">
        <v>27</v>
      </c>
      <c r="U30" s="11" t="s">
        <v>923</v>
      </c>
      <c r="V30" s="1" t="s">
        <v>924</v>
      </c>
      <c r="W30" s="1" t="s">
        <v>402</v>
      </c>
      <c r="X30" s="5">
        <v>200061812481</v>
      </c>
      <c r="Y30" s="1" t="s">
        <v>925</v>
      </c>
      <c r="Z30" s="1">
        <v>1</v>
      </c>
      <c r="AA30" s="6" t="s">
        <v>404</v>
      </c>
      <c r="AB30" s="6" t="s">
        <v>405</v>
      </c>
      <c r="AC30" s="6" t="s">
        <v>406</v>
      </c>
      <c r="AD30" s="1" t="s">
        <v>407</v>
      </c>
      <c r="AE30" s="1" t="s">
        <v>408</v>
      </c>
      <c r="AF30" s="1" t="s">
        <v>409</v>
      </c>
      <c r="AG30" s="1" t="s">
        <v>410</v>
      </c>
      <c r="AH30" s="1" t="s">
        <v>411</v>
      </c>
    </row>
    <row r="31" spans="1:34" ht="210" x14ac:dyDescent="0.25">
      <c r="A31" s="1">
        <v>30</v>
      </c>
      <c r="B31" s="1" t="str">
        <f t="shared" si="0"/>
        <v>N</v>
      </c>
      <c r="C31" s="1" t="s">
        <v>915</v>
      </c>
      <c r="D31" s="4" t="s">
        <v>1688</v>
      </c>
      <c r="E31" s="1" t="s">
        <v>1595</v>
      </c>
      <c r="F31" s="1" t="s">
        <v>1009</v>
      </c>
      <c r="G31" s="1" t="s">
        <v>994</v>
      </c>
      <c r="H31" s="1">
        <v>400</v>
      </c>
      <c r="I31" s="1" t="s">
        <v>22</v>
      </c>
      <c r="J31" s="1" t="s">
        <v>398</v>
      </c>
      <c r="K31" s="7" t="s">
        <v>23</v>
      </c>
      <c r="L31" s="7" t="s">
        <v>926</v>
      </c>
      <c r="M31" s="7" t="s">
        <v>927</v>
      </c>
      <c r="N31" s="23" t="s">
        <v>921</v>
      </c>
      <c r="O31" s="1" t="s">
        <v>920</v>
      </c>
      <c r="P31" s="7" t="s">
        <v>922</v>
      </c>
      <c r="Q31" s="1" t="s">
        <v>23</v>
      </c>
      <c r="R31" s="1"/>
      <c r="S31" s="4" t="s">
        <v>400</v>
      </c>
      <c r="T31" s="7" t="s">
        <v>27</v>
      </c>
      <c r="U31" s="11" t="s">
        <v>923</v>
      </c>
      <c r="V31" s="1" t="s">
        <v>924</v>
      </c>
      <c r="W31" s="1" t="s">
        <v>402</v>
      </c>
      <c r="X31" s="5">
        <v>200061812481</v>
      </c>
      <c r="Y31" s="1" t="s">
        <v>925</v>
      </c>
      <c r="Z31" s="1">
        <v>1</v>
      </c>
      <c r="AA31" s="6" t="s">
        <v>404</v>
      </c>
      <c r="AB31" s="6" t="s">
        <v>405</v>
      </c>
      <c r="AC31" s="6" t="s">
        <v>406</v>
      </c>
      <c r="AD31" s="1" t="s">
        <v>407</v>
      </c>
      <c r="AE31" s="1" t="s">
        <v>408</v>
      </c>
      <c r="AF31" s="1" t="s">
        <v>409</v>
      </c>
      <c r="AG31" s="1" t="s">
        <v>410</v>
      </c>
      <c r="AH31" s="1" t="s">
        <v>411</v>
      </c>
    </row>
    <row r="32" spans="1:34" ht="210" x14ac:dyDescent="0.25">
      <c r="A32" s="1">
        <v>31</v>
      </c>
      <c r="B32" s="1" t="str">
        <f t="shared" si="0"/>
        <v>N</v>
      </c>
      <c r="C32" s="1" t="s">
        <v>915</v>
      </c>
      <c r="D32" s="4" t="s">
        <v>1689</v>
      </c>
      <c r="E32" s="1" t="s">
        <v>1596</v>
      </c>
      <c r="F32" s="1" t="s">
        <v>1010</v>
      </c>
      <c r="G32" s="1" t="s">
        <v>994</v>
      </c>
      <c r="H32" s="1">
        <v>400</v>
      </c>
      <c r="I32" s="1" t="s">
        <v>22</v>
      </c>
      <c r="J32" s="1" t="s">
        <v>398</v>
      </c>
      <c r="K32" s="7" t="s">
        <v>23</v>
      </c>
      <c r="L32" s="7" t="s">
        <v>926</v>
      </c>
      <c r="M32" s="7" t="s">
        <v>927</v>
      </c>
      <c r="N32" s="23" t="s">
        <v>921</v>
      </c>
      <c r="O32" s="1" t="s">
        <v>920</v>
      </c>
      <c r="P32" s="7" t="s">
        <v>922</v>
      </c>
      <c r="Q32" s="1" t="s">
        <v>23</v>
      </c>
      <c r="R32" s="1"/>
      <c r="S32" s="4" t="s">
        <v>400</v>
      </c>
      <c r="T32" s="7" t="s">
        <v>27</v>
      </c>
      <c r="U32" s="11" t="s">
        <v>923</v>
      </c>
      <c r="V32" s="1" t="s">
        <v>924</v>
      </c>
      <c r="W32" s="1" t="s">
        <v>402</v>
      </c>
      <c r="X32" s="5">
        <v>200061812481</v>
      </c>
      <c r="Y32" s="1" t="s">
        <v>925</v>
      </c>
      <c r="Z32" s="1">
        <v>1</v>
      </c>
      <c r="AA32" s="6" t="s">
        <v>404</v>
      </c>
      <c r="AB32" s="6" t="s">
        <v>405</v>
      </c>
      <c r="AC32" s="6" t="s">
        <v>406</v>
      </c>
      <c r="AD32" s="1" t="s">
        <v>407</v>
      </c>
      <c r="AE32" s="1" t="s">
        <v>408</v>
      </c>
      <c r="AF32" s="1" t="s">
        <v>409</v>
      </c>
      <c r="AG32" s="1" t="s">
        <v>410</v>
      </c>
      <c r="AH32" s="1" t="s">
        <v>411</v>
      </c>
    </row>
    <row r="33" spans="1:34" ht="210" x14ac:dyDescent="0.25">
      <c r="A33" s="1">
        <v>32</v>
      </c>
      <c r="B33" s="1" t="str">
        <f t="shared" si="0"/>
        <v>N</v>
      </c>
      <c r="C33" s="1" t="s">
        <v>915</v>
      </c>
      <c r="D33" s="4" t="s">
        <v>1690</v>
      </c>
      <c r="E33" s="1" t="s">
        <v>1597</v>
      </c>
      <c r="F33" s="1" t="s">
        <v>1011</v>
      </c>
      <c r="G33" s="1" t="s">
        <v>994</v>
      </c>
      <c r="H33" s="1">
        <v>400</v>
      </c>
      <c r="I33" s="1" t="s">
        <v>22</v>
      </c>
      <c r="J33" s="1" t="s">
        <v>398</v>
      </c>
      <c r="K33" s="7" t="s">
        <v>23</v>
      </c>
      <c r="L33" s="7" t="s">
        <v>926</v>
      </c>
      <c r="M33" s="7" t="s">
        <v>927</v>
      </c>
      <c r="N33" s="23" t="s">
        <v>921</v>
      </c>
      <c r="O33" s="1" t="s">
        <v>920</v>
      </c>
      <c r="P33" s="7" t="s">
        <v>922</v>
      </c>
      <c r="Q33" s="1" t="s">
        <v>23</v>
      </c>
      <c r="R33" s="1"/>
      <c r="S33" s="4" t="s">
        <v>400</v>
      </c>
      <c r="T33" s="7" t="s">
        <v>27</v>
      </c>
      <c r="U33" s="11" t="s">
        <v>923</v>
      </c>
      <c r="V33" s="1" t="s">
        <v>924</v>
      </c>
      <c r="W33" s="1" t="s">
        <v>402</v>
      </c>
      <c r="X33" s="5">
        <v>200061812481</v>
      </c>
      <c r="Y33" s="1" t="s">
        <v>925</v>
      </c>
      <c r="Z33" s="1">
        <v>1</v>
      </c>
      <c r="AA33" s="6" t="s">
        <v>404</v>
      </c>
      <c r="AB33" s="6" t="s">
        <v>405</v>
      </c>
      <c r="AC33" s="6" t="s">
        <v>406</v>
      </c>
      <c r="AD33" s="1" t="s">
        <v>407</v>
      </c>
      <c r="AE33" s="1" t="s">
        <v>408</v>
      </c>
      <c r="AF33" s="1" t="s">
        <v>409</v>
      </c>
      <c r="AG33" s="1" t="s">
        <v>410</v>
      </c>
      <c r="AH33" s="1" t="s">
        <v>411</v>
      </c>
    </row>
    <row r="34" spans="1:34" ht="210" x14ac:dyDescent="0.25">
      <c r="A34" s="1">
        <v>33</v>
      </c>
      <c r="B34" s="1" t="str">
        <f t="shared" si="0"/>
        <v>N</v>
      </c>
      <c r="C34" s="1" t="s">
        <v>915</v>
      </c>
      <c r="D34" s="4" t="s">
        <v>1691</v>
      </c>
      <c r="E34" s="1" t="s">
        <v>1598</v>
      </c>
      <c r="F34" s="1" t="s">
        <v>1012</v>
      </c>
      <c r="G34" s="1" t="s">
        <v>994</v>
      </c>
      <c r="H34" s="1">
        <v>200</v>
      </c>
      <c r="I34" s="1" t="s">
        <v>22</v>
      </c>
      <c r="J34" s="1" t="s">
        <v>398</v>
      </c>
      <c r="K34" s="7" t="s">
        <v>23</v>
      </c>
      <c r="L34" s="7" t="s">
        <v>926</v>
      </c>
      <c r="M34" s="7" t="s">
        <v>927</v>
      </c>
      <c r="N34" s="23" t="s">
        <v>921</v>
      </c>
      <c r="O34" s="1" t="s">
        <v>920</v>
      </c>
      <c r="P34" s="7" t="s">
        <v>922</v>
      </c>
      <c r="Q34" s="1" t="s">
        <v>23</v>
      </c>
      <c r="R34" s="1"/>
      <c r="S34" s="4" t="s">
        <v>400</v>
      </c>
      <c r="T34" s="7" t="s">
        <v>27</v>
      </c>
      <c r="U34" s="11" t="s">
        <v>923</v>
      </c>
      <c r="V34" s="1" t="s">
        <v>924</v>
      </c>
      <c r="W34" s="1" t="s">
        <v>402</v>
      </c>
      <c r="X34" s="5">
        <v>200061812481</v>
      </c>
      <c r="Y34" s="1" t="s">
        <v>925</v>
      </c>
      <c r="Z34" s="1">
        <v>1</v>
      </c>
      <c r="AA34" s="6" t="s">
        <v>404</v>
      </c>
      <c r="AB34" s="6" t="s">
        <v>405</v>
      </c>
      <c r="AC34" s="6" t="s">
        <v>406</v>
      </c>
      <c r="AD34" s="1" t="s">
        <v>407</v>
      </c>
      <c r="AE34" s="1" t="s">
        <v>408</v>
      </c>
      <c r="AF34" s="1" t="s">
        <v>409</v>
      </c>
      <c r="AG34" s="1" t="s">
        <v>410</v>
      </c>
      <c r="AH34" s="1" t="s">
        <v>411</v>
      </c>
    </row>
    <row r="35" spans="1:34" ht="210" x14ac:dyDescent="0.25">
      <c r="A35" s="1">
        <v>34</v>
      </c>
      <c r="B35" s="1" t="str">
        <f t="shared" si="0"/>
        <v>N</v>
      </c>
      <c r="C35" s="1" t="s">
        <v>915</v>
      </c>
      <c r="D35" s="4" t="s">
        <v>1692</v>
      </c>
      <c r="E35" s="1" t="s">
        <v>1599</v>
      </c>
      <c r="F35" s="1" t="s">
        <v>1013</v>
      </c>
      <c r="G35" s="1" t="s">
        <v>994</v>
      </c>
      <c r="H35" s="1">
        <v>200</v>
      </c>
      <c r="I35" s="1" t="s">
        <v>22</v>
      </c>
      <c r="J35" s="1" t="s">
        <v>398</v>
      </c>
      <c r="K35" s="7" t="s">
        <v>23</v>
      </c>
      <c r="L35" s="7" t="s">
        <v>926</v>
      </c>
      <c r="M35" s="7" t="s">
        <v>927</v>
      </c>
      <c r="N35" s="23" t="s">
        <v>921</v>
      </c>
      <c r="O35" s="1" t="s">
        <v>920</v>
      </c>
      <c r="P35" s="7" t="s">
        <v>922</v>
      </c>
      <c r="Q35" s="1" t="s">
        <v>23</v>
      </c>
      <c r="R35" s="1"/>
      <c r="S35" s="4" t="s">
        <v>400</v>
      </c>
      <c r="T35" s="7" t="s">
        <v>27</v>
      </c>
      <c r="U35" s="11" t="s">
        <v>923</v>
      </c>
      <c r="V35" s="1" t="s">
        <v>924</v>
      </c>
      <c r="W35" s="1" t="s">
        <v>402</v>
      </c>
      <c r="X35" s="5">
        <v>200061812481</v>
      </c>
      <c r="Y35" s="1" t="s">
        <v>925</v>
      </c>
      <c r="Z35" s="1">
        <v>1</v>
      </c>
      <c r="AA35" s="6" t="s">
        <v>404</v>
      </c>
      <c r="AB35" s="6" t="s">
        <v>405</v>
      </c>
      <c r="AC35" s="6" t="s">
        <v>406</v>
      </c>
      <c r="AD35" s="1" t="s">
        <v>407</v>
      </c>
      <c r="AE35" s="1" t="s">
        <v>408</v>
      </c>
      <c r="AF35" s="1" t="s">
        <v>409</v>
      </c>
      <c r="AG35" s="1" t="s">
        <v>410</v>
      </c>
      <c r="AH35" s="1" t="s">
        <v>411</v>
      </c>
    </row>
    <row r="36" spans="1:34" ht="210" x14ac:dyDescent="0.25">
      <c r="A36" s="1">
        <v>35</v>
      </c>
      <c r="B36" s="1" t="str">
        <f t="shared" si="0"/>
        <v>N</v>
      </c>
      <c r="C36" s="1" t="s">
        <v>915</v>
      </c>
      <c r="D36" s="4" t="s">
        <v>1693</v>
      </c>
      <c r="E36" s="1" t="s">
        <v>1600</v>
      </c>
      <c r="F36" s="1" t="s">
        <v>1014</v>
      </c>
      <c r="G36" s="1" t="s">
        <v>994</v>
      </c>
      <c r="H36" s="1">
        <v>200</v>
      </c>
      <c r="I36" s="1" t="s">
        <v>22</v>
      </c>
      <c r="J36" s="1" t="s">
        <v>398</v>
      </c>
      <c r="K36" s="7" t="s">
        <v>23</v>
      </c>
      <c r="L36" s="7" t="s">
        <v>926</v>
      </c>
      <c r="M36" s="7" t="s">
        <v>927</v>
      </c>
      <c r="N36" s="23" t="s">
        <v>921</v>
      </c>
      <c r="O36" s="1" t="s">
        <v>920</v>
      </c>
      <c r="P36" s="7" t="s">
        <v>922</v>
      </c>
      <c r="Q36" s="1" t="s">
        <v>23</v>
      </c>
      <c r="R36" s="1"/>
      <c r="S36" s="4" t="s">
        <v>400</v>
      </c>
      <c r="T36" s="7" t="s">
        <v>27</v>
      </c>
      <c r="U36" s="11" t="s">
        <v>923</v>
      </c>
      <c r="V36" s="1" t="s">
        <v>924</v>
      </c>
      <c r="W36" s="1" t="s">
        <v>402</v>
      </c>
      <c r="X36" s="5">
        <v>200061812481</v>
      </c>
      <c r="Y36" s="1" t="s">
        <v>925</v>
      </c>
      <c r="Z36" s="1">
        <v>1</v>
      </c>
      <c r="AA36" s="6" t="s">
        <v>404</v>
      </c>
      <c r="AB36" s="6" t="s">
        <v>405</v>
      </c>
      <c r="AC36" s="6" t="s">
        <v>406</v>
      </c>
      <c r="AD36" s="1" t="s">
        <v>407</v>
      </c>
      <c r="AE36" s="1" t="s">
        <v>408</v>
      </c>
      <c r="AF36" s="1" t="s">
        <v>409</v>
      </c>
      <c r="AG36" s="1" t="s">
        <v>410</v>
      </c>
      <c r="AH36" s="1" t="s">
        <v>411</v>
      </c>
    </row>
    <row r="37" spans="1:34" ht="210" x14ac:dyDescent="0.25">
      <c r="A37" s="1">
        <v>36</v>
      </c>
      <c r="B37" s="1" t="str">
        <f t="shared" si="0"/>
        <v>N</v>
      </c>
      <c r="C37" s="1" t="s">
        <v>915</v>
      </c>
      <c r="D37" s="4" t="s">
        <v>1694</v>
      </c>
      <c r="E37" s="1" t="s">
        <v>1601</v>
      </c>
      <c r="F37" s="1" t="s">
        <v>1015</v>
      </c>
      <c r="G37" s="1" t="s">
        <v>994</v>
      </c>
      <c r="H37" s="1">
        <v>200</v>
      </c>
      <c r="I37" s="1" t="s">
        <v>22</v>
      </c>
      <c r="J37" s="1" t="s">
        <v>398</v>
      </c>
      <c r="K37" s="7" t="s">
        <v>23</v>
      </c>
      <c r="L37" s="7" t="s">
        <v>926</v>
      </c>
      <c r="M37" s="7" t="s">
        <v>927</v>
      </c>
      <c r="N37" s="23" t="s">
        <v>921</v>
      </c>
      <c r="O37" s="1" t="s">
        <v>920</v>
      </c>
      <c r="P37" s="7" t="s">
        <v>922</v>
      </c>
      <c r="Q37" s="1" t="s">
        <v>23</v>
      </c>
      <c r="R37" s="1"/>
      <c r="S37" s="4" t="s">
        <v>400</v>
      </c>
      <c r="T37" s="7" t="s">
        <v>27</v>
      </c>
      <c r="U37" s="11" t="s">
        <v>923</v>
      </c>
      <c r="V37" s="1" t="s">
        <v>924</v>
      </c>
      <c r="W37" s="1" t="s">
        <v>402</v>
      </c>
      <c r="X37" s="5">
        <v>200061812481</v>
      </c>
      <c r="Y37" s="1" t="s">
        <v>925</v>
      </c>
      <c r="Z37" s="1">
        <v>1</v>
      </c>
      <c r="AA37" s="6" t="s">
        <v>404</v>
      </c>
      <c r="AB37" s="6" t="s">
        <v>405</v>
      </c>
      <c r="AC37" s="6" t="s">
        <v>406</v>
      </c>
      <c r="AD37" s="1" t="s">
        <v>407</v>
      </c>
      <c r="AE37" s="1" t="s">
        <v>408</v>
      </c>
      <c r="AF37" s="1" t="s">
        <v>409</v>
      </c>
      <c r="AG37" s="1" t="s">
        <v>410</v>
      </c>
      <c r="AH37" s="1" t="s">
        <v>411</v>
      </c>
    </row>
    <row r="38" spans="1:34" ht="210" x14ac:dyDescent="0.25">
      <c r="A38" s="1">
        <v>37</v>
      </c>
      <c r="B38" s="1" t="str">
        <f t="shared" si="0"/>
        <v>N</v>
      </c>
      <c r="C38" s="1" t="s">
        <v>915</v>
      </c>
      <c r="D38" s="4" t="s">
        <v>1695</v>
      </c>
      <c r="E38" s="1" t="s">
        <v>1602</v>
      </c>
      <c r="F38" s="1" t="s">
        <v>1016</v>
      </c>
      <c r="G38" s="1" t="s">
        <v>994</v>
      </c>
      <c r="H38" s="1">
        <v>200</v>
      </c>
      <c r="I38" s="1" t="s">
        <v>22</v>
      </c>
      <c r="J38" s="1" t="s">
        <v>398</v>
      </c>
      <c r="K38" s="7" t="s">
        <v>23</v>
      </c>
      <c r="L38" s="7" t="s">
        <v>926</v>
      </c>
      <c r="M38" s="7" t="s">
        <v>927</v>
      </c>
      <c r="N38" s="23" t="s">
        <v>921</v>
      </c>
      <c r="O38" s="1" t="s">
        <v>920</v>
      </c>
      <c r="P38" s="7" t="s">
        <v>922</v>
      </c>
      <c r="Q38" s="1" t="s">
        <v>23</v>
      </c>
      <c r="R38" s="1"/>
      <c r="S38" s="4" t="s">
        <v>400</v>
      </c>
      <c r="T38" s="7" t="s">
        <v>27</v>
      </c>
      <c r="U38" s="11" t="s">
        <v>923</v>
      </c>
      <c r="V38" s="1" t="s">
        <v>924</v>
      </c>
      <c r="W38" s="1" t="s">
        <v>402</v>
      </c>
      <c r="X38" s="5">
        <v>200061812481</v>
      </c>
      <c r="Y38" s="1" t="s">
        <v>925</v>
      </c>
      <c r="Z38" s="1">
        <v>1</v>
      </c>
      <c r="AA38" s="6" t="s">
        <v>404</v>
      </c>
      <c r="AB38" s="6" t="s">
        <v>405</v>
      </c>
      <c r="AC38" s="6" t="s">
        <v>406</v>
      </c>
      <c r="AD38" s="1" t="s">
        <v>407</v>
      </c>
      <c r="AE38" s="1" t="s">
        <v>408</v>
      </c>
      <c r="AF38" s="1" t="s">
        <v>409</v>
      </c>
      <c r="AG38" s="1" t="s">
        <v>410</v>
      </c>
      <c r="AH38" s="1" t="s">
        <v>411</v>
      </c>
    </row>
    <row r="39" spans="1:34" ht="210" x14ac:dyDescent="0.25">
      <c r="A39" s="1">
        <v>38</v>
      </c>
      <c r="B39" s="1" t="str">
        <f t="shared" si="0"/>
        <v>N</v>
      </c>
      <c r="C39" s="1" t="s">
        <v>915</v>
      </c>
      <c r="D39" s="4" t="s">
        <v>1696</v>
      </c>
      <c r="E39" s="1" t="s">
        <v>1603</v>
      </c>
      <c r="F39" s="1" t="s">
        <v>1017</v>
      </c>
      <c r="G39" s="1" t="s">
        <v>994</v>
      </c>
      <c r="H39" s="1">
        <v>200</v>
      </c>
      <c r="I39" s="1" t="s">
        <v>22</v>
      </c>
      <c r="J39" s="1" t="s">
        <v>398</v>
      </c>
      <c r="K39" s="7" t="s">
        <v>23</v>
      </c>
      <c r="L39" s="7" t="s">
        <v>926</v>
      </c>
      <c r="M39" s="7" t="s">
        <v>927</v>
      </c>
      <c r="N39" s="23" t="s">
        <v>921</v>
      </c>
      <c r="O39" s="1" t="s">
        <v>920</v>
      </c>
      <c r="P39" s="7" t="s">
        <v>922</v>
      </c>
      <c r="Q39" s="1" t="s">
        <v>23</v>
      </c>
      <c r="R39" s="1"/>
      <c r="S39" s="4" t="s">
        <v>400</v>
      </c>
      <c r="T39" s="7" t="s">
        <v>27</v>
      </c>
      <c r="U39" s="11" t="s">
        <v>923</v>
      </c>
      <c r="V39" s="1" t="s">
        <v>924</v>
      </c>
      <c r="W39" s="1" t="s">
        <v>402</v>
      </c>
      <c r="X39" s="5">
        <v>200061812481</v>
      </c>
      <c r="Y39" s="1" t="s">
        <v>925</v>
      </c>
      <c r="Z39" s="1">
        <v>1</v>
      </c>
      <c r="AA39" s="6" t="s">
        <v>404</v>
      </c>
      <c r="AB39" s="6" t="s">
        <v>405</v>
      </c>
      <c r="AC39" s="6" t="s">
        <v>406</v>
      </c>
      <c r="AD39" s="1" t="s">
        <v>407</v>
      </c>
      <c r="AE39" s="1" t="s">
        <v>408</v>
      </c>
      <c r="AF39" s="1" t="s">
        <v>409</v>
      </c>
      <c r="AG39" s="1" t="s">
        <v>410</v>
      </c>
      <c r="AH39" s="1" t="s">
        <v>411</v>
      </c>
    </row>
    <row r="40" spans="1:34" ht="210" x14ac:dyDescent="0.25">
      <c r="A40" s="1">
        <v>39</v>
      </c>
      <c r="B40" s="1" t="str">
        <f t="shared" si="0"/>
        <v>N</v>
      </c>
      <c r="C40" s="1" t="s">
        <v>915</v>
      </c>
      <c r="D40" s="4" t="s">
        <v>1697</v>
      </c>
      <c r="E40" s="1" t="s">
        <v>1604</v>
      </c>
      <c r="F40" s="1" t="s">
        <v>1018</v>
      </c>
      <c r="G40" s="1" t="s">
        <v>994</v>
      </c>
      <c r="H40" s="1">
        <v>200</v>
      </c>
      <c r="I40" s="1" t="s">
        <v>22</v>
      </c>
      <c r="J40" s="1" t="s">
        <v>398</v>
      </c>
      <c r="K40" s="7" t="s">
        <v>23</v>
      </c>
      <c r="L40" s="7" t="s">
        <v>926</v>
      </c>
      <c r="M40" s="7" t="s">
        <v>927</v>
      </c>
      <c r="N40" s="23" t="s">
        <v>921</v>
      </c>
      <c r="O40" s="1" t="s">
        <v>920</v>
      </c>
      <c r="P40" s="7" t="s">
        <v>922</v>
      </c>
      <c r="Q40" s="1" t="s">
        <v>23</v>
      </c>
      <c r="R40" s="1"/>
      <c r="S40" s="4" t="s">
        <v>400</v>
      </c>
      <c r="T40" s="7" t="s">
        <v>27</v>
      </c>
      <c r="U40" s="11" t="s">
        <v>923</v>
      </c>
      <c r="V40" s="1" t="s">
        <v>924</v>
      </c>
      <c r="W40" s="1" t="s">
        <v>402</v>
      </c>
      <c r="X40" s="5">
        <v>200061812481</v>
      </c>
      <c r="Y40" s="1" t="s">
        <v>925</v>
      </c>
      <c r="Z40" s="1">
        <v>1</v>
      </c>
      <c r="AA40" s="6" t="s">
        <v>404</v>
      </c>
      <c r="AB40" s="6" t="s">
        <v>405</v>
      </c>
      <c r="AC40" s="6" t="s">
        <v>406</v>
      </c>
      <c r="AD40" s="1" t="s">
        <v>407</v>
      </c>
      <c r="AE40" s="1" t="s">
        <v>408</v>
      </c>
      <c r="AF40" s="1" t="s">
        <v>409</v>
      </c>
      <c r="AG40" s="1" t="s">
        <v>410</v>
      </c>
      <c r="AH40" s="1" t="s">
        <v>411</v>
      </c>
    </row>
    <row r="41" spans="1:34" ht="210" x14ac:dyDescent="0.25">
      <c r="A41" s="1">
        <v>40</v>
      </c>
      <c r="B41" s="1" t="str">
        <f t="shared" si="0"/>
        <v>N</v>
      </c>
      <c r="C41" s="1" t="s">
        <v>915</v>
      </c>
      <c r="D41" s="4" t="s">
        <v>1698</v>
      </c>
      <c r="E41" s="1" t="s">
        <v>1605</v>
      </c>
      <c r="F41" s="1" t="s">
        <v>1019</v>
      </c>
      <c r="G41" s="1" t="s">
        <v>994</v>
      </c>
      <c r="H41" s="1">
        <v>200</v>
      </c>
      <c r="I41" s="1" t="s">
        <v>22</v>
      </c>
      <c r="J41" s="1" t="s">
        <v>398</v>
      </c>
      <c r="K41" s="7" t="s">
        <v>23</v>
      </c>
      <c r="L41" s="7" t="s">
        <v>926</v>
      </c>
      <c r="M41" s="7" t="s">
        <v>927</v>
      </c>
      <c r="N41" s="23" t="s">
        <v>921</v>
      </c>
      <c r="O41" s="1" t="s">
        <v>920</v>
      </c>
      <c r="P41" s="7" t="s">
        <v>922</v>
      </c>
      <c r="Q41" s="1" t="s">
        <v>23</v>
      </c>
      <c r="R41" s="1"/>
      <c r="S41" s="4" t="s">
        <v>400</v>
      </c>
      <c r="T41" s="7" t="s">
        <v>27</v>
      </c>
      <c r="U41" s="11" t="s">
        <v>923</v>
      </c>
      <c r="V41" s="1" t="s">
        <v>924</v>
      </c>
      <c r="W41" s="1" t="s">
        <v>402</v>
      </c>
      <c r="X41" s="5">
        <v>200061812481</v>
      </c>
      <c r="Y41" s="1" t="s">
        <v>925</v>
      </c>
      <c r="Z41" s="1">
        <v>1</v>
      </c>
      <c r="AA41" s="6" t="s">
        <v>404</v>
      </c>
      <c r="AB41" s="6" t="s">
        <v>405</v>
      </c>
      <c r="AC41" s="6" t="s">
        <v>406</v>
      </c>
      <c r="AD41" s="1" t="s">
        <v>407</v>
      </c>
      <c r="AE41" s="1" t="s">
        <v>408</v>
      </c>
      <c r="AF41" s="1" t="s">
        <v>409</v>
      </c>
      <c r="AG41" s="1" t="s">
        <v>410</v>
      </c>
      <c r="AH41" s="1" t="s">
        <v>411</v>
      </c>
    </row>
    <row r="42" spans="1:34" ht="210" x14ac:dyDescent="0.25">
      <c r="A42" s="1">
        <v>41</v>
      </c>
      <c r="B42" s="1" t="str">
        <f t="shared" si="0"/>
        <v>N</v>
      </c>
      <c r="C42" s="1" t="s">
        <v>915</v>
      </c>
      <c r="D42" s="4" t="s">
        <v>1699</v>
      </c>
      <c r="E42" s="1" t="s">
        <v>1606</v>
      </c>
      <c r="F42" s="1" t="s">
        <v>1020</v>
      </c>
      <c r="G42" s="1" t="s">
        <v>994</v>
      </c>
      <c r="H42" s="1">
        <v>400</v>
      </c>
      <c r="I42" s="1" t="s">
        <v>22</v>
      </c>
      <c r="J42" s="1" t="s">
        <v>398</v>
      </c>
      <c r="K42" s="7" t="s">
        <v>23</v>
      </c>
      <c r="L42" s="7" t="s">
        <v>926</v>
      </c>
      <c r="M42" s="7" t="s">
        <v>927</v>
      </c>
      <c r="N42" s="23" t="s">
        <v>921</v>
      </c>
      <c r="O42" s="1" t="s">
        <v>920</v>
      </c>
      <c r="P42" s="7" t="s">
        <v>922</v>
      </c>
      <c r="Q42" s="1" t="s">
        <v>23</v>
      </c>
      <c r="R42" s="1"/>
      <c r="S42" s="4" t="s">
        <v>400</v>
      </c>
      <c r="T42" s="7" t="s">
        <v>27</v>
      </c>
      <c r="U42" s="11" t="s">
        <v>923</v>
      </c>
      <c r="V42" s="1" t="s">
        <v>924</v>
      </c>
      <c r="W42" s="1" t="s">
        <v>402</v>
      </c>
      <c r="X42" s="5">
        <v>200061812481</v>
      </c>
      <c r="Y42" s="1" t="s">
        <v>925</v>
      </c>
      <c r="Z42" s="1">
        <v>1</v>
      </c>
      <c r="AA42" s="6" t="s">
        <v>404</v>
      </c>
      <c r="AB42" s="6" t="s">
        <v>405</v>
      </c>
      <c r="AC42" s="6" t="s">
        <v>406</v>
      </c>
      <c r="AD42" s="1" t="s">
        <v>407</v>
      </c>
      <c r="AE42" s="1" t="s">
        <v>408</v>
      </c>
      <c r="AF42" s="1" t="s">
        <v>409</v>
      </c>
      <c r="AG42" s="1" t="s">
        <v>410</v>
      </c>
      <c r="AH42" s="1" t="s">
        <v>411</v>
      </c>
    </row>
    <row r="43" spans="1:34" ht="210" x14ac:dyDescent="0.25">
      <c r="A43" s="1">
        <v>42</v>
      </c>
      <c r="B43" s="1" t="str">
        <f t="shared" si="0"/>
        <v>N</v>
      </c>
      <c r="C43" s="1" t="s">
        <v>915</v>
      </c>
      <c r="D43" s="4" t="s">
        <v>1700</v>
      </c>
      <c r="E43" s="1" t="s">
        <v>1607</v>
      </c>
      <c r="F43" s="1" t="s">
        <v>1021</v>
      </c>
      <c r="G43" s="1" t="s">
        <v>994</v>
      </c>
      <c r="H43" s="1">
        <v>400</v>
      </c>
      <c r="I43" s="1" t="s">
        <v>22</v>
      </c>
      <c r="J43" s="1" t="s">
        <v>398</v>
      </c>
      <c r="K43" s="7" t="s">
        <v>23</v>
      </c>
      <c r="L43" s="7" t="s">
        <v>926</v>
      </c>
      <c r="M43" s="7" t="s">
        <v>927</v>
      </c>
      <c r="N43" s="23" t="s">
        <v>921</v>
      </c>
      <c r="O43" s="1" t="s">
        <v>920</v>
      </c>
      <c r="P43" s="7" t="s">
        <v>922</v>
      </c>
      <c r="Q43" s="1" t="s">
        <v>23</v>
      </c>
      <c r="R43" s="1"/>
      <c r="S43" s="4" t="s">
        <v>400</v>
      </c>
      <c r="T43" s="7" t="s">
        <v>27</v>
      </c>
      <c r="U43" s="11" t="s">
        <v>923</v>
      </c>
      <c r="V43" s="1" t="s">
        <v>924</v>
      </c>
      <c r="W43" s="1" t="s">
        <v>402</v>
      </c>
      <c r="X43" s="5">
        <v>200061812481</v>
      </c>
      <c r="Y43" s="1" t="s">
        <v>925</v>
      </c>
      <c r="Z43" s="1">
        <v>1</v>
      </c>
      <c r="AA43" s="6" t="s">
        <v>404</v>
      </c>
      <c r="AB43" s="6" t="s">
        <v>405</v>
      </c>
      <c r="AC43" s="6" t="s">
        <v>406</v>
      </c>
      <c r="AD43" s="1" t="s">
        <v>407</v>
      </c>
      <c r="AE43" s="1" t="s">
        <v>408</v>
      </c>
      <c r="AF43" s="1" t="s">
        <v>409</v>
      </c>
      <c r="AG43" s="1" t="s">
        <v>410</v>
      </c>
      <c r="AH43" s="1" t="s">
        <v>411</v>
      </c>
    </row>
    <row r="44" spans="1:34" ht="180" x14ac:dyDescent="0.25">
      <c r="A44" s="1">
        <v>43</v>
      </c>
      <c r="B44" s="1" t="str">
        <f t="shared" si="0"/>
        <v>N</v>
      </c>
      <c r="C44" s="1" t="s">
        <v>915</v>
      </c>
      <c r="D44" s="4" t="s">
        <v>1701</v>
      </c>
      <c r="E44" s="1" t="s">
        <v>1608</v>
      </c>
      <c r="F44" s="1" t="s">
        <v>1022</v>
      </c>
      <c r="G44" s="1" t="s">
        <v>1649</v>
      </c>
      <c r="H44" s="1">
        <v>400</v>
      </c>
      <c r="I44" s="1" t="s">
        <v>22</v>
      </c>
      <c r="J44" s="1" t="s">
        <v>398</v>
      </c>
      <c r="K44" s="7" t="s">
        <v>23</v>
      </c>
      <c r="L44" s="7" t="s">
        <v>926</v>
      </c>
      <c r="M44" s="7" t="s">
        <v>927</v>
      </c>
      <c r="N44" s="23" t="s">
        <v>921</v>
      </c>
      <c r="O44" s="1" t="s">
        <v>920</v>
      </c>
      <c r="P44" s="7" t="s">
        <v>922</v>
      </c>
      <c r="Q44" s="1" t="s">
        <v>23</v>
      </c>
      <c r="R44" s="1"/>
      <c r="S44" s="4" t="s">
        <v>400</v>
      </c>
      <c r="T44" s="7" t="s">
        <v>27</v>
      </c>
      <c r="U44" s="11" t="s">
        <v>923</v>
      </c>
      <c r="V44" s="1" t="s">
        <v>924</v>
      </c>
      <c r="W44" s="1" t="s">
        <v>402</v>
      </c>
      <c r="X44" s="5">
        <v>200061812481</v>
      </c>
      <c r="Y44" s="1" t="s">
        <v>925</v>
      </c>
      <c r="Z44" s="1">
        <v>1</v>
      </c>
      <c r="AA44" s="6" t="s">
        <v>404</v>
      </c>
      <c r="AB44" s="6" t="s">
        <v>405</v>
      </c>
      <c r="AC44" s="6" t="s">
        <v>406</v>
      </c>
      <c r="AD44" s="1" t="s">
        <v>407</v>
      </c>
      <c r="AE44" s="1" t="s">
        <v>408</v>
      </c>
      <c r="AF44" s="1" t="s">
        <v>409</v>
      </c>
      <c r="AG44" s="1" t="s">
        <v>410</v>
      </c>
      <c r="AH44" s="1" t="s">
        <v>411</v>
      </c>
    </row>
    <row r="45" spans="1:34" ht="180" x14ac:dyDescent="0.25">
      <c r="A45" s="1">
        <v>44</v>
      </c>
      <c r="B45" s="1" t="str">
        <f t="shared" si="0"/>
        <v>N</v>
      </c>
      <c r="C45" s="1" t="s">
        <v>915</v>
      </c>
      <c r="D45" s="4" t="s">
        <v>1702</v>
      </c>
      <c r="E45" s="1" t="s">
        <v>1609</v>
      </c>
      <c r="F45" s="1" t="s">
        <v>1023</v>
      </c>
      <c r="G45" s="1" t="s">
        <v>1649</v>
      </c>
      <c r="H45" s="1">
        <v>400</v>
      </c>
      <c r="I45" s="1" t="s">
        <v>22</v>
      </c>
      <c r="J45" s="1" t="s">
        <v>398</v>
      </c>
      <c r="K45" s="7" t="s">
        <v>23</v>
      </c>
      <c r="L45" s="7" t="s">
        <v>926</v>
      </c>
      <c r="M45" s="7" t="s">
        <v>927</v>
      </c>
      <c r="N45" s="23" t="s">
        <v>921</v>
      </c>
      <c r="O45" s="1" t="s">
        <v>920</v>
      </c>
      <c r="P45" s="7" t="s">
        <v>922</v>
      </c>
      <c r="Q45" s="1" t="s">
        <v>23</v>
      </c>
      <c r="R45" s="1"/>
      <c r="S45" s="4" t="s">
        <v>400</v>
      </c>
      <c r="T45" s="7" t="s">
        <v>27</v>
      </c>
      <c r="U45" s="11" t="s">
        <v>923</v>
      </c>
      <c r="V45" s="1" t="s">
        <v>924</v>
      </c>
      <c r="W45" s="1" t="s">
        <v>402</v>
      </c>
      <c r="X45" s="5">
        <v>200061812481</v>
      </c>
      <c r="Y45" s="1" t="s">
        <v>925</v>
      </c>
      <c r="Z45" s="1">
        <v>1</v>
      </c>
      <c r="AA45" s="6" t="s">
        <v>404</v>
      </c>
      <c r="AB45" s="6" t="s">
        <v>405</v>
      </c>
      <c r="AC45" s="6" t="s">
        <v>406</v>
      </c>
      <c r="AD45" s="1" t="s">
        <v>407</v>
      </c>
      <c r="AE45" s="1" t="s">
        <v>408</v>
      </c>
      <c r="AF45" s="1" t="s">
        <v>409</v>
      </c>
      <c r="AG45" s="1" t="s">
        <v>410</v>
      </c>
      <c r="AH45" s="1" t="s">
        <v>411</v>
      </c>
    </row>
    <row r="46" spans="1:34" ht="210" x14ac:dyDescent="0.25">
      <c r="A46" s="1">
        <v>45</v>
      </c>
      <c r="B46" s="1" t="str">
        <f t="shared" si="0"/>
        <v>N</v>
      </c>
      <c r="C46" s="1" t="s">
        <v>915</v>
      </c>
      <c r="D46" s="4" t="s">
        <v>1703</v>
      </c>
      <c r="E46" s="1" t="s">
        <v>1610</v>
      </c>
      <c r="F46" s="1" t="s">
        <v>1024</v>
      </c>
      <c r="G46" s="1" t="s">
        <v>994</v>
      </c>
      <c r="H46" s="1">
        <v>200</v>
      </c>
      <c r="I46" s="1" t="s">
        <v>22</v>
      </c>
      <c r="J46" s="1" t="s">
        <v>398</v>
      </c>
      <c r="K46" s="7" t="s">
        <v>23</v>
      </c>
      <c r="L46" s="7" t="s">
        <v>926</v>
      </c>
      <c r="M46" s="7" t="s">
        <v>927</v>
      </c>
      <c r="N46" s="23" t="s">
        <v>921</v>
      </c>
      <c r="O46" s="1" t="s">
        <v>920</v>
      </c>
      <c r="P46" s="7" t="s">
        <v>922</v>
      </c>
      <c r="Q46" s="1" t="s">
        <v>23</v>
      </c>
      <c r="R46" s="1"/>
      <c r="S46" s="4" t="s">
        <v>400</v>
      </c>
      <c r="T46" s="7" t="s">
        <v>27</v>
      </c>
      <c r="U46" s="11" t="s">
        <v>923</v>
      </c>
      <c r="V46" s="1" t="s">
        <v>924</v>
      </c>
      <c r="W46" s="1" t="s">
        <v>402</v>
      </c>
      <c r="X46" s="5">
        <v>200061812481</v>
      </c>
      <c r="Y46" s="1" t="s">
        <v>925</v>
      </c>
      <c r="Z46" s="1">
        <v>1</v>
      </c>
      <c r="AA46" s="6" t="s">
        <v>404</v>
      </c>
      <c r="AB46" s="6" t="s">
        <v>405</v>
      </c>
      <c r="AC46" s="6" t="s">
        <v>406</v>
      </c>
      <c r="AD46" s="1" t="s">
        <v>407</v>
      </c>
      <c r="AE46" s="1" t="s">
        <v>408</v>
      </c>
      <c r="AF46" s="1" t="s">
        <v>409</v>
      </c>
      <c r="AG46" s="1" t="s">
        <v>410</v>
      </c>
      <c r="AH46" s="1" t="s">
        <v>411</v>
      </c>
    </row>
    <row r="47" spans="1:34" ht="210" x14ac:dyDescent="0.25">
      <c r="A47" s="1">
        <v>46</v>
      </c>
      <c r="B47" s="1" t="str">
        <f t="shared" si="0"/>
        <v>N</v>
      </c>
      <c r="C47" s="1" t="s">
        <v>915</v>
      </c>
      <c r="D47" s="4" t="s">
        <v>1704</v>
      </c>
      <c r="E47" s="1" t="s">
        <v>1611</v>
      </c>
      <c r="F47" s="1" t="s">
        <v>1025</v>
      </c>
      <c r="G47" s="1" t="s">
        <v>994</v>
      </c>
      <c r="H47" s="1">
        <v>200</v>
      </c>
      <c r="I47" s="1" t="s">
        <v>22</v>
      </c>
      <c r="J47" s="1" t="s">
        <v>398</v>
      </c>
      <c r="K47" s="7" t="s">
        <v>23</v>
      </c>
      <c r="L47" s="7" t="s">
        <v>926</v>
      </c>
      <c r="M47" s="7" t="s">
        <v>927</v>
      </c>
      <c r="N47" s="23" t="s">
        <v>921</v>
      </c>
      <c r="O47" s="1" t="s">
        <v>920</v>
      </c>
      <c r="P47" s="7" t="s">
        <v>922</v>
      </c>
      <c r="Q47" s="1" t="s">
        <v>23</v>
      </c>
      <c r="R47" s="1"/>
      <c r="S47" s="4" t="s">
        <v>400</v>
      </c>
      <c r="T47" s="7" t="s">
        <v>27</v>
      </c>
      <c r="U47" s="11" t="s">
        <v>923</v>
      </c>
      <c r="V47" s="1" t="s">
        <v>924</v>
      </c>
      <c r="W47" s="1" t="s">
        <v>402</v>
      </c>
      <c r="X47" s="5">
        <v>200061812481</v>
      </c>
      <c r="Y47" s="1" t="s">
        <v>925</v>
      </c>
      <c r="Z47" s="1">
        <v>1</v>
      </c>
      <c r="AA47" s="6" t="s">
        <v>404</v>
      </c>
      <c r="AB47" s="6" t="s">
        <v>405</v>
      </c>
      <c r="AC47" s="6" t="s">
        <v>406</v>
      </c>
      <c r="AD47" s="1" t="s">
        <v>407</v>
      </c>
      <c r="AE47" s="1" t="s">
        <v>408</v>
      </c>
      <c r="AF47" s="1" t="s">
        <v>409</v>
      </c>
      <c r="AG47" s="1" t="s">
        <v>410</v>
      </c>
      <c r="AH47" s="1" t="s">
        <v>411</v>
      </c>
    </row>
    <row r="48" spans="1:34" ht="180" x14ac:dyDescent="0.25">
      <c r="A48" s="1">
        <v>47</v>
      </c>
      <c r="B48" s="1" t="str">
        <f t="shared" si="0"/>
        <v>N</v>
      </c>
      <c r="C48" s="1" t="s">
        <v>915</v>
      </c>
      <c r="D48" s="4" t="s">
        <v>1705</v>
      </c>
      <c r="E48" s="1" t="s">
        <v>1612</v>
      </c>
      <c r="F48" s="1" t="s">
        <v>1026</v>
      </c>
      <c r="G48" s="1" t="s">
        <v>1649</v>
      </c>
      <c r="H48" s="1">
        <v>200</v>
      </c>
      <c r="I48" s="1" t="s">
        <v>22</v>
      </c>
      <c r="J48" s="1" t="s">
        <v>398</v>
      </c>
      <c r="K48" s="7" t="s">
        <v>23</v>
      </c>
      <c r="L48" s="7" t="s">
        <v>926</v>
      </c>
      <c r="M48" s="7" t="s">
        <v>927</v>
      </c>
      <c r="N48" s="23" t="s">
        <v>921</v>
      </c>
      <c r="O48" s="1" t="s">
        <v>920</v>
      </c>
      <c r="P48" s="7" t="s">
        <v>922</v>
      </c>
      <c r="Q48" s="1" t="s">
        <v>23</v>
      </c>
      <c r="R48" s="1"/>
      <c r="S48" s="4" t="s">
        <v>400</v>
      </c>
      <c r="T48" s="7" t="s">
        <v>27</v>
      </c>
      <c r="U48" s="11" t="s">
        <v>923</v>
      </c>
      <c r="V48" s="1" t="s">
        <v>924</v>
      </c>
      <c r="W48" s="1" t="s">
        <v>402</v>
      </c>
      <c r="X48" s="5">
        <v>200061812481</v>
      </c>
      <c r="Y48" s="1" t="s">
        <v>925</v>
      </c>
      <c r="Z48" s="1">
        <v>1</v>
      </c>
      <c r="AA48" s="6" t="s">
        <v>404</v>
      </c>
      <c r="AB48" s="6" t="s">
        <v>405</v>
      </c>
      <c r="AC48" s="6" t="s">
        <v>406</v>
      </c>
      <c r="AD48" s="1" t="s">
        <v>407</v>
      </c>
      <c r="AE48" s="1" t="s">
        <v>408</v>
      </c>
      <c r="AF48" s="1" t="s">
        <v>409</v>
      </c>
      <c r="AG48" s="1" t="s">
        <v>410</v>
      </c>
      <c r="AH48" s="1" t="s">
        <v>411</v>
      </c>
    </row>
    <row r="49" spans="1:34" ht="180" x14ac:dyDescent="0.25">
      <c r="A49" s="1">
        <v>48</v>
      </c>
      <c r="B49" s="1" t="str">
        <f t="shared" si="0"/>
        <v>N</v>
      </c>
      <c r="C49" s="1" t="s">
        <v>915</v>
      </c>
      <c r="D49" s="4" t="s">
        <v>1706</v>
      </c>
      <c r="E49" s="1" t="s">
        <v>1613</v>
      </c>
      <c r="F49" s="1" t="s">
        <v>1027</v>
      </c>
      <c r="G49" s="1" t="s">
        <v>1649</v>
      </c>
      <c r="H49" s="1">
        <v>200</v>
      </c>
      <c r="I49" s="1" t="s">
        <v>22</v>
      </c>
      <c r="J49" s="1" t="s">
        <v>398</v>
      </c>
      <c r="K49" s="7" t="s">
        <v>23</v>
      </c>
      <c r="L49" s="7" t="s">
        <v>926</v>
      </c>
      <c r="M49" s="7" t="s">
        <v>927</v>
      </c>
      <c r="N49" s="23" t="s">
        <v>921</v>
      </c>
      <c r="O49" s="1" t="s">
        <v>920</v>
      </c>
      <c r="P49" s="7" t="s">
        <v>922</v>
      </c>
      <c r="Q49" s="1" t="s">
        <v>23</v>
      </c>
      <c r="R49" s="1"/>
      <c r="S49" s="4" t="s">
        <v>400</v>
      </c>
      <c r="T49" s="7" t="s">
        <v>27</v>
      </c>
      <c r="U49" s="11" t="s">
        <v>923</v>
      </c>
      <c r="V49" s="1" t="s">
        <v>924</v>
      </c>
      <c r="W49" s="1" t="s">
        <v>402</v>
      </c>
      <c r="X49" s="5">
        <v>200061812481</v>
      </c>
      <c r="Y49" s="1" t="s">
        <v>925</v>
      </c>
      <c r="Z49" s="1">
        <v>1</v>
      </c>
      <c r="AA49" s="6" t="s">
        <v>404</v>
      </c>
      <c r="AB49" s="6" t="s">
        <v>405</v>
      </c>
      <c r="AC49" s="6" t="s">
        <v>406</v>
      </c>
      <c r="AD49" s="1" t="s">
        <v>407</v>
      </c>
      <c r="AE49" s="1" t="s">
        <v>408</v>
      </c>
      <c r="AF49" s="1" t="s">
        <v>409</v>
      </c>
      <c r="AG49" s="1" t="s">
        <v>410</v>
      </c>
      <c r="AH49" s="1" t="s">
        <v>411</v>
      </c>
    </row>
    <row r="50" spans="1:34" ht="210" x14ac:dyDescent="0.25">
      <c r="A50" s="1">
        <v>49</v>
      </c>
      <c r="B50" s="1" t="str">
        <f t="shared" si="0"/>
        <v>N</v>
      </c>
      <c r="C50" s="1" t="s">
        <v>915</v>
      </c>
      <c r="D50" s="4" t="s">
        <v>1707</v>
      </c>
      <c r="E50" s="1" t="s">
        <v>1614</v>
      </c>
      <c r="F50" s="1" t="s">
        <v>1028</v>
      </c>
      <c r="G50" s="1" t="s">
        <v>994</v>
      </c>
      <c r="H50" s="1">
        <v>400</v>
      </c>
      <c r="I50" s="1" t="s">
        <v>22</v>
      </c>
      <c r="J50" s="1" t="s">
        <v>398</v>
      </c>
      <c r="K50" s="7" t="s">
        <v>23</v>
      </c>
      <c r="L50" s="7" t="s">
        <v>926</v>
      </c>
      <c r="M50" s="7" t="s">
        <v>927</v>
      </c>
      <c r="N50" s="23" t="s">
        <v>921</v>
      </c>
      <c r="O50" s="1" t="s">
        <v>920</v>
      </c>
      <c r="P50" s="7" t="s">
        <v>922</v>
      </c>
      <c r="Q50" s="1" t="s">
        <v>23</v>
      </c>
      <c r="R50" s="1"/>
      <c r="S50" s="4" t="s">
        <v>400</v>
      </c>
      <c r="T50" s="7" t="s">
        <v>27</v>
      </c>
      <c r="U50" s="11" t="s">
        <v>923</v>
      </c>
      <c r="V50" s="1" t="s">
        <v>924</v>
      </c>
      <c r="W50" s="1" t="s">
        <v>402</v>
      </c>
      <c r="X50" s="5">
        <v>200061812481</v>
      </c>
      <c r="Y50" s="1" t="s">
        <v>925</v>
      </c>
      <c r="Z50" s="1">
        <v>1</v>
      </c>
      <c r="AA50" s="6" t="s">
        <v>404</v>
      </c>
      <c r="AB50" s="6" t="s">
        <v>405</v>
      </c>
      <c r="AC50" s="6" t="s">
        <v>406</v>
      </c>
      <c r="AD50" s="1" t="s">
        <v>407</v>
      </c>
      <c r="AE50" s="1" t="s">
        <v>408</v>
      </c>
      <c r="AF50" s="1" t="s">
        <v>409</v>
      </c>
      <c r="AG50" s="1" t="s">
        <v>410</v>
      </c>
      <c r="AH50" s="1" t="s">
        <v>411</v>
      </c>
    </row>
    <row r="51" spans="1:34" ht="210" x14ac:dyDescent="0.25">
      <c r="A51" s="1">
        <v>50</v>
      </c>
      <c r="B51" s="1" t="str">
        <f t="shared" si="0"/>
        <v>N</v>
      </c>
      <c r="C51" s="1" t="s">
        <v>915</v>
      </c>
      <c r="D51" s="4" t="s">
        <v>1708</v>
      </c>
      <c r="E51" s="1" t="s">
        <v>1615</v>
      </c>
      <c r="F51" s="1" t="s">
        <v>1029</v>
      </c>
      <c r="G51" s="1" t="s">
        <v>994</v>
      </c>
      <c r="H51" s="1">
        <v>400</v>
      </c>
      <c r="I51" s="1" t="s">
        <v>22</v>
      </c>
      <c r="J51" s="1" t="s">
        <v>398</v>
      </c>
      <c r="K51" s="7" t="s">
        <v>23</v>
      </c>
      <c r="L51" s="7" t="s">
        <v>926</v>
      </c>
      <c r="M51" s="7" t="s">
        <v>927</v>
      </c>
      <c r="N51" s="23" t="s">
        <v>921</v>
      </c>
      <c r="O51" s="1" t="s">
        <v>920</v>
      </c>
      <c r="P51" s="7" t="s">
        <v>922</v>
      </c>
      <c r="Q51" s="1" t="s">
        <v>23</v>
      </c>
      <c r="R51" s="1"/>
      <c r="S51" s="4" t="s">
        <v>400</v>
      </c>
      <c r="T51" s="7" t="s">
        <v>27</v>
      </c>
      <c r="U51" s="11" t="s">
        <v>923</v>
      </c>
      <c r="V51" s="1" t="s">
        <v>924</v>
      </c>
      <c r="W51" s="1" t="s">
        <v>402</v>
      </c>
      <c r="X51" s="5">
        <v>200061812481</v>
      </c>
      <c r="Y51" s="1" t="s">
        <v>925</v>
      </c>
      <c r="Z51" s="1">
        <v>1</v>
      </c>
      <c r="AA51" s="6" t="s">
        <v>404</v>
      </c>
      <c r="AB51" s="6" t="s">
        <v>405</v>
      </c>
      <c r="AC51" s="6" t="s">
        <v>406</v>
      </c>
      <c r="AD51" s="1" t="s">
        <v>407</v>
      </c>
      <c r="AE51" s="1" t="s">
        <v>408</v>
      </c>
      <c r="AF51" s="1" t="s">
        <v>409</v>
      </c>
      <c r="AG51" s="1" t="s">
        <v>410</v>
      </c>
      <c r="AH51" s="1" t="s">
        <v>411</v>
      </c>
    </row>
    <row r="52" spans="1:34" ht="210" x14ac:dyDescent="0.25">
      <c r="A52" s="1">
        <v>51</v>
      </c>
      <c r="B52" s="1" t="str">
        <f t="shared" si="0"/>
        <v>N</v>
      </c>
      <c r="C52" s="1" t="s">
        <v>915</v>
      </c>
      <c r="D52" s="4" t="s">
        <v>1709</v>
      </c>
      <c r="E52" s="1" t="s">
        <v>1616</v>
      </c>
      <c r="F52" s="1" t="s">
        <v>1030</v>
      </c>
      <c r="G52" s="1" t="s">
        <v>994</v>
      </c>
      <c r="H52" s="1">
        <v>200</v>
      </c>
      <c r="I52" s="1" t="s">
        <v>22</v>
      </c>
      <c r="J52" s="1" t="s">
        <v>398</v>
      </c>
      <c r="K52" s="7" t="s">
        <v>23</v>
      </c>
      <c r="L52" s="7" t="s">
        <v>926</v>
      </c>
      <c r="M52" s="7" t="s">
        <v>927</v>
      </c>
      <c r="N52" s="23" t="s">
        <v>921</v>
      </c>
      <c r="O52" s="1" t="s">
        <v>920</v>
      </c>
      <c r="P52" s="7" t="s">
        <v>922</v>
      </c>
      <c r="Q52" s="1" t="s">
        <v>23</v>
      </c>
      <c r="R52" s="1"/>
      <c r="S52" s="4" t="s">
        <v>400</v>
      </c>
      <c r="T52" s="7" t="s">
        <v>27</v>
      </c>
      <c r="U52" s="11" t="s">
        <v>923</v>
      </c>
      <c r="V52" s="1" t="s">
        <v>924</v>
      </c>
      <c r="W52" s="1" t="s">
        <v>402</v>
      </c>
      <c r="X52" s="5">
        <v>200061812481</v>
      </c>
      <c r="Y52" s="1" t="s">
        <v>925</v>
      </c>
      <c r="Z52" s="1">
        <v>1</v>
      </c>
      <c r="AA52" s="6" t="s">
        <v>404</v>
      </c>
      <c r="AB52" s="6" t="s">
        <v>405</v>
      </c>
      <c r="AC52" s="6" t="s">
        <v>406</v>
      </c>
      <c r="AD52" s="1" t="s">
        <v>407</v>
      </c>
      <c r="AE52" s="1" t="s">
        <v>408</v>
      </c>
      <c r="AF52" s="1" t="s">
        <v>409</v>
      </c>
      <c r="AG52" s="1" t="s">
        <v>410</v>
      </c>
      <c r="AH52" s="1" t="s">
        <v>411</v>
      </c>
    </row>
    <row r="53" spans="1:34" ht="210" x14ac:dyDescent="0.25">
      <c r="A53" s="1">
        <v>52</v>
      </c>
      <c r="B53" s="1" t="str">
        <f t="shared" si="0"/>
        <v>N</v>
      </c>
      <c r="C53" s="1" t="s">
        <v>915</v>
      </c>
      <c r="D53" s="4" t="s">
        <v>1710</v>
      </c>
      <c r="E53" s="1" t="s">
        <v>1617</v>
      </c>
      <c r="F53" s="1" t="s">
        <v>1031</v>
      </c>
      <c r="G53" s="1" t="s">
        <v>994</v>
      </c>
      <c r="H53" s="1">
        <v>400</v>
      </c>
      <c r="I53" s="1" t="s">
        <v>22</v>
      </c>
      <c r="J53" s="1" t="s">
        <v>398</v>
      </c>
      <c r="K53" s="7" t="s">
        <v>23</v>
      </c>
      <c r="L53" s="7" t="s">
        <v>926</v>
      </c>
      <c r="M53" s="7" t="s">
        <v>927</v>
      </c>
      <c r="N53" s="23" t="s">
        <v>921</v>
      </c>
      <c r="O53" s="1" t="s">
        <v>920</v>
      </c>
      <c r="P53" s="7" t="s">
        <v>922</v>
      </c>
      <c r="Q53" s="1" t="s">
        <v>23</v>
      </c>
      <c r="R53" s="1"/>
      <c r="S53" s="4" t="s">
        <v>400</v>
      </c>
      <c r="T53" s="7" t="s">
        <v>27</v>
      </c>
      <c r="U53" s="11" t="s">
        <v>923</v>
      </c>
      <c r="V53" s="1" t="s">
        <v>924</v>
      </c>
      <c r="W53" s="1" t="s">
        <v>402</v>
      </c>
      <c r="X53" s="5">
        <v>200061812481</v>
      </c>
      <c r="Y53" s="1" t="s">
        <v>925</v>
      </c>
      <c r="Z53" s="1">
        <v>1</v>
      </c>
      <c r="AA53" s="6" t="s">
        <v>404</v>
      </c>
      <c r="AB53" s="6" t="s">
        <v>405</v>
      </c>
      <c r="AC53" s="6" t="s">
        <v>406</v>
      </c>
      <c r="AD53" s="1" t="s">
        <v>407</v>
      </c>
      <c r="AE53" s="1" t="s">
        <v>408</v>
      </c>
      <c r="AF53" s="1" t="s">
        <v>409</v>
      </c>
      <c r="AG53" s="1" t="s">
        <v>410</v>
      </c>
      <c r="AH53" s="1" t="s">
        <v>411</v>
      </c>
    </row>
    <row r="54" spans="1:34" ht="210" x14ac:dyDescent="0.25">
      <c r="A54" s="1">
        <v>53</v>
      </c>
      <c r="B54" s="1" t="str">
        <f t="shared" si="0"/>
        <v>N</v>
      </c>
      <c r="C54" s="1" t="s">
        <v>915</v>
      </c>
      <c r="D54" s="4" t="s">
        <v>1711</v>
      </c>
      <c r="E54" s="1" t="s">
        <v>1618</v>
      </c>
      <c r="F54" s="1" t="s">
        <v>1032</v>
      </c>
      <c r="G54" s="1" t="s">
        <v>994</v>
      </c>
      <c r="H54" s="1">
        <v>200</v>
      </c>
      <c r="I54" s="1" t="s">
        <v>22</v>
      </c>
      <c r="J54" s="1" t="s">
        <v>398</v>
      </c>
      <c r="K54" s="7" t="s">
        <v>23</v>
      </c>
      <c r="L54" s="7" t="s">
        <v>926</v>
      </c>
      <c r="M54" s="7" t="s">
        <v>927</v>
      </c>
      <c r="N54" s="23" t="s">
        <v>921</v>
      </c>
      <c r="O54" s="1" t="s">
        <v>920</v>
      </c>
      <c r="P54" s="7" t="s">
        <v>922</v>
      </c>
      <c r="Q54" s="1" t="s">
        <v>23</v>
      </c>
      <c r="R54" s="1"/>
      <c r="S54" s="4" t="s">
        <v>400</v>
      </c>
      <c r="T54" s="7" t="s">
        <v>27</v>
      </c>
      <c r="U54" s="11" t="s">
        <v>923</v>
      </c>
      <c r="V54" s="1" t="s">
        <v>924</v>
      </c>
      <c r="W54" s="1" t="s">
        <v>402</v>
      </c>
      <c r="X54" s="5">
        <v>200061812481</v>
      </c>
      <c r="Y54" s="1" t="s">
        <v>925</v>
      </c>
      <c r="Z54" s="1">
        <v>1</v>
      </c>
      <c r="AA54" s="6" t="s">
        <v>404</v>
      </c>
      <c r="AB54" s="6" t="s">
        <v>405</v>
      </c>
      <c r="AC54" s="6" t="s">
        <v>406</v>
      </c>
      <c r="AD54" s="1" t="s">
        <v>407</v>
      </c>
      <c r="AE54" s="1" t="s">
        <v>408</v>
      </c>
      <c r="AF54" s="1" t="s">
        <v>409</v>
      </c>
      <c r="AG54" s="1" t="s">
        <v>410</v>
      </c>
      <c r="AH54" s="1" t="s">
        <v>411</v>
      </c>
    </row>
    <row r="55" spans="1:34" ht="210" x14ac:dyDescent="0.25">
      <c r="A55" s="1">
        <v>54</v>
      </c>
      <c r="B55" s="1">
        <f t="shared" si="0"/>
        <v>0</v>
      </c>
      <c r="C55" s="1"/>
      <c r="D55" s="4" t="s">
        <v>1712</v>
      </c>
      <c r="E55" s="1" t="s">
        <v>1619</v>
      </c>
      <c r="F55" s="1" t="s">
        <v>1033</v>
      </c>
      <c r="G55" s="1" t="s">
        <v>994</v>
      </c>
      <c r="H55" s="1">
        <v>200</v>
      </c>
      <c r="I55" s="1" t="s">
        <v>22</v>
      </c>
      <c r="J55" s="1" t="s">
        <v>398</v>
      </c>
      <c r="K55" s="7" t="s">
        <v>23</v>
      </c>
      <c r="L55" s="7" t="s">
        <v>926</v>
      </c>
      <c r="M55" s="7" t="s">
        <v>927</v>
      </c>
      <c r="N55" s="23" t="s">
        <v>921</v>
      </c>
      <c r="O55" s="1" t="s">
        <v>920</v>
      </c>
      <c r="P55" s="7" t="s">
        <v>922</v>
      </c>
      <c r="Q55" s="1" t="s">
        <v>23</v>
      </c>
      <c r="R55" s="1"/>
      <c r="S55" s="4" t="s">
        <v>400</v>
      </c>
      <c r="T55" s="7" t="s">
        <v>27</v>
      </c>
      <c r="U55" s="11" t="s">
        <v>923</v>
      </c>
      <c r="V55" s="1" t="s">
        <v>924</v>
      </c>
      <c r="W55" s="1" t="s">
        <v>402</v>
      </c>
      <c r="X55" s="5">
        <v>200061812481</v>
      </c>
      <c r="Y55" s="1" t="s">
        <v>925</v>
      </c>
      <c r="Z55" s="1">
        <v>1</v>
      </c>
      <c r="AA55" s="6" t="s">
        <v>404</v>
      </c>
      <c r="AB55" s="6" t="s">
        <v>405</v>
      </c>
      <c r="AC55" s="6" t="s">
        <v>406</v>
      </c>
      <c r="AD55" s="1" t="s">
        <v>407</v>
      </c>
      <c r="AE55" s="1" t="s">
        <v>408</v>
      </c>
      <c r="AF55" s="1" t="s">
        <v>409</v>
      </c>
      <c r="AG55" s="1" t="s">
        <v>410</v>
      </c>
      <c r="AH55" s="1" t="s">
        <v>411</v>
      </c>
    </row>
    <row r="56" spans="1:34" ht="210" x14ac:dyDescent="0.25">
      <c r="A56" s="1">
        <v>55</v>
      </c>
      <c r="B56" s="1">
        <f t="shared" si="0"/>
        <v>0</v>
      </c>
      <c r="C56" s="1"/>
      <c r="D56" s="4" t="s">
        <v>1713</v>
      </c>
      <c r="E56" s="1" t="s">
        <v>1620</v>
      </c>
      <c r="F56" s="1" t="s">
        <v>1034</v>
      </c>
      <c r="G56" s="1" t="s">
        <v>994</v>
      </c>
      <c r="H56" s="1">
        <v>200</v>
      </c>
      <c r="I56" s="1" t="s">
        <v>22</v>
      </c>
      <c r="J56" s="1" t="s">
        <v>398</v>
      </c>
      <c r="K56" s="7" t="s">
        <v>23</v>
      </c>
      <c r="L56" s="7" t="s">
        <v>926</v>
      </c>
      <c r="M56" s="7" t="s">
        <v>927</v>
      </c>
      <c r="N56" s="23" t="s">
        <v>921</v>
      </c>
      <c r="O56" s="1" t="s">
        <v>920</v>
      </c>
      <c r="P56" s="7" t="s">
        <v>922</v>
      </c>
      <c r="Q56" s="1" t="s">
        <v>23</v>
      </c>
      <c r="R56" s="1"/>
      <c r="S56" s="4" t="s">
        <v>400</v>
      </c>
      <c r="T56" s="7" t="s">
        <v>27</v>
      </c>
      <c r="U56" s="11" t="s">
        <v>923</v>
      </c>
      <c r="V56" s="1" t="s">
        <v>924</v>
      </c>
      <c r="W56" s="1" t="s">
        <v>402</v>
      </c>
      <c r="X56" s="5">
        <v>200061812481</v>
      </c>
      <c r="Y56" s="1" t="s">
        <v>925</v>
      </c>
      <c r="Z56" s="1">
        <v>1</v>
      </c>
      <c r="AA56" s="6" t="s">
        <v>404</v>
      </c>
      <c r="AB56" s="6" t="s">
        <v>405</v>
      </c>
      <c r="AC56" s="6" t="s">
        <v>406</v>
      </c>
      <c r="AD56" s="1" t="s">
        <v>407</v>
      </c>
      <c r="AE56" s="1" t="s">
        <v>408</v>
      </c>
      <c r="AF56" s="1" t="s">
        <v>409</v>
      </c>
      <c r="AG56" s="1" t="s">
        <v>410</v>
      </c>
      <c r="AH56" s="1" t="s">
        <v>411</v>
      </c>
    </row>
    <row r="57" spans="1:34" ht="210" x14ac:dyDescent="0.25">
      <c r="A57" s="1">
        <v>56</v>
      </c>
      <c r="B57" s="1">
        <f t="shared" si="0"/>
        <v>0</v>
      </c>
      <c r="C57" s="1"/>
      <c r="D57" s="4" t="s">
        <v>1714</v>
      </c>
      <c r="E57" s="1" t="s">
        <v>1621</v>
      </c>
      <c r="F57" s="1" t="s">
        <v>1035</v>
      </c>
      <c r="G57" s="1" t="s">
        <v>994</v>
      </c>
      <c r="H57" s="1">
        <v>200</v>
      </c>
      <c r="I57" s="1" t="s">
        <v>22</v>
      </c>
      <c r="J57" s="1" t="s">
        <v>398</v>
      </c>
      <c r="K57" s="7" t="s">
        <v>23</v>
      </c>
      <c r="L57" s="7" t="s">
        <v>926</v>
      </c>
      <c r="M57" s="7" t="s">
        <v>927</v>
      </c>
      <c r="N57" s="23" t="s">
        <v>921</v>
      </c>
      <c r="O57" s="1" t="s">
        <v>920</v>
      </c>
      <c r="P57" s="7" t="s">
        <v>922</v>
      </c>
      <c r="Q57" s="1" t="s">
        <v>23</v>
      </c>
      <c r="R57" s="1"/>
      <c r="S57" s="4" t="s">
        <v>400</v>
      </c>
      <c r="T57" s="7" t="s">
        <v>27</v>
      </c>
      <c r="U57" s="11" t="s">
        <v>923</v>
      </c>
      <c r="V57" s="1" t="s">
        <v>924</v>
      </c>
      <c r="W57" s="1" t="s">
        <v>402</v>
      </c>
      <c r="X57" s="5">
        <v>200061812481</v>
      </c>
      <c r="Y57" s="1" t="s">
        <v>925</v>
      </c>
      <c r="Z57" s="1">
        <v>1</v>
      </c>
      <c r="AA57" s="6" t="s">
        <v>404</v>
      </c>
      <c r="AB57" s="6" t="s">
        <v>405</v>
      </c>
      <c r="AC57" s="6" t="s">
        <v>406</v>
      </c>
      <c r="AD57" s="1" t="s">
        <v>407</v>
      </c>
      <c r="AE57" s="1" t="s">
        <v>408</v>
      </c>
      <c r="AF57" s="1" t="s">
        <v>409</v>
      </c>
      <c r="AG57" s="1" t="s">
        <v>410</v>
      </c>
      <c r="AH57" s="1" t="s">
        <v>411</v>
      </c>
    </row>
    <row r="58" spans="1:34" ht="210" x14ac:dyDescent="0.25">
      <c r="A58" s="1">
        <v>57</v>
      </c>
      <c r="B58" s="1" t="str">
        <f t="shared" si="0"/>
        <v>Y</v>
      </c>
      <c r="C58" s="1" t="s">
        <v>17</v>
      </c>
      <c r="D58" s="4" t="s">
        <v>1715</v>
      </c>
      <c r="E58" s="1" t="s">
        <v>1622</v>
      </c>
      <c r="F58" s="1" t="s">
        <v>1036</v>
      </c>
      <c r="G58" s="1" t="s">
        <v>994</v>
      </c>
      <c r="H58" s="1">
        <v>409</v>
      </c>
      <c r="I58" s="1" t="s">
        <v>22</v>
      </c>
      <c r="J58" s="1" t="s">
        <v>398</v>
      </c>
      <c r="K58" s="7" t="s">
        <v>23</v>
      </c>
      <c r="L58" s="7" t="s">
        <v>926</v>
      </c>
      <c r="M58" s="7" t="s">
        <v>927</v>
      </c>
      <c r="N58" s="23" t="s">
        <v>921</v>
      </c>
      <c r="O58" s="1" t="s">
        <v>920</v>
      </c>
      <c r="P58" s="7" t="s">
        <v>922</v>
      </c>
      <c r="Q58" s="1" t="s">
        <v>23</v>
      </c>
      <c r="R58" s="1"/>
      <c r="S58" s="4" t="s">
        <v>400</v>
      </c>
      <c r="T58" s="7" t="s">
        <v>27</v>
      </c>
      <c r="U58" s="11" t="s">
        <v>923</v>
      </c>
      <c r="V58" s="1" t="s">
        <v>924</v>
      </c>
      <c r="W58" s="1" t="s">
        <v>402</v>
      </c>
      <c r="X58" s="5">
        <v>200061812481</v>
      </c>
      <c r="Y58" s="1" t="s">
        <v>925</v>
      </c>
      <c r="Z58" s="1">
        <v>1</v>
      </c>
      <c r="AA58" s="6" t="s">
        <v>404</v>
      </c>
      <c r="AB58" s="6" t="s">
        <v>405</v>
      </c>
      <c r="AC58" s="6" t="s">
        <v>406</v>
      </c>
      <c r="AD58" s="1" t="s">
        <v>407</v>
      </c>
      <c r="AE58" s="1" t="s">
        <v>408</v>
      </c>
      <c r="AF58" s="1" t="s">
        <v>409</v>
      </c>
      <c r="AG58" s="1" t="s">
        <v>410</v>
      </c>
      <c r="AH58" s="1" t="s">
        <v>411</v>
      </c>
    </row>
    <row r="59" spans="1:34" ht="60" x14ac:dyDescent="0.25">
      <c r="A59" s="1">
        <v>58</v>
      </c>
      <c r="B59" s="1">
        <f t="shared" si="0"/>
        <v>0</v>
      </c>
      <c r="C59" s="1"/>
      <c r="D59" s="4" t="s">
        <v>1716</v>
      </c>
      <c r="E59" s="1" t="s">
        <v>1037</v>
      </c>
      <c r="F59" s="1" t="s">
        <v>1038</v>
      </c>
      <c r="G59" s="1" t="s">
        <v>459</v>
      </c>
      <c r="H59" s="1">
        <v>409</v>
      </c>
      <c r="I59" s="1" t="s">
        <v>22</v>
      </c>
      <c r="J59" s="1" t="s">
        <v>398</v>
      </c>
      <c r="K59" s="7" t="s">
        <v>23</v>
      </c>
      <c r="L59" s="7" t="s">
        <v>926</v>
      </c>
      <c r="M59" s="7" t="s">
        <v>927</v>
      </c>
      <c r="N59" s="23" t="s">
        <v>921</v>
      </c>
      <c r="O59" s="1" t="s">
        <v>920</v>
      </c>
      <c r="P59" s="7" t="s">
        <v>922</v>
      </c>
      <c r="Q59" s="1" t="s">
        <v>23</v>
      </c>
      <c r="R59" s="1"/>
      <c r="S59" s="4" t="s">
        <v>400</v>
      </c>
      <c r="T59" s="7" t="s">
        <v>27</v>
      </c>
      <c r="U59" s="11" t="s">
        <v>923</v>
      </c>
      <c r="V59" s="1" t="s">
        <v>924</v>
      </c>
      <c r="W59" s="1" t="s">
        <v>402</v>
      </c>
      <c r="X59" s="5">
        <v>200061812481</v>
      </c>
      <c r="Y59" s="1" t="s">
        <v>925</v>
      </c>
      <c r="Z59" s="1">
        <v>1</v>
      </c>
      <c r="AA59" s="6" t="s">
        <v>404</v>
      </c>
      <c r="AB59" s="6" t="s">
        <v>405</v>
      </c>
      <c r="AC59" s="6" t="s">
        <v>406</v>
      </c>
      <c r="AD59" s="1" t="s">
        <v>407</v>
      </c>
      <c r="AE59" s="1" t="s">
        <v>408</v>
      </c>
      <c r="AF59" s="1" t="s">
        <v>409</v>
      </c>
      <c r="AG59" s="1" t="s">
        <v>410</v>
      </c>
      <c r="AH59" s="1" t="s">
        <v>411</v>
      </c>
    </row>
    <row r="60" spans="1:34" ht="60" x14ac:dyDescent="0.25">
      <c r="A60" s="1">
        <v>59</v>
      </c>
      <c r="B60" s="1">
        <f t="shared" si="0"/>
        <v>0</v>
      </c>
      <c r="C60" s="1"/>
      <c r="D60" s="4" t="s">
        <v>1717</v>
      </c>
      <c r="E60" s="1" t="s">
        <v>1039</v>
      </c>
      <c r="F60" s="1" t="s">
        <v>478</v>
      </c>
      <c r="G60" s="1" t="s">
        <v>459</v>
      </c>
      <c r="H60" s="1">
        <v>409</v>
      </c>
      <c r="I60" s="1" t="s">
        <v>22</v>
      </c>
      <c r="J60" s="1" t="s">
        <v>398</v>
      </c>
      <c r="K60" s="7" t="s">
        <v>23</v>
      </c>
      <c r="L60" s="7" t="s">
        <v>926</v>
      </c>
      <c r="M60" s="7" t="s">
        <v>927</v>
      </c>
      <c r="N60" s="23" t="s">
        <v>921</v>
      </c>
      <c r="O60" s="1" t="s">
        <v>920</v>
      </c>
      <c r="P60" s="7" t="s">
        <v>922</v>
      </c>
      <c r="Q60" s="1" t="s">
        <v>23</v>
      </c>
      <c r="R60" s="1"/>
      <c r="S60" s="4" t="s">
        <v>400</v>
      </c>
      <c r="T60" s="7" t="s">
        <v>27</v>
      </c>
      <c r="U60" s="11" t="s">
        <v>923</v>
      </c>
      <c r="V60" s="1" t="s">
        <v>924</v>
      </c>
      <c r="W60" s="1" t="s">
        <v>402</v>
      </c>
      <c r="X60" s="5">
        <v>200061812481</v>
      </c>
      <c r="Y60" s="1" t="s">
        <v>925</v>
      </c>
      <c r="Z60" s="1">
        <v>1</v>
      </c>
      <c r="AA60" s="6" t="s">
        <v>404</v>
      </c>
      <c r="AB60" s="6" t="s">
        <v>405</v>
      </c>
      <c r="AC60" s="6" t="s">
        <v>406</v>
      </c>
      <c r="AD60" s="1" t="s">
        <v>407</v>
      </c>
      <c r="AE60" s="1" t="s">
        <v>408</v>
      </c>
      <c r="AF60" s="1" t="s">
        <v>409</v>
      </c>
      <c r="AG60" s="1" t="s">
        <v>410</v>
      </c>
      <c r="AH60" s="1" t="s">
        <v>411</v>
      </c>
    </row>
    <row r="61" spans="1:34" ht="75" x14ac:dyDescent="0.25">
      <c r="A61" s="1">
        <v>60</v>
      </c>
      <c r="B61" s="1">
        <f t="shared" si="0"/>
        <v>0</v>
      </c>
      <c r="C61" s="1"/>
      <c r="D61" s="4" t="s">
        <v>1718</v>
      </c>
      <c r="E61" s="1" t="s">
        <v>1040</v>
      </c>
      <c r="F61" s="1" t="s">
        <v>480</v>
      </c>
      <c r="G61" s="1" t="s">
        <v>1041</v>
      </c>
      <c r="H61" s="1">
        <v>409</v>
      </c>
      <c r="I61" s="1" t="s">
        <v>22</v>
      </c>
      <c r="J61" s="1" t="s">
        <v>398</v>
      </c>
      <c r="K61" s="7" t="s">
        <v>23</v>
      </c>
      <c r="L61" s="7" t="s">
        <v>926</v>
      </c>
      <c r="M61" s="7" t="s">
        <v>927</v>
      </c>
      <c r="N61" s="23" t="s">
        <v>921</v>
      </c>
      <c r="O61" s="1" t="s">
        <v>920</v>
      </c>
      <c r="P61" s="7" t="s">
        <v>922</v>
      </c>
      <c r="Q61" s="1" t="s">
        <v>23</v>
      </c>
      <c r="R61" s="1"/>
      <c r="S61" s="4" t="s">
        <v>400</v>
      </c>
      <c r="T61" s="7" t="s">
        <v>27</v>
      </c>
      <c r="U61" s="11" t="s">
        <v>923</v>
      </c>
      <c r="V61" s="1" t="s">
        <v>924</v>
      </c>
      <c r="W61" s="1" t="s">
        <v>402</v>
      </c>
      <c r="X61" s="5">
        <v>200061812481</v>
      </c>
      <c r="Y61" s="1" t="s">
        <v>925</v>
      </c>
      <c r="Z61" s="1">
        <v>1</v>
      </c>
      <c r="AA61" s="6" t="s">
        <v>404</v>
      </c>
      <c r="AB61" s="6" t="s">
        <v>405</v>
      </c>
      <c r="AC61" s="6" t="s">
        <v>406</v>
      </c>
      <c r="AD61" s="1" t="s">
        <v>407</v>
      </c>
      <c r="AE61" s="1" t="s">
        <v>408</v>
      </c>
      <c r="AF61" s="1" t="s">
        <v>409</v>
      </c>
      <c r="AG61" s="1" t="s">
        <v>410</v>
      </c>
      <c r="AH61" s="1" t="s">
        <v>411</v>
      </c>
    </row>
    <row r="62" spans="1:34" ht="75" x14ac:dyDescent="0.25">
      <c r="A62" s="1">
        <v>61</v>
      </c>
      <c r="B62" s="1" t="str">
        <f t="shared" si="0"/>
        <v>Y</v>
      </c>
      <c r="C62" s="1" t="s">
        <v>17</v>
      </c>
      <c r="D62" s="4" t="s">
        <v>1719</v>
      </c>
      <c r="E62" s="1" t="s">
        <v>1042</v>
      </c>
      <c r="F62" s="1" t="s">
        <v>482</v>
      </c>
      <c r="G62" s="1" t="s">
        <v>1043</v>
      </c>
      <c r="H62" s="1">
        <v>200</v>
      </c>
      <c r="I62" s="1" t="s">
        <v>22</v>
      </c>
      <c r="J62" s="1" t="s">
        <v>398</v>
      </c>
      <c r="K62" s="7" t="s">
        <v>23</v>
      </c>
      <c r="L62" s="7" t="s">
        <v>926</v>
      </c>
      <c r="M62" s="7" t="s">
        <v>927</v>
      </c>
      <c r="N62" s="23" t="s">
        <v>921</v>
      </c>
      <c r="O62" s="1" t="s">
        <v>920</v>
      </c>
      <c r="P62" s="7" t="s">
        <v>922</v>
      </c>
      <c r="Q62" s="1" t="s">
        <v>23</v>
      </c>
      <c r="R62" s="1"/>
      <c r="S62" s="4" t="s">
        <v>400</v>
      </c>
      <c r="T62" s="7" t="s">
        <v>27</v>
      </c>
      <c r="U62" s="11" t="s">
        <v>923</v>
      </c>
      <c r="V62" s="1" t="s">
        <v>924</v>
      </c>
      <c r="W62" s="1" t="s">
        <v>402</v>
      </c>
      <c r="X62" s="5">
        <v>200061812481</v>
      </c>
      <c r="Y62" s="1" t="s">
        <v>925</v>
      </c>
      <c r="Z62" s="1">
        <v>1</v>
      </c>
      <c r="AA62" s="6" t="s">
        <v>404</v>
      </c>
      <c r="AB62" s="6" t="s">
        <v>405</v>
      </c>
      <c r="AC62" s="6" t="s">
        <v>406</v>
      </c>
      <c r="AD62" s="1" t="s">
        <v>407</v>
      </c>
      <c r="AE62" s="1" t="s">
        <v>408</v>
      </c>
      <c r="AF62" s="1" t="s">
        <v>409</v>
      </c>
      <c r="AG62" s="1" t="s">
        <v>410</v>
      </c>
      <c r="AH62" s="1" t="s">
        <v>411</v>
      </c>
    </row>
    <row r="63" spans="1:34" ht="210" x14ac:dyDescent="0.25">
      <c r="A63" s="1">
        <v>62</v>
      </c>
      <c r="B63" s="1">
        <f t="shared" si="0"/>
        <v>0</v>
      </c>
      <c r="C63" s="1"/>
      <c r="D63" s="4" t="s">
        <v>1720</v>
      </c>
      <c r="E63" s="1" t="s">
        <v>1044</v>
      </c>
      <c r="F63" s="1" t="s">
        <v>1045</v>
      </c>
      <c r="G63" s="1" t="s">
        <v>994</v>
      </c>
      <c r="H63" s="1">
        <v>200</v>
      </c>
      <c r="I63" s="1" t="s">
        <v>22</v>
      </c>
      <c r="J63" s="1" t="s">
        <v>398</v>
      </c>
      <c r="K63" s="7" t="s">
        <v>23</v>
      </c>
      <c r="L63" s="7" t="s">
        <v>926</v>
      </c>
      <c r="M63" s="7" t="s">
        <v>927</v>
      </c>
      <c r="N63" s="23" t="s">
        <v>921</v>
      </c>
      <c r="O63" s="1" t="s">
        <v>920</v>
      </c>
      <c r="P63" s="7" t="s">
        <v>922</v>
      </c>
      <c r="Q63" s="1" t="s">
        <v>23</v>
      </c>
      <c r="R63" s="1"/>
      <c r="S63" s="4" t="s">
        <v>400</v>
      </c>
      <c r="T63" s="7" t="s">
        <v>27</v>
      </c>
      <c r="U63" s="11" t="s">
        <v>923</v>
      </c>
      <c r="V63" s="1" t="s">
        <v>924</v>
      </c>
      <c r="W63" s="1" t="s">
        <v>402</v>
      </c>
      <c r="X63" s="5">
        <v>200061812481</v>
      </c>
      <c r="Y63" s="1" t="s">
        <v>925</v>
      </c>
      <c r="Z63" s="1">
        <v>1</v>
      </c>
      <c r="AA63" s="6" t="s">
        <v>404</v>
      </c>
      <c r="AB63" s="6" t="s">
        <v>405</v>
      </c>
      <c r="AC63" s="6" t="s">
        <v>406</v>
      </c>
      <c r="AD63" s="1" t="s">
        <v>407</v>
      </c>
      <c r="AE63" s="1" t="s">
        <v>408</v>
      </c>
      <c r="AF63" s="1" t="s">
        <v>409</v>
      </c>
      <c r="AG63" s="1" t="s">
        <v>410</v>
      </c>
      <c r="AH63" s="1" t="s">
        <v>411</v>
      </c>
    </row>
    <row r="64" spans="1:34" ht="210" x14ac:dyDescent="0.25">
      <c r="A64" s="1">
        <v>63</v>
      </c>
      <c r="B64" s="1" t="str">
        <f t="shared" si="0"/>
        <v>Y</v>
      </c>
      <c r="C64" s="1" t="s">
        <v>17</v>
      </c>
      <c r="D64" s="4" t="s">
        <v>1721</v>
      </c>
      <c r="E64" s="1" t="s">
        <v>1046</v>
      </c>
      <c r="F64" s="1" t="s">
        <v>1047</v>
      </c>
      <c r="G64" s="1" t="s">
        <v>994</v>
      </c>
      <c r="H64" s="1">
        <v>200</v>
      </c>
      <c r="I64" s="1" t="s">
        <v>22</v>
      </c>
      <c r="J64" s="1" t="s">
        <v>398</v>
      </c>
      <c r="K64" s="7" t="s">
        <v>23</v>
      </c>
      <c r="L64" s="7" t="s">
        <v>926</v>
      </c>
      <c r="M64" s="7" t="s">
        <v>927</v>
      </c>
      <c r="N64" s="23" t="s">
        <v>921</v>
      </c>
      <c r="O64" s="1" t="s">
        <v>920</v>
      </c>
      <c r="P64" s="7" t="s">
        <v>922</v>
      </c>
      <c r="Q64" s="1" t="s">
        <v>23</v>
      </c>
      <c r="R64" s="1"/>
      <c r="S64" s="4" t="s">
        <v>400</v>
      </c>
      <c r="T64" s="7" t="s">
        <v>27</v>
      </c>
      <c r="U64" s="11" t="s">
        <v>923</v>
      </c>
      <c r="V64" s="1" t="s">
        <v>924</v>
      </c>
      <c r="W64" s="1" t="s">
        <v>402</v>
      </c>
      <c r="X64" s="5">
        <v>200061812481</v>
      </c>
      <c r="Y64" s="1" t="s">
        <v>925</v>
      </c>
      <c r="Z64" s="1">
        <v>1</v>
      </c>
      <c r="AA64" s="6" t="s">
        <v>404</v>
      </c>
      <c r="AB64" s="6" t="s">
        <v>405</v>
      </c>
      <c r="AC64" s="6" t="s">
        <v>406</v>
      </c>
      <c r="AD64" s="1" t="s">
        <v>407</v>
      </c>
      <c r="AE64" s="1" t="s">
        <v>408</v>
      </c>
      <c r="AF64" s="1" t="s">
        <v>409</v>
      </c>
      <c r="AG64" s="1" t="s">
        <v>410</v>
      </c>
      <c r="AH64" s="1" t="s">
        <v>411</v>
      </c>
    </row>
    <row r="65" spans="1:34" ht="210" x14ac:dyDescent="0.25">
      <c r="A65" s="1">
        <v>64</v>
      </c>
      <c r="B65" s="1" t="str">
        <f t="shared" si="0"/>
        <v>Y</v>
      </c>
      <c r="C65" s="1" t="s">
        <v>17</v>
      </c>
      <c r="D65" s="4" t="s">
        <v>1722</v>
      </c>
      <c r="E65" s="1" t="s">
        <v>1048</v>
      </c>
      <c r="F65" s="1" t="s">
        <v>1049</v>
      </c>
      <c r="G65" s="1" t="s">
        <v>994</v>
      </c>
      <c r="H65" s="1">
        <v>200</v>
      </c>
      <c r="I65" s="1" t="s">
        <v>22</v>
      </c>
      <c r="J65" s="1" t="s">
        <v>398</v>
      </c>
      <c r="K65" s="7" t="s">
        <v>23</v>
      </c>
      <c r="L65" s="7" t="s">
        <v>926</v>
      </c>
      <c r="M65" s="7" t="s">
        <v>927</v>
      </c>
      <c r="N65" s="23" t="s">
        <v>921</v>
      </c>
      <c r="O65" s="1" t="s">
        <v>920</v>
      </c>
      <c r="P65" s="7" t="s">
        <v>922</v>
      </c>
      <c r="Q65" s="1" t="s">
        <v>23</v>
      </c>
      <c r="R65" s="1"/>
      <c r="S65" s="4" t="s">
        <v>400</v>
      </c>
      <c r="T65" s="7" t="s">
        <v>27</v>
      </c>
      <c r="U65" s="11" t="s">
        <v>923</v>
      </c>
      <c r="V65" s="1" t="s">
        <v>924</v>
      </c>
      <c r="W65" s="1" t="s">
        <v>402</v>
      </c>
      <c r="X65" s="5">
        <v>200061812481</v>
      </c>
      <c r="Y65" s="1" t="s">
        <v>925</v>
      </c>
      <c r="Z65" s="1">
        <v>1</v>
      </c>
      <c r="AA65" s="6" t="s">
        <v>404</v>
      </c>
      <c r="AB65" s="6" t="s">
        <v>405</v>
      </c>
      <c r="AC65" s="6" t="s">
        <v>406</v>
      </c>
      <c r="AD65" s="1" t="s">
        <v>407</v>
      </c>
      <c r="AE65" s="1" t="s">
        <v>408</v>
      </c>
      <c r="AF65" s="1" t="s">
        <v>409</v>
      </c>
      <c r="AG65" s="1" t="s">
        <v>410</v>
      </c>
      <c r="AH65" s="1" t="s">
        <v>411</v>
      </c>
    </row>
    <row r="66" spans="1:34" ht="210" x14ac:dyDescent="0.25">
      <c r="A66" s="1">
        <v>65</v>
      </c>
      <c r="B66" s="1" t="str">
        <f t="shared" si="0"/>
        <v>Y</v>
      </c>
      <c r="C66" s="1" t="s">
        <v>17</v>
      </c>
      <c r="D66" s="4" t="s">
        <v>1723</v>
      </c>
      <c r="E66" s="1" t="s">
        <v>1050</v>
      </c>
      <c r="F66" s="1" t="s">
        <v>1051</v>
      </c>
      <c r="G66" s="1" t="s">
        <v>994</v>
      </c>
      <c r="H66" s="1"/>
      <c r="I66" s="1" t="s">
        <v>22</v>
      </c>
      <c r="J66" s="1" t="s">
        <v>398</v>
      </c>
      <c r="K66" s="7" t="s">
        <v>23</v>
      </c>
      <c r="L66" s="7" t="s">
        <v>926</v>
      </c>
      <c r="M66" s="7" t="s">
        <v>927</v>
      </c>
      <c r="N66" s="23" t="s">
        <v>921</v>
      </c>
      <c r="O66" s="1" t="s">
        <v>920</v>
      </c>
      <c r="P66" s="7" t="s">
        <v>922</v>
      </c>
      <c r="Q66" s="1" t="s">
        <v>23</v>
      </c>
      <c r="R66" s="1"/>
      <c r="S66" s="4" t="s">
        <v>400</v>
      </c>
      <c r="T66" s="7" t="s">
        <v>27</v>
      </c>
      <c r="U66" s="11" t="s">
        <v>923</v>
      </c>
      <c r="V66" s="1" t="s">
        <v>924</v>
      </c>
      <c r="W66" s="1" t="s">
        <v>402</v>
      </c>
      <c r="X66" s="5">
        <v>200061812481</v>
      </c>
      <c r="Y66" s="1" t="s">
        <v>925</v>
      </c>
      <c r="Z66" s="1">
        <v>1</v>
      </c>
      <c r="AA66" s="6" t="s">
        <v>404</v>
      </c>
      <c r="AB66" s="6" t="s">
        <v>405</v>
      </c>
      <c r="AC66" s="6" t="s">
        <v>406</v>
      </c>
      <c r="AD66" s="1" t="s">
        <v>407</v>
      </c>
      <c r="AE66" s="1" t="s">
        <v>408</v>
      </c>
      <c r="AF66" s="1" t="s">
        <v>409</v>
      </c>
      <c r="AG66" s="1" t="s">
        <v>410</v>
      </c>
      <c r="AH66" s="1" t="s">
        <v>411</v>
      </c>
    </row>
    <row r="67" spans="1:34" ht="210" x14ac:dyDescent="0.25">
      <c r="A67" s="1">
        <v>66</v>
      </c>
      <c r="B67" s="1">
        <f t="shared" ref="B67:B101" si="1">C67</f>
        <v>0</v>
      </c>
      <c r="C67" s="1"/>
      <c r="D67" s="4" t="s">
        <v>1724</v>
      </c>
      <c r="E67" s="1" t="s">
        <v>1052</v>
      </c>
      <c r="F67" s="1" t="s">
        <v>484</v>
      </c>
      <c r="G67" s="1" t="s">
        <v>994</v>
      </c>
      <c r="H67" s="1">
        <v>200</v>
      </c>
      <c r="I67" s="1" t="s">
        <v>22</v>
      </c>
      <c r="J67" s="1" t="s">
        <v>398</v>
      </c>
      <c r="K67" s="7" t="s">
        <v>23</v>
      </c>
      <c r="L67" s="7" t="s">
        <v>926</v>
      </c>
      <c r="M67" s="7" t="s">
        <v>927</v>
      </c>
      <c r="N67" s="23" t="s">
        <v>921</v>
      </c>
      <c r="O67" s="1" t="s">
        <v>920</v>
      </c>
      <c r="P67" s="7" t="s">
        <v>922</v>
      </c>
      <c r="Q67" s="1" t="s">
        <v>23</v>
      </c>
      <c r="R67" s="1"/>
      <c r="S67" s="4" t="s">
        <v>400</v>
      </c>
      <c r="T67" s="7" t="s">
        <v>27</v>
      </c>
      <c r="U67" s="11" t="s">
        <v>923</v>
      </c>
      <c r="V67" s="1" t="s">
        <v>924</v>
      </c>
      <c r="W67" s="1" t="s">
        <v>402</v>
      </c>
      <c r="X67" s="5">
        <v>200061812481</v>
      </c>
      <c r="Y67" s="1" t="s">
        <v>925</v>
      </c>
      <c r="Z67" s="1">
        <v>1</v>
      </c>
      <c r="AA67" s="6" t="s">
        <v>404</v>
      </c>
      <c r="AB67" s="6" t="s">
        <v>405</v>
      </c>
      <c r="AC67" s="6" t="s">
        <v>406</v>
      </c>
      <c r="AD67" s="1" t="s">
        <v>407</v>
      </c>
      <c r="AE67" s="1" t="s">
        <v>408</v>
      </c>
      <c r="AF67" s="1" t="s">
        <v>409</v>
      </c>
      <c r="AG67" s="1" t="s">
        <v>410</v>
      </c>
      <c r="AH67" s="1" t="s">
        <v>411</v>
      </c>
    </row>
    <row r="68" spans="1:34" ht="210" x14ac:dyDescent="0.25">
      <c r="A68" s="1">
        <v>67</v>
      </c>
      <c r="B68" s="1" t="str">
        <f t="shared" si="1"/>
        <v>Y</v>
      </c>
      <c r="C68" s="1" t="s">
        <v>17</v>
      </c>
      <c r="D68" s="4" t="s">
        <v>1725</v>
      </c>
      <c r="E68" s="1" t="s">
        <v>1053</v>
      </c>
      <c r="F68" s="1" t="s">
        <v>486</v>
      </c>
      <c r="G68" s="1" t="s">
        <v>994</v>
      </c>
      <c r="H68" s="1">
        <v>200</v>
      </c>
      <c r="I68" s="1" t="s">
        <v>22</v>
      </c>
      <c r="J68" s="1" t="s">
        <v>398</v>
      </c>
      <c r="K68" s="7" t="s">
        <v>23</v>
      </c>
      <c r="L68" s="7" t="s">
        <v>926</v>
      </c>
      <c r="M68" s="7" t="s">
        <v>927</v>
      </c>
      <c r="N68" s="23" t="s">
        <v>921</v>
      </c>
      <c r="O68" s="1" t="s">
        <v>920</v>
      </c>
      <c r="P68" s="7" t="s">
        <v>922</v>
      </c>
      <c r="Q68" s="1" t="s">
        <v>23</v>
      </c>
      <c r="R68" s="1"/>
      <c r="S68" s="4" t="s">
        <v>400</v>
      </c>
      <c r="T68" s="7" t="s">
        <v>27</v>
      </c>
      <c r="U68" s="11" t="s">
        <v>923</v>
      </c>
      <c r="V68" s="1" t="s">
        <v>924</v>
      </c>
      <c r="W68" s="1" t="s">
        <v>402</v>
      </c>
      <c r="X68" s="5">
        <v>200061812481</v>
      </c>
      <c r="Y68" s="1" t="s">
        <v>925</v>
      </c>
      <c r="Z68" s="1">
        <v>1</v>
      </c>
      <c r="AA68" s="6" t="s">
        <v>404</v>
      </c>
      <c r="AB68" s="6" t="s">
        <v>405</v>
      </c>
      <c r="AC68" s="6" t="s">
        <v>406</v>
      </c>
      <c r="AD68" s="1" t="s">
        <v>407</v>
      </c>
      <c r="AE68" s="1" t="s">
        <v>408</v>
      </c>
      <c r="AF68" s="1" t="s">
        <v>409</v>
      </c>
      <c r="AG68" s="1" t="s">
        <v>410</v>
      </c>
      <c r="AH68" s="1" t="s">
        <v>411</v>
      </c>
    </row>
    <row r="69" spans="1:34" ht="210" x14ac:dyDescent="0.25">
      <c r="A69" s="1">
        <v>68</v>
      </c>
      <c r="B69" s="1" t="str">
        <f t="shared" si="1"/>
        <v>Y</v>
      </c>
      <c r="C69" s="1" t="s">
        <v>17</v>
      </c>
      <c r="D69" s="4" t="s">
        <v>1726</v>
      </c>
      <c r="E69" s="1" t="s">
        <v>1054</v>
      </c>
      <c r="F69" s="1" t="s">
        <v>488</v>
      </c>
      <c r="G69" s="1" t="s">
        <v>994</v>
      </c>
      <c r="H69" s="1">
        <v>200</v>
      </c>
      <c r="I69" s="1" t="s">
        <v>22</v>
      </c>
      <c r="J69" s="1" t="s">
        <v>398</v>
      </c>
      <c r="K69" s="7" t="s">
        <v>23</v>
      </c>
      <c r="L69" s="7" t="s">
        <v>926</v>
      </c>
      <c r="M69" s="7" t="s">
        <v>927</v>
      </c>
      <c r="N69" s="23" t="s">
        <v>921</v>
      </c>
      <c r="O69" s="1" t="s">
        <v>920</v>
      </c>
      <c r="P69" s="7" t="s">
        <v>922</v>
      </c>
      <c r="Q69" s="1" t="s">
        <v>23</v>
      </c>
      <c r="R69" s="1"/>
      <c r="S69" s="4" t="s">
        <v>400</v>
      </c>
      <c r="T69" s="7" t="s">
        <v>27</v>
      </c>
      <c r="U69" s="11" t="s">
        <v>923</v>
      </c>
      <c r="V69" s="1" t="s">
        <v>924</v>
      </c>
      <c r="W69" s="1" t="s">
        <v>402</v>
      </c>
      <c r="X69" s="5">
        <v>200061812481</v>
      </c>
      <c r="Y69" s="1" t="s">
        <v>925</v>
      </c>
      <c r="Z69" s="1">
        <v>1</v>
      </c>
      <c r="AA69" s="6" t="s">
        <v>404</v>
      </c>
      <c r="AB69" s="6" t="s">
        <v>405</v>
      </c>
      <c r="AC69" s="6" t="s">
        <v>406</v>
      </c>
      <c r="AD69" s="1" t="s">
        <v>407</v>
      </c>
      <c r="AE69" s="1" t="s">
        <v>408</v>
      </c>
      <c r="AF69" s="1" t="s">
        <v>409</v>
      </c>
      <c r="AG69" s="1" t="s">
        <v>410</v>
      </c>
      <c r="AH69" s="1" t="s">
        <v>411</v>
      </c>
    </row>
    <row r="70" spans="1:34" ht="210" x14ac:dyDescent="0.25">
      <c r="A70" s="1">
        <v>69</v>
      </c>
      <c r="B70" s="1" t="str">
        <f t="shared" si="1"/>
        <v>Y</v>
      </c>
      <c r="C70" s="1" t="s">
        <v>17</v>
      </c>
      <c r="D70" s="4" t="s">
        <v>1727</v>
      </c>
      <c r="E70" s="1" t="s">
        <v>1055</v>
      </c>
      <c r="F70" s="1" t="s">
        <v>490</v>
      </c>
      <c r="G70" s="1" t="s">
        <v>994</v>
      </c>
      <c r="H70" s="1">
        <v>200</v>
      </c>
      <c r="I70" s="1" t="s">
        <v>22</v>
      </c>
      <c r="J70" s="1" t="s">
        <v>398</v>
      </c>
      <c r="K70" s="7" t="s">
        <v>23</v>
      </c>
      <c r="L70" s="7" t="s">
        <v>926</v>
      </c>
      <c r="M70" s="7" t="s">
        <v>927</v>
      </c>
      <c r="N70" s="23" t="s">
        <v>921</v>
      </c>
      <c r="O70" s="1" t="s">
        <v>920</v>
      </c>
      <c r="P70" s="7" t="s">
        <v>922</v>
      </c>
      <c r="Q70" s="1" t="s">
        <v>23</v>
      </c>
      <c r="R70" s="1"/>
      <c r="S70" s="4" t="s">
        <v>400</v>
      </c>
      <c r="T70" s="7" t="s">
        <v>27</v>
      </c>
      <c r="U70" s="11" t="s">
        <v>923</v>
      </c>
      <c r="V70" s="1" t="s">
        <v>924</v>
      </c>
      <c r="W70" s="1" t="s">
        <v>402</v>
      </c>
      <c r="X70" s="5">
        <v>200061812481</v>
      </c>
      <c r="Y70" s="1" t="s">
        <v>925</v>
      </c>
      <c r="Z70" s="1">
        <v>1</v>
      </c>
      <c r="AA70" s="6" t="s">
        <v>404</v>
      </c>
      <c r="AB70" s="6" t="s">
        <v>405</v>
      </c>
      <c r="AC70" s="6" t="s">
        <v>406</v>
      </c>
      <c r="AD70" s="1" t="s">
        <v>407</v>
      </c>
      <c r="AE70" s="1" t="s">
        <v>408</v>
      </c>
      <c r="AF70" s="1" t="s">
        <v>409</v>
      </c>
      <c r="AG70" s="1" t="s">
        <v>410</v>
      </c>
      <c r="AH70" s="1" t="s">
        <v>411</v>
      </c>
    </row>
    <row r="71" spans="1:34" ht="60" x14ac:dyDescent="0.25">
      <c r="A71" s="1">
        <v>70</v>
      </c>
      <c r="B71" s="1">
        <f t="shared" si="1"/>
        <v>0</v>
      </c>
      <c r="C71" s="1"/>
      <c r="D71" s="4" t="s">
        <v>1728</v>
      </c>
      <c r="E71" s="1" t="s">
        <v>1056</v>
      </c>
      <c r="F71" s="1" t="s">
        <v>493</v>
      </c>
      <c r="G71" s="1" t="s">
        <v>1057</v>
      </c>
      <c r="H71" s="1">
        <v>200</v>
      </c>
      <c r="I71" s="1" t="s">
        <v>22</v>
      </c>
      <c r="J71" s="1" t="s">
        <v>398</v>
      </c>
      <c r="K71" s="7" t="s">
        <v>23</v>
      </c>
      <c r="L71" s="7" t="s">
        <v>926</v>
      </c>
      <c r="M71" s="7" t="s">
        <v>927</v>
      </c>
      <c r="N71" s="23" t="s">
        <v>921</v>
      </c>
      <c r="O71" s="1" t="s">
        <v>920</v>
      </c>
      <c r="P71" s="7" t="s">
        <v>922</v>
      </c>
      <c r="Q71" s="1" t="s">
        <v>23</v>
      </c>
      <c r="R71" s="1"/>
      <c r="S71" s="4" t="s">
        <v>400</v>
      </c>
      <c r="T71" s="7" t="s">
        <v>27</v>
      </c>
      <c r="U71" s="11" t="s">
        <v>923</v>
      </c>
      <c r="V71" s="1" t="s">
        <v>924</v>
      </c>
      <c r="W71" s="1" t="s">
        <v>402</v>
      </c>
      <c r="X71" s="5">
        <v>200061812481</v>
      </c>
      <c r="Y71" s="1" t="s">
        <v>925</v>
      </c>
      <c r="Z71" s="1">
        <v>1</v>
      </c>
      <c r="AA71" s="6" t="s">
        <v>404</v>
      </c>
      <c r="AB71" s="6" t="s">
        <v>405</v>
      </c>
      <c r="AC71" s="6" t="s">
        <v>406</v>
      </c>
      <c r="AD71" s="1" t="s">
        <v>407</v>
      </c>
      <c r="AE71" s="1" t="s">
        <v>408</v>
      </c>
      <c r="AF71" s="1" t="s">
        <v>409</v>
      </c>
      <c r="AG71" s="1" t="s">
        <v>410</v>
      </c>
      <c r="AH71" s="1" t="s">
        <v>411</v>
      </c>
    </row>
    <row r="72" spans="1:34" ht="60" x14ac:dyDescent="0.25">
      <c r="A72" s="1">
        <v>71</v>
      </c>
      <c r="B72" s="1" t="str">
        <f t="shared" si="1"/>
        <v>Y</v>
      </c>
      <c r="C72" s="1" t="s">
        <v>17</v>
      </c>
      <c r="D72" s="4" t="s">
        <v>1729</v>
      </c>
      <c r="E72" s="1" t="s">
        <v>1058</v>
      </c>
      <c r="F72" s="1" t="s">
        <v>496</v>
      </c>
      <c r="G72" s="1" t="s">
        <v>1057</v>
      </c>
      <c r="H72" s="1">
        <v>200</v>
      </c>
      <c r="I72" s="1" t="s">
        <v>22</v>
      </c>
      <c r="J72" s="1" t="s">
        <v>398</v>
      </c>
      <c r="K72" s="7" t="s">
        <v>23</v>
      </c>
      <c r="L72" s="7" t="s">
        <v>926</v>
      </c>
      <c r="M72" s="7" t="s">
        <v>927</v>
      </c>
      <c r="N72" s="23" t="s">
        <v>921</v>
      </c>
      <c r="O72" s="1" t="s">
        <v>920</v>
      </c>
      <c r="P72" s="7" t="s">
        <v>922</v>
      </c>
      <c r="Q72" s="1" t="s">
        <v>23</v>
      </c>
      <c r="R72" s="1"/>
      <c r="S72" s="4" t="s">
        <v>400</v>
      </c>
      <c r="T72" s="7" t="s">
        <v>27</v>
      </c>
      <c r="U72" s="11" t="s">
        <v>923</v>
      </c>
      <c r="V72" s="1" t="s">
        <v>924</v>
      </c>
      <c r="W72" s="1" t="s">
        <v>402</v>
      </c>
      <c r="X72" s="5">
        <v>200061812481</v>
      </c>
      <c r="Y72" s="1" t="s">
        <v>925</v>
      </c>
      <c r="Z72" s="1">
        <v>1</v>
      </c>
      <c r="AA72" s="6" t="s">
        <v>404</v>
      </c>
      <c r="AB72" s="6" t="s">
        <v>405</v>
      </c>
      <c r="AC72" s="6" t="s">
        <v>406</v>
      </c>
      <c r="AD72" s="1" t="s">
        <v>407</v>
      </c>
      <c r="AE72" s="1" t="s">
        <v>408</v>
      </c>
      <c r="AF72" s="1" t="s">
        <v>409</v>
      </c>
      <c r="AG72" s="1" t="s">
        <v>410</v>
      </c>
      <c r="AH72" s="1" t="s">
        <v>411</v>
      </c>
    </row>
    <row r="73" spans="1:34" ht="60" x14ac:dyDescent="0.25">
      <c r="A73" s="1">
        <v>72</v>
      </c>
      <c r="B73" s="1" t="str">
        <f t="shared" si="1"/>
        <v>Y</v>
      </c>
      <c r="C73" s="1" t="s">
        <v>17</v>
      </c>
      <c r="D73" s="4" t="s">
        <v>1730</v>
      </c>
      <c r="E73" s="1" t="s">
        <v>1059</v>
      </c>
      <c r="F73" s="1" t="s">
        <v>498</v>
      </c>
      <c r="G73" s="1" t="s">
        <v>1057</v>
      </c>
      <c r="H73" s="1">
        <v>200</v>
      </c>
      <c r="I73" s="1" t="s">
        <v>22</v>
      </c>
      <c r="J73" s="1" t="s">
        <v>398</v>
      </c>
      <c r="K73" s="7" t="s">
        <v>23</v>
      </c>
      <c r="L73" s="7" t="s">
        <v>926</v>
      </c>
      <c r="M73" s="7" t="s">
        <v>927</v>
      </c>
      <c r="N73" s="23" t="s">
        <v>921</v>
      </c>
      <c r="O73" s="1" t="s">
        <v>920</v>
      </c>
      <c r="P73" s="7" t="s">
        <v>922</v>
      </c>
      <c r="Q73" s="1" t="s">
        <v>23</v>
      </c>
      <c r="R73" s="1"/>
      <c r="S73" s="4" t="s">
        <v>400</v>
      </c>
      <c r="T73" s="7" t="s">
        <v>27</v>
      </c>
      <c r="U73" s="11" t="s">
        <v>923</v>
      </c>
      <c r="V73" s="1" t="s">
        <v>924</v>
      </c>
      <c r="W73" s="1" t="s">
        <v>402</v>
      </c>
      <c r="X73" s="5">
        <v>200061812481</v>
      </c>
      <c r="Y73" s="1" t="s">
        <v>925</v>
      </c>
      <c r="Z73" s="1">
        <v>1</v>
      </c>
      <c r="AA73" s="6" t="s">
        <v>404</v>
      </c>
      <c r="AB73" s="6" t="s">
        <v>405</v>
      </c>
      <c r="AC73" s="6" t="s">
        <v>406</v>
      </c>
      <c r="AD73" s="1" t="s">
        <v>407</v>
      </c>
      <c r="AE73" s="1" t="s">
        <v>408</v>
      </c>
      <c r="AF73" s="1" t="s">
        <v>409</v>
      </c>
      <c r="AG73" s="1" t="s">
        <v>410</v>
      </c>
      <c r="AH73" s="1" t="s">
        <v>411</v>
      </c>
    </row>
    <row r="74" spans="1:34" ht="60" x14ac:dyDescent="0.25">
      <c r="A74" s="1">
        <v>73</v>
      </c>
      <c r="B74" s="1" t="str">
        <f t="shared" si="1"/>
        <v>Y</v>
      </c>
      <c r="C74" s="1" t="s">
        <v>17</v>
      </c>
      <c r="D74" s="4" t="s">
        <v>1731</v>
      </c>
      <c r="E74" s="1" t="s">
        <v>1060</v>
      </c>
      <c r="F74" s="1" t="s">
        <v>500</v>
      </c>
      <c r="G74" s="1" t="s">
        <v>1057</v>
      </c>
      <c r="H74" s="1">
        <v>200</v>
      </c>
      <c r="I74" s="1" t="s">
        <v>22</v>
      </c>
      <c r="J74" s="1" t="s">
        <v>398</v>
      </c>
      <c r="K74" s="7" t="s">
        <v>23</v>
      </c>
      <c r="L74" s="7" t="s">
        <v>926</v>
      </c>
      <c r="M74" s="7" t="s">
        <v>927</v>
      </c>
      <c r="N74" s="23" t="s">
        <v>921</v>
      </c>
      <c r="O74" s="1" t="s">
        <v>920</v>
      </c>
      <c r="P74" s="7" t="s">
        <v>922</v>
      </c>
      <c r="Q74" s="1" t="s">
        <v>23</v>
      </c>
      <c r="R74" s="1"/>
      <c r="S74" s="4" t="s">
        <v>400</v>
      </c>
      <c r="T74" s="7" t="s">
        <v>27</v>
      </c>
      <c r="U74" s="11" t="s">
        <v>923</v>
      </c>
      <c r="V74" s="1" t="s">
        <v>924</v>
      </c>
      <c r="W74" s="1" t="s">
        <v>402</v>
      </c>
      <c r="X74" s="5">
        <v>200061812481</v>
      </c>
      <c r="Y74" s="1" t="s">
        <v>925</v>
      </c>
      <c r="Z74" s="1">
        <v>1</v>
      </c>
      <c r="AA74" s="6" t="s">
        <v>404</v>
      </c>
      <c r="AB74" s="6" t="s">
        <v>405</v>
      </c>
      <c r="AC74" s="6" t="s">
        <v>406</v>
      </c>
      <c r="AD74" s="1" t="s">
        <v>407</v>
      </c>
      <c r="AE74" s="1" t="s">
        <v>408</v>
      </c>
      <c r="AF74" s="1" t="s">
        <v>409</v>
      </c>
      <c r="AG74" s="1" t="s">
        <v>410</v>
      </c>
      <c r="AH74" s="1" t="s">
        <v>411</v>
      </c>
    </row>
    <row r="75" spans="1:34" ht="60" x14ac:dyDescent="0.25">
      <c r="A75" s="1">
        <v>74</v>
      </c>
      <c r="B75" s="1">
        <f t="shared" si="1"/>
        <v>0</v>
      </c>
      <c r="C75" s="1"/>
      <c r="D75" s="4" t="s">
        <v>1732</v>
      </c>
      <c r="E75" s="1" t="s">
        <v>1061</v>
      </c>
      <c r="F75" s="1" t="s">
        <v>502</v>
      </c>
      <c r="G75" s="1" t="s">
        <v>459</v>
      </c>
      <c r="H75" s="1">
        <v>200</v>
      </c>
      <c r="I75" s="1" t="s">
        <v>22</v>
      </c>
      <c r="J75" s="1" t="s">
        <v>398</v>
      </c>
      <c r="K75" s="7" t="s">
        <v>23</v>
      </c>
      <c r="L75" s="7" t="s">
        <v>926</v>
      </c>
      <c r="M75" s="7" t="s">
        <v>927</v>
      </c>
      <c r="N75" s="23" t="s">
        <v>921</v>
      </c>
      <c r="O75" s="1" t="s">
        <v>920</v>
      </c>
      <c r="P75" s="7" t="s">
        <v>922</v>
      </c>
      <c r="Q75" s="1" t="s">
        <v>23</v>
      </c>
      <c r="R75" s="1"/>
      <c r="S75" s="4" t="s">
        <v>400</v>
      </c>
      <c r="T75" s="7" t="s">
        <v>27</v>
      </c>
      <c r="U75" s="11" t="s">
        <v>923</v>
      </c>
      <c r="V75" s="1" t="s">
        <v>924</v>
      </c>
      <c r="W75" s="1" t="s">
        <v>402</v>
      </c>
      <c r="X75" s="5">
        <v>200061812481</v>
      </c>
      <c r="Y75" s="1" t="s">
        <v>925</v>
      </c>
      <c r="Z75" s="1">
        <v>1</v>
      </c>
      <c r="AA75" s="6" t="s">
        <v>404</v>
      </c>
      <c r="AB75" s="6" t="s">
        <v>405</v>
      </c>
      <c r="AC75" s="6" t="s">
        <v>406</v>
      </c>
      <c r="AD75" s="1" t="s">
        <v>407</v>
      </c>
      <c r="AE75" s="1" t="s">
        <v>408</v>
      </c>
      <c r="AF75" s="1" t="s">
        <v>409</v>
      </c>
      <c r="AG75" s="1" t="s">
        <v>410</v>
      </c>
      <c r="AH75" s="1" t="s">
        <v>411</v>
      </c>
    </row>
    <row r="76" spans="1:34" ht="60" x14ac:dyDescent="0.25">
      <c r="A76" s="1">
        <v>75</v>
      </c>
      <c r="B76" s="1" t="str">
        <f t="shared" si="1"/>
        <v>Y</v>
      </c>
      <c r="C76" s="1" t="s">
        <v>17</v>
      </c>
      <c r="D76" s="4" t="s">
        <v>1733</v>
      </c>
      <c r="E76" s="1" t="s">
        <v>1062</v>
      </c>
      <c r="F76" s="1" t="s">
        <v>504</v>
      </c>
      <c r="G76" s="1" t="s">
        <v>459</v>
      </c>
      <c r="H76" s="1">
        <v>200</v>
      </c>
      <c r="I76" s="1" t="s">
        <v>22</v>
      </c>
      <c r="J76" s="1" t="s">
        <v>398</v>
      </c>
      <c r="K76" s="7" t="s">
        <v>23</v>
      </c>
      <c r="L76" s="7" t="s">
        <v>926</v>
      </c>
      <c r="M76" s="7" t="s">
        <v>927</v>
      </c>
      <c r="N76" s="23" t="s">
        <v>921</v>
      </c>
      <c r="O76" s="1" t="s">
        <v>920</v>
      </c>
      <c r="P76" s="7" t="s">
        <v>922</v>
      </c>
      <c r="Q76" s="1" t="s">
        <v>23</v>
      </c>
      <c r="R76" s="1"/>
      <c r="S76" s="4" t="s">
        <v>400</v>
      </c>
      <c r="T76" s="7" t="s">
        <v>27</v>
      </c>
      <c r="U76" s="11" t="s">
        <v>923</v>
      </c>
      <c r="V76" s="1" t="s">
        <v>924</v>
      </c>
      <c r="W76" s="1" t="s">
        <v>402</v>
      </c>
      <c r="X76" s="5">
        <v>200061812481</v>
      </c>
      <c r="Y76" s="1" t="s">
        <v>925</v>
      </c>
      <c r="Z76" s="1">
        <v>1</v>
      </c>
      <c r="AA76" s="6" t="s">
        <v>404</v>
      </c>
      <c r="AB76" s="6" t="s">
        <v>405</v>
      </c>
      <c r="AC76" s="6" t="s">
        <v>406</v>
      </c>
      <c r="AD76" s="1" t="s">
        <v>407</v>
      </c>
      <c r="AE76" s="1" t="s">
        <v>408</v>
      </c>
      <c r="AF76" s="1" t="s">
        <v>409</v>
      </c>
      <c r="AG76" s="1" t="s">
        <v>410</v>
      </c>
      <c r="AH76" s="1" t="s">
        <v>411</v>
      </c>
    </row>
    <row r="77" spans="1:34" ht="60" x14ac:dyDescent="0.25">
      <c r="A77" s="1">
        <v>76</v>
      </c>
      <c r="B77" s="1" t="str">
        <f t="shared" si="1"/>
        <v>Y</v>
      </c>
      <c r="C77" s="1" t="s">
        <v>17</v>
      </c>
      <c r="D77" s="4" t="s">
        <v>1734</v>
      </c>
      <c r="E77" s="1" t="s">
        <v>1063</v>
      </c>
      <c r="F77" s="1" t="s">
        <v>506</v>
      </c>
      <c r="G77" s="1" t="s">
        <v>459</v>
      </c>
      <c r="H77" s="1">
        <v>200</v>
      </c>
      <c r="I77" s="1" t="s">
        <v>22</v>
      </c>
      <c r="J77" s="1" t="s">
        <v>398</v>
      </c>
      <c r="K77" s="7" t="s">
        <v>23</v>
      </c>
      <c r="L77" s="7" t="s">
        <v>926</v>
      </c>
      <c r="M77" s="7" t="s">
        <v>927</v>
      </c>
      <c r="N77" s="23" t="s">
        <v>921</v>
      </c>
      <c r="O77" s="1" t="s">
        <v>920</v>
      </c>
      <c r="P77" s="7" t="s">
        <v>922</v>
      </c>
      <c r="Q77" s="1" t="s">
        <v>23</v>
      </c>
      <c r="R77" s="1"/>
      <c r="S77" s="4" t="s">
        <v>400</v>
      </c>
      <c r="T77" s="7" t="s">
        <v>27</v>
      </c>
      <c r="U77" s="11" t="s">
        <v>923</v>
      </c>
      <c r="V77" s="1" t="s">
        <v>924</v>
      </c>
      <c r="W77" s="1" t="s">
        <v>402</v>
      </c>
      <c r="X77" s="5">
        <v>200061812481</v>
      </c>
      <c r="Y77" s="1" t="s">
        <v>925</v>
      </c>
      <c r="Z77" s="1">
        <v>1</v>
      </c>
      <c r="AA77" s="6" t="s">
        <v>404</v>
      </c>
      <c r="AB77" s="6" t="s">
        <v>405</v>
      </c>
      <c r="AC77" s="6" t="s">
        <v>406</v>
      </c>
      <c r="AD77" s="1" t="s">
        <v>407</v>
      </c>
      <c r="AE77" s="1" t="s">
        <v>408</v>
      </c>
      <c r="AF77" s="1" t="s">
        <v>409</v>
      </c>
      <c r="AG77" s="1" t="s">
        <v>410</v>
      </c>
      <c r="AH77" s="1" t="s">
        <v>411</v>
      </c>
    </row>
    <row r="78" spans="1:34" ht="60" x14ac:dyDescent="0.25">
      <c r="A78" s="1">
        <v>77</v>
      </c>
      <c r="B78" s="1" t="str">
        <f t="shared" si="1"/>
        <v>Y</v>
      </c>
      <c r="C78" s="1" t="s">
        <v>17</v>
      </c>
      <c r="D78" s="4" t="s">
        <v>1735</v>
      </c>
      <c r="E78" s="1" t="s">
        <v>1064</v>
      </c>
      <c r="F78" s="1" t="s">
        <v>508</v>
      </c>
      <c r="G78" s="1" t="s">
        <v>459</v>
      </c>
      <c r="H78" s="1">
        <v>200</v>
      </c>
      <c r="I78" s="1" t="s">
        <v>22</v>
      </c>
      <c r="J78" s="1" t="s">
        <v>398</v>
      </c>
      <c r="K78" s="7" t="s">
        <v>23</v>
      </c>
      <c r="L78" s="7" t="s">
        <v>926</v>
      </c>
      <c r="M78" s="7" t="s">
        <v>927</v>
      </c>
      <c r="N78" s="23" t="s">
        <v>921</v>
      </c>
      <c r="O78" s="1" t="s">
        <v>920</v>
      </c>
      <c r="P78" s="7" t="s">
        <v>922</v>
      </c>
      <c r="Q78" s="1" t="s">
        <v>23</v>
      </c>
      <c r="R78" s="1"/>
      <c r="S78" s="4" t="s">
        <v>400</v>
      </c>
      <c r="T78" s="7" t="s">
        <v>27</v>
      </c>
      <c r="U78" s="11" t="s">
        <v>923</v>
      </c>
      <c r="V78" s="1" t="s">
        <v>924</v>
      </c>
      <c r="W78" s="1" t="s">
        <v>402</v>
      </c>
      <c r="X78" s="5">
        <v>200061812481</v>
      </c>
      <c r="Y78" s="1" t="s">
        <v>925</v>
      </c>
      <c r="Z78" s="1">
        <v>1</v>
      </c>
      <c r="AA78" s="6" t="s">
        <v>404</v>
      </c>
      <c r="AB78" s="6" t="s">
        <v>405</v>
      </c>
      <c r="AC78" s="6" t="s">
        <v>406</v>
      </c>
      <c r="AD78" s="1" t="s">
        <v>407</v>
      </c>
      <c r="AE78" s="1" t="s">
        <v>408</v>
      </c>
      <c r="AF78" s="1" t="s">
        <v>409</v>
      </c>
      <c r="AG78" s="1" t="s">
        <v>410</v>
      </c>
      <c r="AH78" s="1" t="s">
        <v>411</v>
      </c>
    </row>
    <row r="79" spans="1:34" ht="105" x14ac:dyDescent="0.25">
      <c r="A79" s="1">
        <v>78</v>
      </c>
      <c r="B79" s="1">
        <f t="shared" si="1"/>
        <v>0</v>
      </c>
      <c r="C79" s="1"/>
      <c r="D79" s="4" t="s">
        <v>1736</v>
      </c>
      <c r="E79" s="1" t="s">
        <v>1067</v>
      </c>
      <c r="F79" s="1" t="s">
        <v>532</v>
      </c>
      <c r="G79" s="1" t="s">
        <v>1068</v>
      </c>
      <c r="H79" s="1">
        <v>200</v>
      </c>
      <c r="I79" s="1" t="s">
        <v>22</v>
      </c>
      <c r="J79" s="1" t="s">
        <v>398</v>
      </c>
      <c r="K79" s="7" t="s">
        <v>23</v>
      </c>
      <c r="L79" s="7" t="s">
        <v>926</v>
      </c>
      <c r="M79" s="7" t="s">
        <v>927</v>
      </c>
      <c r="N79" s="23" t="s">
        <v>921</v>
      </c>
      <c r="O79" s="1" t="s">
        <v>920</v>
      </c>
      <c r="P79" s="7" t="s">
        <v>922</v>
      </c>
      <c r="Q79" s="1" t="s">
        <v>23</v>
      </c>
      <c r="R79" s="1"/>
      <c r="S79" s="4" t="s">
        <v>400</v>
      </c>
      <c r="T79" s="7" t="s">
        <v>27</v>
      </c>
      <c r="U79" s="11" t="s">
        <v>923</v>
      </c>
      <c r="V79" s="1" t="s">
        <v>924</v>
      </c>
      <c r="W79" s="1" t="s">
        <v>402</v>
      </c>
      <c r="X79" s="5">
        <v>200061812481</v>
      </c>
      <c r="Y79" s="1" t="s">
        <v>925</v>
      </c>
      <c r="Z79" s="1">
        <v>1</v>
      </c>
      <c r="AA79" s="6" t="s">
        <v>404</v>
      </c>
      <c r="AB79" s="6" t="s">
        <v>405</v>
      </c>
      <c r="AC79" s="6" t="s">
        <v>406</v>
      </c>
      <c r="AD79" s="1" t="s">
        <v>407</v>
      </c>
      <c r="AE79" s="1" t="s">
        <v>408</v>
      </c>
      <c r="AF79" s="1" t="s">
        <v>409</v>
      </c>
      <c r="AG79" s="1" t="s">
        <v>410</v>
      </c>
      <c r="AH79" s="1" t="s">
        <v>411</v>
      </c>
    </row>
    <row r="80" spans="1:34" ht="75" x14ac:dyDescent="0.25">
      <c r="A80" s="1">
        <v>79</v>
      </c>
      <c r="B80" s="1">
        <f t="shared" si="1"/>
        <v>0</v>
      </c>
      <c r="C80" s="1"/>
      <c r="D80" s="4" t="s">
        <v>1737</v>
      </c>
      <c r="E80" s="1" t="s">
        <v>1069</v>
      </c>
      <c r="F80" s="1" t="s">
        <v>964</v>
      </c>
      <c r="G80" s="1" t="s">
        <v>965</v>
      </c>
      <c r="H80" s="1">
        <v>200</v>
      </c>
      <c r="I80" s="1" t="s">
        <v>22</v>
      </c>
      <c r="J80" s="1" t="s">
        <v>398</v>
      </c>
      <c r="K80" s="7" t="s">
        <v>23</v>
      </c>
      <c r="L80" s="7" t="s">
        <v>926</v>
      </c>
      <c r="M80" s="7" t="s">
        <v>927</v>
      </c>
      <c r="N80" s="23" t="s">
        <v>921</v>
      </c>
      <c r="O80" s="1" t="s">
        <v>920</v>
      </c>
      <c r="P80" s="7" t="s">
        <v>922</v>
      </c>
      <c r="Q80" s="1" t="s">
        <v>23</v>
      </c>
      <c r="R80" s="1"/>
      <c r="S80" s="4" t="s">
        <v>400</v>
      </c>
      <c r="T80" s="7" t="s">
        <v>27</v>
      </c>
      <c r="U80" s="11" t="s">
        <v>923</v>
      </c>
      <c r="V80" s="1" t="s">
        <v>924</v>
      </c>
      <c r="W80" s="1" t="s">
        <v>402</v>
      </c>
      <c r="X80" s="5">
        <v>200061812481</v>
      </c>
      <c r="Y80" s="1" t="s">
        <v>925</v>
      </c>
      <c r="Z80" s="1">
        <v>1</v>
      </c>
      <c r="AA80" s="6" t="s">
        <v>404</v>
      </c>
      <c r="AB80" s="6" t="s">
        <v>405</v>
      </c>
      <c r="AC80" s="6" t="s">
        <v>406</v>
      </c>
      <c r="AD80" s="1" t="s">
        <v>407</v>
      </c>
      <c r="AE80" s="1" t="s">
        <v>408</v>
      </c>
      <c r="AF80" s="1" t="s">
        <v>409</v>
      </c>
      <c r="AG80" s="1" t="s">
        <v>410</v>
      </c>
      <c r="AH80" s="1" t="s">
        <v>411</v>
      </c>
    </row>
    <row r="81" spans="1:34" ht="60" x14ac:dyDescent="0.25">
      <c r="A81" s="1">
        <v>80</v>
      </c>
      <c r="B81" s="1">
        <f t="shared" si="1"/>
        <v>0</v>
      </c>
      <c r="C81" s="1"/>
      <c r="D81" s="4" t="s">
        <v>1738</v>
      </c>
      <c r="E81" s="1" t="s">
        <v>1073</v>
      </c>
      <c r="F81" s="1" t="s">
        <v>1074</v>
      </c>
      <c r="G81" s="1" t="s">
        <v>1075</v>
      </c>
      <c r="H81" s="1">
        <v>200</v>
      </c>
      <c r="I81" s="1" t="s">
        <v>22</v>
      </c>
      <c r="J81" s="1" t="s">
        <v>398</v>
      </c>
      <c r="K81" s="7" t="s">
        <v>23</v>
      </c>
      <c r="L81" s="7" t="s">
        <v>926</v>
      </c>
      <c r="M81" s="7" t="s">
        <v>927</v>
      </c>
      <c r="N81" s="23" t="s">
        <v>921</v>
      </c>
      <c r="O81" s="1" t="s">
        <v>920</v>
      </c>
      <c r="P81" s="7" t="s">
        <v>922</v>
      </c>
      <c r="Q81" s="1" t="s">
        <v>23</v>
      </c>
      <c r="R81" s="1"/>
      <c r="S81" s="4" t="s">
        <v>400</v>
      </c>
      <c r="T81" s="7" t="s">
        <v>27</v>
      </c>
      <c r="U81" s="11" t="s">
        <v>923</v>
      </c>
      <c r="V81" s="1" t="s">
        <v>924</v>
      </c>
      <c r="W81" s="1" t="s">
        <v>402</v>
      </c>
      <c r="X81" s="5">
        <v>200061812481</v>
      </c>
      <c r="Y81" s="1" t="s">
        <v>925</v>
      </c>
      <c r="Z81" s="1">
        <v>1</v>
      </c>
      <c r="AA81" s="6" t="s">
        <v>404</v>
      </c>
      <c r="AB81" s="6" t="s">
        <v>405</v>
      </c>
      <c r="AC81" s="6" t="s">
        <v>406</v>
      </c>
      <c r="AD81" s="1" t="s">
        <v>407</v>
      </c>
      <c r="AE81" s="1" t="s">
        <v>408</v>
      </c>
      <c r="AF81" s="1" t="s">
        <v>409</v>
      </c>
      <c r="AG81" s="1" t="s">
        <v>410</v>
      </c>
      <c r="AH81" s="1" t="s">
        <v>411</v>
      </c>
    </row>
    <row r="82" spans="1:34" ht="75" x14ac:dyDescent="0.25">
      <c r="A82" s="1">
        <v>81</v>
      </c>
      <c r="B82" s="1" t="str">
        <f t="shared" si="1"/>
        <v>Y</v>
      </c>
      <c r="C82" s="1" t="s">
        <v>17</v>
      </c>
      <c r="D82" s="4" t="s">
        <v>1739</v>
      </c>
      <c r="E82" s="1" t="s">
        <v>1076</v>
      </c>
      <c r="F82" s="1" t="s">
        <v>1077</v>
      </c>
      <c r="G82" s="1" t="s">
        <v>1078</v>
      </c>
      <c r="H82" s="1">
        <v>200</v>
      </c>
      <c r="I82" s="1" t="s">
        <v>22</v>
      </c>
      <c r="J82" s="1" t="s">
        <v>398</v>
      </c>
      <c r="K82" s="7" t="s">
        <v>23</v>
      </c>
      <c r="L82" s="7" t="s">
        <v>926</v>
      </c>
      <c r="M82" s="7" t="s">
        <v>927</v>
      </c>
      <c r="N82" s="23" t="s">
        <v>921</v>
      </c>
      <c r="O82" s="1" t="s">
        <v>920</v>
      </c>
      <c r="P82" s="7" t="s">
        <v>922</v>
      </c>
      <c r="Q82" s="1" t="s">
        <v>23</v>
      </c>
      <c r="R82" s="1"/>
      <c r="S82" s="4" t="s">
        <v>400</v>
      </c>
      <c r="T82" s="7" t="s">
        <v>27</v>
      </c>
      <c r="U82" s="11" t="s">
        <v>923</v>
      </c>
      <c r="V82" s="1" t="s">
        <v>924</v>
      </c>
      <c r="W82" s="1" t="s">
        <v>402</v>
      </c>
      <c r="X82" s="5">
        <v>200061812481</v>
      </c>
      <c r="Y82" s="1" t="s">
        <v>925</v>
      </c>
      <c r="Z82" s="1">
        <v>1</v>
      </c>
      <c r="AA82" s="6" t="s">
        <v>404</v>
      </c>
      <c r="AB82" s="6" t="s">
        <v>405</v>
      </c>
      <c r="AC82" s="6" t="s">
        <v>406</v>
      </c>
      <c r="AD82" s="1" t="s">
        <v>407</v>
      </c>
      <c r="AE82" s="1" t="s">
        <v>408</v>
      </c>
      <c r="AF82" s="1" t="s">
        <v>409</v>
      </c>
      <c r="AG82" s="1" t="s">
        <v>410</v>
      </c>
      <c r="AH82" s="1" t="s">
        <v>411</v>
      </c>
    </row>
    <row r="83" spans="1:34" ht="90" x14ac:dyDescent="0.25">
      <c r="A83" s="1">
        <v>82</v>
      </c>
      <c r="B83" s="1">
        <f t="shared" si="1"/>
        <v>0</v>
      </c>
      <c r="C83" s="1"/>
      <c r="D83" s="4" t="s">
        <v>1740</v>
      </c>
      <c r="E83" s="1" t="s">
        <v>1082</v>
      </c>
      <c r="F83" s="1" t="s">
        <v>1083</v>
      </c>
      <c r="G83" s="1" t="s">
        <v>1084</v>
      </c>
      <c r="H83" s="1">
        <v>200</v>
      </c>
      <c r="I83" s="1" t="s">
        <v>22</v>
      </c>
      <c r="J83" s="1" t="s">
        <v>398</v>
      </c>
      <c r="K83" s="7" t="s">
        <v>23</v>
      </c>
      <c r="L83" s="7" t="s">
        <v>926</v>
      </c>
      <c r="M83" s="7" t="s">
        <v>927</v>
      </c>
      <c r="N83" s="23" t="s">
        <v>921</v>
      </c>
      <c r="O83" s="1" t="s">
        <v>920</v>
      </c>
      <c r="P83" s="7" t="s">
        <v>922</v>
      </c>
      <c r="Q83" s="1" t="s">
        <v>23</v>
      </c>
      <c r="R83" s="1"/>
      <c r="S83" s="4" t="s">
        <v>400</v>
      </c>
      <c r="T83" s="7" t="s">
        <v>27</v>
      </c>
      <c r="U83" s="11" t="s">
        <v>923</v>
      </c>
      <c r="V83" s="1" t="s">
        <v>924</v>
      </c>
      <c r="W83" s="1" t="s">
        <v>402</v>
      </c>
      <c r="X83" s="5">
        <v>200061812481</v>
      </c>
      <c r="Y83" s="1" t="s">
        <v>925</v>
      </c>
      <c r="Z83" s="1">
        <v>1</v>
      </c>
      <c r="AA83" s="6" t="s">
        <v>404</v>
      </c>
      <c r="AB83" s="6" t="s">
        <v>405</v>
      </c>
      <c r="AC83" s="6" t="s">
        <v>406</v>
      </c>
      <c r="AD83" s="1" t="s">
        <v>407</v>
      </c>
      <c r="AE83" s="1" t="s">
        <v>408</v>
      </c>
      <c r="AF83" s="1" t="s">
        <v>409</v>
      </c>
      <c r="AG83" s="1" t="s">
        <v>410</v>
      </c>
      <c r="AH83" s="1" t="s">
        <v>411</v>
      </c>
    </row>
    <row r="84" spans="1:34" ht="60" x14ac:dyDescent="0.25">
      <c r="A84" s="1">
        <v>83</v>
      </c>
      <c r="B84" s="1">
        <f t="shared" si="1"/>
        <v>0</v>
      </c>
      <c r="C84" s="1"/>
      <c r="D84" s="4" t="s">
        <v>1741</v>
      </c>
      <c r="E84" s="1" t="s">
        <v>1085</v>
      </c>
      <c r="F84" s="1" t="s">
        <v>1086</v>
      </c>
      <c r="G84" s="1" t="s">
        <v>1087</v>
      </c>
      <c r="H84" s="1">
        <v>200</v>
      </c>
      <c r="I84" s="1" t="s">
        <v>22</v>
      </c>
      <c r="J84" s="1" t="s">
        <v>398</v>
      </c>
      <c r="K84" s="7" t="s">
        <v>23</v>
      </c>
      <c r="L84" s="7" t="s">
        <v>926</v>
      </c>
      <c r="M84" s="7" t="s">
        <v>927</v>
      </c>
      <c r="N84" s="23" t="s">
        <v>921</v>
      </c>
      <c r="O84" s="1" t="s">
        <v>920</v>
      </c>
      <c r="P84" s="7" t="s">
        <v>922</v>
      </c>
      <c r="Q84" s="1" t="s">
        <v>23</v>
      </c>
      <c r="R84" s="1"/>
      <c r="S84" s="4" t="s">
        <v>400</v>
      </c>
      <c r="T84" s="7" t="s">
        <v>27</v>
      </c>
      <c r="U84" s="11" t="s">
        <v>923</v>
      </c>
      <c r="V84" s="1" t="s">
        <v>924</v>
      </c>
      <c r="W84" s="1" t="s">
        <v>402</v>
      </c>
      <c r="X84" s="5">
        <v>200061812481</v>
      </c>
      <c r="Y84" s="1" t="s">
        <v>925</v>
      </c>
      <c r="Z84" s="1">
        <v>1</v>
      </c>
      <c r="AA84" s="6" t="s">
        <v>404</v>
      </c>
      <c r="AB84" s="6" t="s">
        <v>405</v>
      </c>
      <c r="AC84" s="6" t="s">
        <v>406</v>
      </c>
      <c r="AD84" s="1" t="s">
        <v>407</v>
      </c>
      <c r="AE84" s="1" t="s">
        <v>408</v>
      </c>
      <c r="AF84" s="1" t="s">
        <v>409</v>
      </c>
      <c r="AG84" s="1" t="s">
        <v>410</v>
      </c>
      <c r="AH84" s="1" t="s">
        <v>411</v>
      </c>
    </row>
    <row r="85" spans="1:34" ht="75" x14ac:dyDescent="0.25">
      <c r="A85" s="1">
        <v>84</v>
      </c>
      <c r="B85" s="1">
        <f t="shared" si="1"/>
        <v>0</v>
      </c>
      <c r="C85" s="1"/>
      <c r="D85" s="4" t="s">
        <v>1742</v>
      </c>
      <c r="E85" s="1" t="s">
        <v>1091</v>
      </c>
      <c r="F85" s="1" t="s">
        <v>1092</v>
      </c>
      <c r="G85" s="1" t="s">
        <v>1093</v>
      </c>
      <c r="H85" s="1">
        <v>200</v>
      </c>
      <c r="I85" s="1" t="s">
        <v>22</v>
      </c>
      <c r="J85" s="1" t="s">
        <v>398</v>
      </c>
      <c r="K85" s="7" t="s">
        <v>23</v>
      </c>
      <c r="L85" s="7" t="s">
        <v>926</v>
      </c>
      <c r="M85" s="7" t="s">
        <v>927</v>
      </c>
      <c r="N85" s="23" t="s">
        <v>921</v>
      </c>
      <c r="O85" s="1" t="s">
        <v>920</v>
      </c>
      <c r="P85" s="7" t="s">
        <v>922</v>
      </c>
      <c r="Q85" s="1" t="s">
        <v>23</v>
      </c>
      <c r="R85" s="1"/>
      <c r="S85" s="4" t="s">
        <v>400</v>
      </c>
      <c r="T85" s="7" t="s">
        <v>27</v>
      </c>
      <c r="U85" s="11" t="s">
        <v>923</v>
      </c>
      <c r="V85" s="1" t="s">
        <v>924</v>
      </c>
      <c r="W85" s="1" t="s">
        <v>402</v>
      </c>
      <c r="X85" s="5">
        <v>200061812481</v>
      </c>
      <c r="Y85" s="1" t="s">
        <v>925</v>
      </c>
      <c r="Z85" s="1">
        <v>1</v>
      </c>
      <c r="AA85" s="6" t="s">
        <v>404</v>
      </c>
      <c r="AB85" s="6" t="s">
        <v>405</v>
      </c>
      <c r="AC85" s="6" t="s">
        <v>406</v>
      </c>
      <c r="AD85" s="1" t="s">
        <v>407</v>
      </c>
      <c r="AE85" s="1" t="s">
        <v>408</v>
      </c>
      <c r="AF85" s="1" t="s">
        <v>409</v>
      </c>
      <c r="AG85" s="1" t="s">
        <v>410</v>
      </c>
      <c r="AH85" s="1" t="s">
        <v>411</v>
      </c>
    </row>
    <row r="86" spans="1:34" ht="75" x14ac:dyDescent="0.25">
      <c r="A86" s="1">
        <v>85</v>
      </c>
      <c r="B86" s="1" t="str">
        <f t="shared" si="1"/>
        <v>Y</v>
      </c>
      <c r="C86" s="1" t="s">
        <v>17</v>
      </c>
      <c r="D86" s="4" t="s">
        <v>1743</v>
      </c>
      <c r="E86" s="1" t="s">
        <v>1096</v>
      </c>
      <c r="F86" s="1" t="s">
        <v>1097</v>
      </c>
      <c r="G86" s="1" t="s">
        <v>1098</v>
      </c>
      <c r="H86" s="1">
        <v>200</v>
      </c>
      <c r="I86" s="1" t="s">
        <v>22</v>
      </c>
      <c r="J86" s="1" t="s">
        <v>398</v>
      </c>
      <c r="K86" s="7" t="s">
        <v>23</v>
      </c>
      <c r="L86" s="7" t="s">
        <v>926</v>
      </c>
      <c r="M86" s="7" t="s">
        <v>927</v>
      </c>
      <c r="N86" s="23" t="s">
        <v>921</v>
      </c>
      <c r="O86" s="1" t="s">
        <v>920</v>
      </c>
      <c r="P86" s="7" t="s">
        <v>922</v>
      </c>
      <c r="Q86" s="1" t="s">
        <v>23</v>
      </c>
      <c r="R86" s="1"/>
      <c r="S86" s="4" t="s">
        <v>400</v>
      </c>
      <c r="T86" s="7" t="s">
        <v>27</v>
      </c>
      <c r="U86" s="11" t="s">
        <v>923</v>
      </c>
      <c r="V86" s="1" t="s">
        <v>924</v>
      </c>
      <c r="W86" s="1" t="s">
        <v>402</v>
      </c>
      <c r="X86" s="5">
        <v>200061812481</v>
      </c>
      <c r="Y86" s="1" t="s">
        <v>925</v>
      </c>
      <c r="Z86" s="1">
        <v>1</v>
      </c>
      <c r="AA86" s="6" t="s">
        <v>404</v>
      </c>
      <c r="AB86" s="6" t="s">
        <v>405</v>
      </c>
      <c r="AC86" s="6" t="s">
        <v>406</v>
      </c>
      <c r="AD86" s="1" t="s">
        <v>407</v>
      </c>
      <c r="AE86" s="1" t="s">
        <v>408</v>
      </c>
      <c r="AF86" s="1" t="s">
        <v>409</v>
      </c>
      <c r="AG86" s="1" t="s">
        <v>410</v>
      </c>
      <c r="AH86" s="1" t="s">
        <v>411</v>
      </c>
    </row>
    <row r="87" spans="1:34" ht="45" x14ac:dyDescent="0.25">
      <c r="A87" s="1">
        <v>86</v>
      </c>
      <c r="B87" s="1">
        <f t="shared" si="1"/>
        <v>0</v>
      </c>
      <c r="C87" s="1"/>
      <c r="D87" s="4" t="s">
        <v>1744</v>
      </c>
      <c r="E87" s="1" t="s">
        <v>1099</v>
      </c>
      <c r="F87" s="1" t="s">
        <v>538</v>
      </c>
      <c r="G87" s="1" t="s">
        <v>539</v>
      </c>
      <c r="H87" s="1">
        <v>200</v>
      </c>
      <c r="I87" s="1" t="s">
        <v>22</v>
      </c>
      <c r="J87" s="1" t="s">
        <v>398</v>
      </c>
      <c r="K87" s="7" t="s">
        <v>23</v>
      </c>
      <c r="L87" s="7" t="s">
        <v>926</v>
      </c>
      <c r="M87" s="7" t="s">
        <v>927</v>
      </c>
      <c r="N87" s="23" t="s">
        <v>921</v>
      </c>
      <c r="O87" s="1" t="s">
        <v>920</v>
      </c>
      <c r="P87" s="7" t="s">
        <v>922</v>
      </c>
      <c r="Q87" s="1" t="s">
        <v>23</v>
      </c>
      <c r="R87" s="1"/>
      <c r="S87" s="4" t="s">
        <v>400</v>
      </c>
      <c r="T87" s="7" t="s">
        <v>27</v>
      </c>
      <c r="U87" s="11" t="s">
        <v>923</v>
      </c>
      <c r="V87" s="1" t="s">
        <v>924</v>
      </c>
      <c r="W87" s="1" t="s">
        <v>402</v>
      </c>
      <c r="X87" s="5">
        <v>200061812481</v>
      </c>
      <c r="Y87" s="1" t="s">
        <v>925</v>
      </c>
      <c r="Z87" s="1">
        <v>1</v>
      </c>
      <c r="AA87" s="6" t="s">
        <v>404</v>
      </c>
      <c r="AB87" s="6" t="s">
        <v>405</v>
      </c>
      <c r="AC87" s="6" t="s">
        <v>406</v>
      </c>
      <c r="AD87" s="1" t="s">
        <v>407</v>
      </c>
      <c r="AE87" s="1" t="s">
        <v>408</v>
      </c>
      <c r="AF87" s="1" t="s">
        <v>409</v>
      </c>
      <c r="AG87" s="1" t="s">
        <v>410</v>
      </c>
      <c r="AH87" s="1" t="s">
        <v>411</v>
      </c>
    </row>
    <row r="88" spans="1:34" ht="45" x14ac:dyDescent="0.25">
      <c r="A88" s="1">
        <v>87</v>
      </c>
      <c r="B88" s="1">
        <f t="shared" si="1"/>
        <v>0</v>
      </c>
      <c r="C88" s="1"/>
      <c r="D88" s="4" t="s">
        <v>1745</v>
      </c>
      <c r="E88" s="1" t="s">
        <v>1100</v>
      </c>
      <c r="F88" s="1" t="s">
        <v>542</v>
      </c>
      <c r="G88" s="1" t="s">
        <v>539</v>
      </c>
      <c r="H88" s="1">
        <v>200</v>
      </c>
      <c r="I88" s="1" t="s">
        <v>22</v>
      </c>
      <c r="J88" s="1" t="s">
        <v>398</v>
      </c>
      <c r="K88" s="7" t="s">
        <v>23</v>
      </c>
      <c r="L88" s="7" t="s">
        <v>926</v>
      </c>
      <c r="M88" s="7" t="s">
        <v>927</v>
      </c>
      <c r="N88" s="23" t="s">
        <v>921</v>
      </c>
      <c r="O88" s="1" t="s">
        <v>920</v>
      </c>
      <c r="P88" s="7" t="s">
        <v>922</v>
      </c>
      <c r="Q88" s="1" t="s">
        <v>23</v>
      </c>
      <c r="R88" s="1"/>
      <c r="S88" s="4" t="s">
        <v>400</v>
      </c>
      <c r="T88" s="7" t="s">
        <v>27</v>
      </c>
      <c r="U88" s="11" t="s">
        <v>923</v>
      </c>
      <c r="V88" s="1" t="s">
        <v>924</v>
      </c>
      <c r="W88" s="1" t="s">
        <v>402</v>
      </c>
      <c r="X88" s="5">
        <v>200061812481</v>
      </c>
      <c r="Y88" s="1" t="s">
        <v>925</v>
      </c>
      <c r="Z88" s="1">
        <v>1</v>
      </c>
      <c r="AA88" s="6" t="s">
        <v>404</v>
      </c>
      <c r="AB88" s="6" t="s">
        <v>405</v>
      </c>
      <c r="AC88" s="6" t="s">
        <v>406</v>
      </c>
      <c r="AD88" s="1" t="s">
        <v>407</v>
      </c>
      <c r="AE88" s="1" t="s">
        <v>408</v>
      </c>
      <c r="AF88" s="1" t="s">
        <v>409</v>
      </c>
      <c r="AG88" s="1" t="s">
        <v>410</v>
      </c>
      <c r="AH88" s="1" t="s">
        <v>411</v>
      </c>
    </row>
    <row r="89" spans="1:34" ht="45" x14ac:dyDescent="0.25">
      <c r="A89" s="1">
        <v>88</v>
      </c>
      <c r="B89" s="1">
        <f t="shared" si="1"/>
        <v>0</v>
      </c>
      <c r="C89" s="1"/>
      <c r="D89" s="4" t="s">
        <v>1746</v>
      </c>
      <c r="E89" s="1" t="s">
        <v>1101</v>
      </c>
      <c r="F89" s="1" t="s">
        <v>544</v>
      </c>
      <c r="G89" s="1" t="s">
        <v>539</v>
      </c>
      <c r="H89" s="1">
        <v>200</v>
      </c>
      <c r="I89" s="1" t="s">
        <v>22</v>
      </c>
      <c r="J89" s="1" t="s">
        <v>398</v>
      </c>
      <c r="K89" s="7" t="s">
        <v>23</v>
      </c>
      <c r="L89" s="7" t="s">
        <v>926</v>
      </c>
      <c r="M89" s="7" t="s">
        <v>927</v>
      </c>
      <c r="N89" s="23" t="s">
        <v>921</v>
      </c>
      <c r="O89" s="1" t="s">
        <v>920</v>
      </c>
      <c r="P89" s="7" t="s">
        <v>922</v>
      </c>
      <c r="Q89" s="1" t="s">
        <v>23</v>
      </c>
      <c r="R89" s="1"/>
      <c r="S89" s="4" t="s">
        <v>400</v>
      </c>
      <c r="T89" s="7" t="s">
        <v>27</v>
      </c>
      <c r="U89" s="11" t="s">
        <v>923</v>
      </c>
      <c r="V89" s="1" t="s">
        <v>924</v>
      </c>
      <c r="W89" s="1" t="s">
        <v>402</v>
      </c>
      <c r="X89" s="5">
        <v>200061812481</v>
      </c>
      <c r="Y89" s="1" t="s">
        <v>925</v>
      </c>
      <c r="Z89" s="1">
        <v>1</v>
      </c>
      <c r="AA89" s="6" t="s">
        <v>404</v>
      </c>
      <c r="AB89" s="6" t="s">
        <v>405</v>
      </c>
      <c r="AC89" s="6" t="s">
        <v>406</v>
      </c>
      <c r="AD89" s="1" t="s">
        <v>407</v>
      </c>
      <c r="AE89" s="1" t="s">
        <v>408</v>
      </c>
      <c r="AF89" s="1" t="s">
        <v>409</v>
      </c>
      <c r="AG89" s="1" t="s">
        <v>410</v>
      </c>
      <c r="AH89" s="1" t="s">
        <v>411</v>
      </c>
    </row>
    <row r="90" spans="1:34" ht="45" x14ac:dyDescent="0.25">
      <c r="A90" s="1">
        <v>89</v>
      </c>
      <c r="B90" s="1" t="str">
        <f t="shared" si="1"/>
        <v>Y</v>
      </c>
      <c r="C90" s="1" t="s">
        <v>17</v>
      </c>
      <c r="D90" s="4" t="s">
        <v>1747</v>
      </c>
      <c r="E90" s="1" t="s">
        <v>1102</v>
      </c>
      <c r="F90" s="1" t="s">
        <v>538</v>
      </c>
      <c r="G90" s="1" t="s">
        <v>547</v>
      </c>
      <c r="H90" s="1">
        <v>200</v>
      </c>
      <c r="I90" s="1" t="s">
        <v>22</v>
      </c>
      <c r="J90" s="1" t="s">
        <v>398</v>
      </c>
      <c r="K90" s="7" t="s">
        <v>23</v>
      </c>
      <c r="L90" s="7" t="s">
        <v>926</v>
      </c>
      <c r="M90" s="7" t="s">
        <v>927</v>
      </c>
      <c r="N90" s="23" t="s">
        <v>921</v>
      </c>
      <c r="O90" s="1" t="s">
        <v>920</v>
      </c>
      <c r="P90" s="7" t="s">
        <v>922</v>
      </c>
      <c r="Q90" s="1" t="s">
        <v>23</v>
      </c>
      <c r="R90" s="1"/>
      <c r="S90" s="4" t="s">
        <v>400</v>
      </c>
      <c r="T90" s="7" t="s">
        <v>27</v>
      </c>
      <c r="U90" s="11" t="s">
        <v>923</v>
      </c>
      <c r="V90" s="1" t="s">
        <v>924</v>
      </c>
      <c r="W90" s="1" t="s">
        <v>402</v>
      </c>
      <c r="X90" s="5">
        <v>200061812481</v>
      </c>
      <c r="Y90" s="1" t="s">
        <v>925</v>
      </c>
      <c r="Z90" s="1">
        <v>1</v>
      </c>
      <c r="AA90" s="6" t="s">
        <v>404</v>
      </c>
      <c r="AB90" s="6" t="s">
        <v>405</v>
      </c>
      <c r="AC90" s="6" t="s">
        <v>406</v>
      </c>
      <c r="AD90" s="1" t="s">
        <v>407</v>
      </c>
      <c r="AE90" s="1" t="s">
        <v>408</v>
      </c>
      <c r="AF90" s="1" t="s">
        <v>409</v>
      </c>
      <c r="AG90" s="1" t="s">
        <v>410</v>
      </c>
      <c r="AH90" s="1" t="s">
        <v>411</v>
      </c>
    </row>
    <row r="91" spans="1:34" ht="45" x14ac:dyDescent="0.25">
      <c r="A91" s="1">
        <v>90</v>
      </c>
      <c r="B91" s="1">
        <f t="shared" si="1"/>
        <v>0</v>
      </c>
      <c r="C91" s="1"/>
      <c r="D91" s="4" t="s">
        <v>1748</v>
      </c>
      <c r="E91" s="1" t="s">
        <v>1103</v>
      </c>
      <c r="F91" s="1" t="s">
        <v>542</v>
      </c>
      <c r="G91" s="1" t="s">
        <v>547</v>
      </c>
      <c r="H91" s="1">
        <v>200</v>
      </c>
      <c r="I91" s="1" t="s">
        <v>22</v>
      </c>
      <c r="J91" s="1" t="s">
        <v>398</v>
      </c>
      <c r="K91" s="7" t="s">
        <v>23</v>
      </c>
      <c r="L91" s="7" t="s">
        <v>926</v>
      </c>
      <c r="M91" s="7" t="s">
        <v>927</v>
      </c>
      <c r="N91" s="23" t="s">
        <v>921</v>
      </c>
      <c r="O91" s="1" t="s">
        <v>920</v>
      </c>
      <c r="P91" s="7" t="s">
        <v>922</v>
      </c>
      <c r="Q91" s="1" t="s">
        <v>23</v>
      </c>
      <c r="R91" s="1"/>
      <c r="S91" s="4" t="s">
        <v>400</v>
      </c>
      <c r="T91" s="7" t="s">
        <v>27</v>
      </c>
      <c r="U91" s="11" t="s">
        <v>923</v>
      </c>
      <c r="V91" s="1" t="s">
        <v>924</v>
      </c>
      <c r="W91" s="1" t="s">
        <v>402</v>
      </c>
      <c r="X91" s="5">
        <v>200061812481</v>
      </c>
      <c r="Y91" s="1" t="s">
        <v>925</v>
      </c>
      <c r="Z91" s="1">
        <v>1</v>
      </c>
      <c r="AA91" s="6" t="s">
        <v>404</v>
      </c>
      <c r="AB91" s="6" t="s">
        <v>405</v>
      </c>
      <c r="AC91" s="6" t="s">
        <v>406</v>
      </c>
      <c r="AD91" s="1" t="s">
        <v>407</v>
      </c>
      <c r="AE91" s="1" t="s">
        <v>408</v>
      </c>
      <c r="AF91" s="1" t="s">
        <v>409</v>
      </c>
      <c r="AG91" s="1" t="s">
        <v>410</v>
      </c>
      <c r="AH91" s="1" t="s">
        <v>411</v>
      </c>
    </row>
    <row r="92" spans="1:34" ht="45" x14ac:dyDescent="0.25">
      <c r="A92" s="1">
        <v>91</v>
      </c>
      <c r="B92" s="1">
        <f t="shared" si="1"/>
        <v>0</v>
      </c>
      <c r="C92" s="1"/>
      <c r="D92" s="4" t="s">
        <v>1749</v>
      </c>
      <c r="E92" s="1" t="s">
        <v>1104</v>
      </c>
      <c r="F92" s="1" t="s">
        <v>544</v>
      </c>
      <c r="G92" s="1" t="s">
        <v>547</v>
      </c>
      <c r="H92" s="1">
        <v>200</v>
      </c>
      <c r="I92" s="1" t="s">
        <v>22</v>
      </c>
      <c r="J92" s="1" t="s">
        <v>398</v>
      </c>
      <c r="K92" s="7" t="s">
        <v>23</v>
      </c>
      <c r="L92" s="7" t="s">
        <v>926</v>
      </c>
      <c r="M92" s="7" t="s">
        <v>927</v>
      </c>
      <c r="N92" s="23" t="s">
        <v>921</v>
      </c>
      <c r="O92" s="1" t="s">
        <v>920</v>
      </c>
      <c r="P92" s="7" t="s">
        <v>922</v>
      </c>
      <c r="Q92" s="1" t="s">
        <v>23</v>
      </c>
      <c r="R92" s="1"/>
      <c r="S92" s="4" t="s">
        <v>400</v>
      </c>
      <c r="T92" s="7" t="s">
        <v>27</v>
      </c>
      <c r="U92" s="11" t="s">
        <v>923</v>
      </c>
      <c r="V92" s="1" t="s">
        <v>924</v>
      </c>
      <c r="W92" s="1" t="s">
        <v>402</v>
      </c>
      <c r="X92" s="5">
        <v>200061812481</v>
      </c>
      <c r="Y92" s="1" t="s">
        <v>925</v>
      </c>
      <c r="Z92" s="1">
        <v>1</v>
      </c>
      <c r="AA92" s="6" t="s">
        <v>404</v>
      </c>
      <c r="AB92" s="6" t="s">
        <v>405</v>
      </c>
      <c r="AC92" s="6" t="s">
        <v>406</v>
      </c>
      <c r="AD92" s="1" t="s">
        <v>407</v>
      </c>
      <c r="AE92" s="1" t="s">
        <v>408</v>
      </c>
      <c r="AF92" s="1" t="s">
        <v>409</v>
      </c>
      <c r="AG92" s="1" t="s">
        <v>410</v>
      </c>
      <c r="AH92" s="1" t="s">
        <v>411</v>
      </c>
    </row>
    <row r="93" spans="1:34" ht="45" x14ac:dyDescent="0.25">
      <c r="A93" s="1">
        <v>92</v>
      </c>
      <c r="B93" s="1">
        <f t="shared" si="1"/>
        <v>0</v>
      </c>
      <c r="C93" s="1"/>
      <c r="D93" s="4" t="s">
        <v>1750</v>
      </c>
      <c r="E93" s="1" t="s">
        <v>1111</v>
      </c>
      <c r="F93" s="1" t="s">
        <v>561</v>
      </c>
      <c r="G93" s="1" t="s">
        <v>1112</v>
      </c>
      <c r="H93" s="1">
        <v>200</v>
      </c>
      <c r="I93" s="1" t="s">
        <v>22</v>
      </c>
      <c r="J93" s="1" t="s">
        <v>398</v>
      </c>
      <c r="K93" s="7" t="s">
        <v>23</v>
      </c>
      <c r="L93" s="7" t="s">
        <v>926</v>
      </c>
      <c r="M93" s="7" t="s">
        <v>927</v>
      </c>
      <c r="N93" s="23" t="s">
        <v>921</v>
      </c>
      <c r="O93" s="1" t="s">
        <v>920</v>
      </c>
      <c r="P93" s="7" t="s">
        <v>922</v>
      </c>
      <c r="Q93" s="1" t="s">
        <v>23</v>
      </c>
      <c r="R93" s="1"/>
      <c r="S93" s="4" t="s">
        <v>400</v>
      </c>
      <c r="T93" s="7" t="s">
        <v>27</v>
      </c>
      <c r="U93" s="11" t="s">
        <v>923</v>
      </c>
      <c r="V93" s="1" t="s">
        <v>924</v>
      </c>
      <c r="W93" s="1" t="s">
        <v>402</v>
      </c>
      <c r="X93" s="5">
        <v>200061812481</v>
      </c>
      <c r="Y93" s="1" t="s">
        <v>925</v>
      </c>
      <c r="Z93" s="1">
        <v>1</v>
      </c>
      <c r="AA93" s="6" t="s">
        <v>404</v>
      </c>
      <c r="AB93" s="6" t="s">
        <v>405</v>
      </c>
      <c r="AC93" s="6" t="s">
        <v>406</v>
      </c>
      <c r="AD93" s="1" t="s">
        <v>407</v>
      </c>
      <c r="AE93" s="1" t="s">
        <v>408</v>
      </c>
      <c r="AF93" s="1" t="s">
        <v>409</v>
      </c>
      <c r="AG93" s="1" t="s">
        <v>410</v>
      </c>
      <c r="AH93" s="1" t="s">
        <v>411</v>
      </c>
    </row>
    <row r="94" spans="1:34" ht="120" x14ac:dyDescent="0.25">
      <c r="A94" s="1">
        <v>93</v>
      </c>
      <c r="B94" s="1" t="str">
        <f t="shared" si="1"/>
        <v>Y</v>
      </c>
      <c r="C94" s="1" t="s">
        <v>17</v>
      </c>
      <c r="D94" s="4" t="s">
        <v>1751</v>
      </c>
      <c r="E94" s="1" t="s">
        <v>1113</v>
      </c>
      <c r="F94" s="1" t="s">
        <v>561</v>
      </c>
      <c r="G94" s="1" t="s">
        <v>1114</v>
      </c>
      <c r="H94" s="1">
        <v>409</v>
      </c>
      <c r="I94" s="1" t="s">
        <v>22</v>
      </c>
      <c r="J94" s="1" t="s">
        <v>398</v>
      </c>
      <c r="K94" s="7" t="s">
        <v>23</v>
      </c>
      <c r="L94" s="7" t="s">
        <v>926</v>
      </c>
      <c r="M94" s="7" t="s">
        <v>927</v>
      </c>
      <c r="N94" s="23" t="s">
        <v>921</v>
      </c>
      <c r="O94" s="1" t="s">
        <v>920</v>
      </c>
      <c r="P94" s="7" t="s">
        <v>922</v>
      </c>
      <c r="Q94" s="1" t="s">
        <v>23</v>
      </c>
      <c r="R94" s="1"/>
      <c r="S94" s="4" t="s">
        <v>400</v>
      </c>
      <c r="T94" s="7" t="s">
        <v>27</v>
      </c>
      <c r="U94" s="11" t="s">
        <v>923</v>
      </c>
      <c r="V94" s="1" t="s">
        <v>924</v>
      </c>
      <c r="W94" s="1" t="s">
        <v>402</v>
      </c>
      <c r="X94" s="5">
        <v>200061812481</v>
      </c>
      <c r="Y94" s="1" t="s">
        <v>925</v>
      </c>
      <c r="Z94" s="1">
        <v>1</v>
      </c>
      <c r="AA94" s="6" t="s">
        <v>404</v>
      </c>
      <c r="AB94" s="6" t="s">
        <v>405</v>
      </c>
      <c r="AC94" s="6" t="s">
        <v>406</v>
      </c>
      <c r="AD94" s="1" t="s">
        <v>407</v>
      </c>
      <c r="AE94" s="1" t="s">
        <v>408</v>
      </c>
      <c r="AF94" s="1" t="s">
        <v>409</v>
      </c>
      <c r="AG94" s="1" t="s">
        <v>410</v>
      </c>
      <c r="AH94" s="1" t="s">
        <v>411</v>
      </c>
    </row>
    <row r="95" spans="1:34" ht="75" x14ac:dyDescent="0.25">
      <c r="A95" s="1">
        <v>94</v>
      </c>
      <c r="B95" s="1">
        <f t="shared" si="1"/>
        <v>0</v>
      </c>
      <c r="C95" s="1"/>
      <c r="D95" s="4" t="s">
        <v>1752</v>
      </c>
      <c r="E95" s="1" t="s">
        <v>1145</v>
      </c>
      <c r="F95" s="1" t="s">
        <v>1146</v>
      </c>
      <c r="G95" s="1" t="s">
        <v>1147</v>
      </c>
      <c r="H95" s="1">
        <v>409</v>
      </c>
      <c r="I95" s="1" t="s">
        <v>22</v>
      </c>
      <c r="J95" s="1" t="s">
        <v>398</v>
      </c>
      <c r="K95" s="7" t="s">
        <v>23</v>
      </c>
      <c r="L95" s="7" t="s">
        <v>926</v>
      </c>
      <c r="M95" s="7" t="s">
        <v>927</v>
      </c>
      <c r="N95" s="23" t="s">
        <v>921</v>
      </c>
      <c r="O95" s="1" t="s">
        <v>920</v>
      </c>
      <c r="P95" s="7" t="s">
        <v>922</v>
      </c>
      <c r="Q95" s="1" t="s">
        <v>23</v>
      </c>
      <c r="R95" s="1"/>
      <c r="S95" s="4" t="s">
        <v>400</v>
      </c>
      <c r="T95" s="7" t="s">
        <v>27</v>
      </c>
      <c r="U95" s="11" t="s">
        <v>923</v>
      </c>
      <c r="V95" s="1" t="s">
        <v>924</v>
      </c>
      <c r="W95" s="1" t="s">
        <v>402</v>
      </c>
      <c r="X95" s="5">
        <v>200061812481</v>
      </c>
      <c r="Y95" s="1" t="s">
        <v>925</v>
      </c>
      <c r="Z95" s="1">
        <v>1</v>
      </c>
      <c r="AA95" s="6" t="s">
        <v>404</v>
      </c>
      <c r="AB95" s="6" t="s">
        <v>405</v>
      </c>
      <c r="AC95" s="6" t="s">
        <v>406</v>
      </c>
      <c r="AD95" s="1" t="s">
        <v>407</v>
      </c>
      <c r="AE95" s="1" t="s">
        <v>408</v>
      </c>
      <c r="AF95" s="1" t="s">
        <v>409</v>
      </c>
      <c r="AG95" s="1" t="s">
        <v>410</v>
      </c>
      <c r="AH95" s="1" t="s">
        <v>411</v>
      </c>
    </row>
    <row r="96" spans="1:34" ht="75" x14ac:dyDescent="0.25">
      <c r="A96" s="1">
        <v>95</v>
      </c>
      <c r="B96" s="1">
        <f t="shared" si="1"/>
        <v>0</v>
      </c>
      <c r="C96" s="1"/>
      <c r="D96" s="4" t="s">
        <v>1753</v>
      </c>
      <c r="E96" s="1" t="s">
        <v>1166</v>
      </c>
      <c r="F96" s="1" t="s">
        <v>1167</v>
      </c>
      <c r="G96" s="1" t="s">
        <v>1163</v>
      </c>
      <c r="H96" s="1">
        <v>409</v>
      </c>
      <c r="I96" s="1" t="s">
        <v>22</v>
      </c>
      <c r="J96" s="1" t="s">
        <v>398</v>
      </c>
      <c r="K96" s="7" t="s">
        <v>23</v>
      </c>
      <c r="L96" s="7" t="s">
        <v>926</v>
      </c>
      <c r="M96" s="7" t="s">
        <v>927</v>
      </c>
      <c r="N96" s="23" t="s">
        <v>921</v>
      </c>
      <c r="O96" s="1" t="s">
        <v>920</v>
      </c>
      <c r="P96" s="7" t="s">
        <v>922</v>
      </c>
      <c r="Q96" s="1" t="s">
        <v>23</v>
      </c>
      <c r="R96" s="1"/>
      <c r="S96" s="4" t="s">
        <v>400</v>
      </c>
      <c r="T96" s="7" t="s">
        <v>27</v>
      </c>
      <c r="U96" s="11" t="s">
        <v>923</v>
      </c>
      <c r="V96" s="1" t="s">
        <v>924</v>
      </c>
      <c r="W96" s="1" t="s">
        <v>402</v>
      </c>
      <c r="X96" s="5">
        <v>200061812481</v>
      </c>
      <c r="Y96" s="1" t="s">
        <v>925</v>
      </c>
      <c r="Z96" s="1">
        <v>1</v>
      </c>
      <c r="AA96" s="6" t="s">
        <v>404</v>
      </c>
      <c r="AB96" s="6" t="s">
        <v>405</v>
      </c>
      <c r="AC96" s="6" t="s">
        <v>406</v>
      </c>
      <c r="AD96" s="1" t="s">
        <v>407</v>
      </c>
      <c r="AE96" s="1" t="s">
        <v>408</v>
      </c>
      <c r="AF96" s="1" t="s">
        <v>409</v>
      </c>
      <c r="AG96" s="1" t="s">
        <v>410</v>
      </c>
      <c r="AH96" s="1" t="s">
        <v>411</v>
      </c>
    </row>
    <row r="97" spans="1:34" ht="120" x14ac:dyDescent="0.25">
      <c r="A97" s="1">
        <v>96</v>
      </c>
      <c r="B97" s="1">
        <f t="shared" si="1"/>
        <v>0</v>
      </c>
      <c r="C97" s="1"/>
      <c r="D97" s="4" t="s">
        <v>1754</v>
      </c>
      <c r="E97" s="1" t="s">
        <v>1203</v>
      </c>
      <c r="F97" s="1" t="s">
        <v>1204</v>
      </c>
      <c r="G97" s="1" t="s">
        <v>1205</v>
      </c>
      <c r="H97" s="1">
        <v>409</v>
      </c>
      <c r="I97" s="1" t="s">
        <v>22</v>
      </c>
      <c r="J97" s="1" t="s">
        <v>398</v>
      </c>
      <c r="K97" s="7" t="s">
        <v>23</v>
      </c>
      <c r="L97" s="7" t="s">
        <v>926</v>
      </c>
      <c r="M97" s="7" t="s">
        <v>927</v>
      </c>
      <c r="N97" s="23" t="s">
        <v>921</v>
      </c>
      <c r="O97" s="1" t="s">
        <v>920</v>
      </c>
      <c r="P97" s="7" t="s">
        <v>922</v>
      </c>
      <c r="Q97" s="1" t="s">
        <v>23</v>
      </c>
      <c r="R97" s="1"/>
      <c r="S97" s="4" t="s">
        <v>400</v>
      </c>
      <c r="T97" s="7" t="s">
        <v>27</v>
      </c>
      <c r="U97" s="11" t="s">
        <v>923</v>
      </c>
      <c r="V97" s="1" t="s">
        <v>924</v>
      </c>
      <c r="W97" s="1" t="s">
        <v>402</v>
      </c>
      <c r="X97" s="5">
        <v>200061812481</v>
      </c>
      <c r="Y97" s="1" t="s">
        <v>925</v>
      </c>
      <c r="Z97" s="1">
        <v>1</v>
      </c>
      <c r="AA97" s="6" t="s">
        <v>404</v>
      </c>
      <c r="AB97" s="6" t="s">
        <v>405</v>
      </c>
      <c r="AC97" s="6" t="s">
        <v>406</v>
      </c>
      <c r="AD97" s="1" t="s">
        <v>407</v>
      </c>
      <c r="AE97" s="1" t="s">
        <v>408</v>
      </c>
      <c r="AF97" s="1" t="s">
        <v>409</v>
      </c>
      <c r="AG97" s="1" t="s">
        <v>410</v>
      </c>
      <c r="AH97" s="1" t="s">
        <v>411</v>
      </c>
    </row>
    <row r="98" spans="1:34" ht="210" x14ac:dyDescent="0.25">
      <c r="A98" s="1">
        <v>97</v>
      </c>
      <c r="B98" s="1" t="str">
        <f t="shared" si="1"/>
        <v>Y</v>
      </c>
      <c r="C98" s="1" t="s">
        <v>17</v>
      </c>
      <c r="D98" s="4" t="s">
        <v>1755</v>
      </c>
      <c r="E98" s="1" t="s">
        <v>1623</v>
      </c>
      <c r="F98" s="1" t="s">
        <v>417</v>
      </c>
      <c r="G98" s="1" t="s">
        <v>1636</v>
      </c>
      <c r="H98" s="1"/>
      <c r="I98" s="1" t="s">
        <v>22</v>
      </c>
      <c r="J98" s="1" t="s">
        <v>398</v>
      </c>
      <c r="K98" s="7" t="s">
        <v>23</v>
      </c>
      <c r="L98" s="7" t="s">
        <v>926</v>
      </c>
      <c r="M98" s="7" t="s">
        <v>927</v>
      </c>
      <c r="N98" s="23" t="s">
        <v>921</v>
      </c>
      <c r="O98" s="1" t="s">
        <v>920</v>
      </c>
      <c r="P98" s="7" t="s">
        <v>922</v>
      </c>
      <c r="Q98" s="1" t="s">
        <v>23</v>
      </c>
      <c r="R98" s="1"/>
      <c r="S98" s="4" t="s">
        <v>400</v>
      </c>
      <c r="T98" s="7" t="s">
        <v>27</v>
      </c>
      <c r="U98" s="11" t="s">
        <v>923</v>
      </c>
      <c r="V98" s="1" t="s">
        <v>924</v>
      </c>
      <c r="W98" s="1" t="s">
        <v>402</v>
      </c>
      <c r="X98" s="5">
        <v>200061812481</v>
      </c>
      <c r="Y98" s="1" t="s">
        <v>925</v>
      </c>
      <c r="Z98" s="1">
        <v>1</v>
      </c>
      <c r="AA98" s="6" t="s">
        <v>404</v>
      </c>
      <c r="AB98" s="6" t="s">
        <v>405</v>
      </c>
      <c r="AC98" s="6" t="s">
        <v>406</v>
      </c>
      <c r="AD98" s="1" t="s">
        <v>407</v>
      </c>
      <c r="AE98" s="1" t="s">
        <v>408</v>
      </c>
      <c r="AF98" s="1" t="s">
        <v>409</v>
      </c>
      <c r="AG98" s="1" t="s">
        <v>410</v>
      </c>
      <c r="AH98" s="1" t="s">
        <v>411</v>
      </c>
    </row>
    <row r="99" spans="1:34" ht="60" x14ac:dyDescent="0.25">
      <c r="A99" s="1">
        <v>98</v>
      </c>
      <c r="B99" s="1">
        <f t="shared" si="1"/>
        <v>0</v>
      </c>
      <c r="C99" s="1"/>
      <c r="D99" s="4" t="s">
        <v>1756</v>
      </c>
      <c r="E99" s="1" t="s">
        <v>1624</v>
      </c>
      <c r="F99" s="1" t="s">
        <v>980</v>
      </c>
      <c r="G99" s="1" t="s">
        <v>1650</v>
      </c>
      <c r="H99" s="1"/>
      <c r="I99" s="1" t="s">
        <v>22</v>
      </c>
      <c r="J99" s="1" t="s">
        <v>398</v>
      </c>
      <c r="K99" s="7" t="s">
        <v>23</v>
      </c>
      <c r="L99" s="7" t="s">
        <v>926</v>
      </c>
      <c r="M99" s="7" t="s">
        <v>927</v>
      </c>
      <c r="N99" s="23" t="s">
        <v>921</v>
      </c>
      <c r="O99" s="1" t="s">
        <v>920</v>
      </c>
      <c r="P99" s="7" t="s">
        <v>922</v>
      </c>
      <c r="Q99" s="1" t="s">
        <v>23</v>
      </c>
      <c r="R99" s="1"/>
      <c r="S99" s="4" t="s">
        <v>400</v>
      </c>
      <c r="T99" s="7" t="s">
        <v>27</v>
      </c>
      <c r="U99" s="11" t="s">
        <v>923</v>
      </c>
      <c r="V99" s="1" t="s">
        <v>924</v>
      </c>
      <c r="W99" s="1" t="s">
        <v>402</v>
      </c>
      <c r="X99" s="5">
        <v>200061812481</v>
      </c>
      <c r="Y99" s="1" t="s">
        <v>925</v>
      </c>
      <c r="Z99" s="1">
        <v>1</v>
      </c>
      <c r="AA99" s="6" t="s">
        <v>404</v>
      </c>
      <c r="AB99" s="6" t="s">
        <v>405</v>
      </c>
      <c r="AC99" s="6" t="s">
        <v>406</v>
      </c>
      <c r="AD99" s="1" t="s">
        <v>407</v>
      </c>
      <c r="AE99" s="1" t="s">
        <v>408</v>
      </c>
      <c r="AF99" s="1" t="s">
        <v>409</v>
      </c>
      <c r="AG99" s="1" t="s">
        <v>410</v>
      </c>
      <c r="AH99" s="1" t="s">
        <v>411</v>
      </c>
    </row>
    <row r="100" spans="1:34" ht="45" x14ac:dyDescent="0.25">
      <c r="A100" s="1">
        <v>99</v>
      </c>
      <c r="B100" s="1">
        <f t="shared" si="1"/>
        <v>0</v>
      </c>
      <c r="D100" s="4" t="s">
        <v>1757</v>
      </c>
      <c r="E100" s="1" t="s">
        <v>1625</v>
      </c>
      <c r="F100" s="1" t="s">
        <v>990</v>
      </c>
      <c r="G100" s="1" t="s">
        <v>991</v>
      </c>
      <c r="I100" s="1" t="s">
        <v>22</v>
      </c>
      <c r="J100" s="1" t="s">
        <v>398</v>
      </c>
      <c r="K100" s="7" t="s">
        <v>23</v>
      </c>
      <c r="L100" s="7" t="s">
        <v>926</v>
      </c>
      <c r="M100" s="7" t="s">
        <v>927</v>
      </c>
      <c r="N100" s="23" t="s">
        <v>921</v>
      </c>
      <c r="O100" s="1" t="s">
        <v>920</v>
      </c>
      <c r="P100" s="7" t="s">
        <v>922</v>
      </c>
      <c r="Q100" s="1" t="s">
        <v>23</v>
      </c>
      <c r="R100" s="1"/>
      <c r="S100" s="4" t="s">
        <v>400</v>
      </c>
      <c r="T100" s="7" t="s">
        <v>27</v>
      </c>
      <c r="U100" s="11" t="s">
        <v>923</v>
      </c>
      <c r="V100" s="1" t="s">
        <v>924</v>
      </c>
      <c r="W100" s="1" t="s">
        <v>402</v>
      </c>
      <c r="X100" s="5">
        <v>200061812481</v>
      </c>
      <c r="Y100" s="1" t="s">
        <v>925</v>
      </c>
      <c r="Z100" s="1">
        <v>1</v>
      </c>
      <c r="AA100" s="6" t="s">
        <v>404</v>
      </c>
      <c r="AB100" s="6" t="s">
        <v>405</v>
      </c>
      <c r="AC100" s="6" t="s">
        <v>406</v>
      </c>
      <c r="AD100" s="1" t="s">
        <v>407</v>
      </c>
      <c r="AE100" s="1" t="s">
        <v>408</v>
      </c>
      <c r="AF100" s="1" t="s">
        <v>409</v>
      </c>
      <c r="AG100" s="1" t="s">
        <v>410</v>
      </c>
      <c r="AH100" s="1" t="s">
        <v>411</v>
      </c>
    </row>
    <row r="101" spans="1:34" ht="45" x14ac:dyDescent="0.25">
      <c r="A101" s="1">
        <v>100</v>
      </c>
      <c r="B101" s="1">
        <f t="shared" si="1"/>
        <v>0</v>
      </c>
      <c r="D101" s="4" t="s">
        <v>1758</v>
      </c>
      <c r="E101" s="1" t="s">
        <v>1626</v>
      </c>
      <c r="F101" s="1" t="s">
        <v>1651</v>
      </c>
      <c r="G101" s="1" t="s">
        <v>433</v>
      </c>
      <c r="I101" s="1" t="s">
        <v>22</v>
      </c>
      <c r="J101" s="1" t="s">
        <v>398</v>
      </c>
      <c r="K101" s="7" t="s">
        <v>23</v>
      </c>
      <c r="L101" s="7" t="s">
        <v>926</v>
      </c>
      <c r="M101" s="7" t="s">
        <v>927</v>
      </c>
      <c r="N101" s="23" t="s">
        <v>921</v>
      </c>
      <c r="O101" s="1" t="s">
        <v>920</v>
      </c>
      <c r="P101" s="7" t="s">
        <v>922</v>
      </c>
      <c r="Q101" s="1" t="s">
        <v>23</v>
      </c>
      <c r="R101" s="1"/>
      <c r="S101" s="4" t="s">
        <v>400</v>
      </c>
      <c r="T101" s="7" t="s">
        <v>27</v>
      </c>
      <c r="U101" s="11" t="s">
        <v>923</v>
      </c>
      <c r="V101" s="1" t="s">
        <v>924</v>
      </c>
      <c r="W101" s="1" t="s">
        <v>402</v>
      </c>
      <c r="X101" s="5">
        <v>200061812481</v>
      </c>
      <c r="Y101" s="1" t="s">
        <v>925</v>
      </c>
      <c r="Z101" s="1">
        <v>1</v>
      </c>
      <c r="AA101" s="6" t="s">
        <v>404</v>
      </c>
      <c r="AB101" s="6" t="s">
        <v>405</v>
      </c>
      <c r="AC101" s="6" t="s">
        <v>406</v>
      </c>
      <c r="AD101" s="1" t="s">
        <v>407</v>
      </c>
      <c r="AE101" s="1" t="s">
        <v>408</v>
      </c>
      <c r="AF101" s="1" t="s">
        <v>409</v>
      </c>
      <c r="AG101" s="1" t="s">
        <v>410</v>
      </c>
      <c r="AH101" s="1" t="s">
        <v>411</v>
      </c>
    </row>
    <row r="102" spans="1:34" ht="45" x14ac:dyDescent="0.25">
      <c r="A102" s="1">
        <v>101</v>
      </c>
      <c r="D102" s="4" t="s">
        <v>1759</v>
      </c>
      <c r="E102" s="1" t="s">
        <v>1627</v>
      </c>
      <c r="F102" s="1" t="s">
        <v>1652</v>
      </c>
      <c r="G102" s="1" t="s">
        <v>433</v>
      </c>
      <c r="AA102" s="6" t="s">
        <v>404</v>
      </c>
      <c r="AB102" s="6" t="s">
        <v>405</v>
      </c>
      <c r="AC102" s="6" t="s">
        <v>406</v>
      </c>
      <c r="AD102" s="1" t="s">
        <v>407</v>
      </c>
      <c r="AE102" s="1" t="s">
        <v>408</v>
      </c>
      <c r="AF102" s="1" t="s">
        <v>409</v>
      </c>
      <c r="AG102" s="1" t="s">
        <v>410</v>
      </c>
      <c r="AH102" s="1" t="s">
        <v>411</v>
      </c>
    </row>
    <row r="103" spans="1:34" ht="210" x14ac:dyDescent="0.25">
      <c r="A103" s="1">
        <v>102</v>
      </c>
      <c r="D103" s="4" t="s">
        <v>1760</v>
      </c>
      <c r="E103" s="1" t="s">
        <v>1628</v>
      </c>
      <c r="F103" s="1" t="s">
        <v>1653</v>
      </c>
      <c r="G103" s="1" t="s">
        <v>994</v>
      </c>
      <c r="AA103" s="6" t="s">
        <v>404</v>
      </c>
      <c r="AB103" s="6" t="s">
        <v>405</v>
      </c>
      <c r="AC103" s="6" t="s">
        <v>406</v>
      </c>
      <c r="AD103" s="1" t="s">
        <v>407</v>
      </c>
      <c r="AE103" s="1" t="s">
        <v>408</v>
      </c>
      <c r="AF103" s="1" t="s">
        <v>409</v>
      </c>
      <c r="AG103" s="1" t="s">
        <v>410</v>
      </c>
      <c r="AH103" s="1" t="s">
        <v>411</v>
      </c>
    </row>
    <row r="104" spans="1:34" ht="210" x14ac:dyDescent="0.25">
      <c r="A104" s="1">
        <v>103</v>
      </c>
      <c r="D104" s="4" t="s">
        <v>1761</v>
      </c>
      <c r="E104" s="1" t="s">
        <v>1629</v>
      </c>
      <c r="F104" s="1" t="s">
        <v>998</v>
      </c>
      <c r="G104" s="1" t="s">
        <v>994</v>
      </c>
      <c r="AA104" s="6" t="s">
        <v>404</v>
      </c>
      <c r="AB104" s="6" t="s">
        <v>405</v>
      </c>
      <c r="AC104" s="6" t="s">
        <v>406</v>
      </c>
      <c r="AD104" s="1" t="s">
        <v>407</v>
      </c>
      <c r="AE104" s="1" t="s">
        <v>408</v>
      </c>
      <c r="AF104" s="1" t="s">
        <v>409</v>
      </c>
      <c r="AG104" s="1" t="s">
        <v>410</v>
      </c>
      <c r="AH104" s="1" t="s">
        <v>411</v>
      </c>
    </row>
    <row r="105" spans="1:34" ht="210" x14ac:dyDescent="0.25">
      <c r="A105" s="1">
        <v>104</v>
      </c>
      <c r="D105" s="4" t="s">
        <v>1762</v>
      </c>
      <c r="E105" s="1" t="s">
        <v>1630</v>
      </c>
      <c r="F105" s="1" t="s">
        <v>999</v>
      </c>
      <c r="G105" s="1" t="s">
        <v>994</v>
      </c>
      <c r="AA105" s="6" t="s">
        <v>404</v>
      </c>
      <c r="AB105" s="6" t="s">
        <v>405</v>
      </c>
      <c r="AC105" s="6" t="s">
        <v>406</v>
      </c>
      <c r="AD105" s="1" t="s">
        <v>407</v>
      </c>
      <c r="AE105" s="1" t="s">
        <v>408</v>
      </c>
      <c r="AF105" s="1" t="s">
        <v>409</v>
      </c>
      <c r="AG105" s="1" t="s">
        <v>410</v>
      </c>
      <c r="AH105" s="1" t="s">
        <v>411</v>
      </c>
    </row>
    <row r="106" spans="1:34" ht="210" x14ac:dyDescent="0.25">
      <c r="A106" s="1">
        <v>105</v>
      </c>
      <c r="D106" s="4" t="s">
        <v>1763</v>
      </c>
      <c r="E106" s="1" t="s">
        <v>1631</v>
      </c>
      <c r="F106" s="1" t="s">
        <v>1000</v>
      </c>
      <c r="G106" s="1" t="s">
        <v>994</v>
      </c>
      <c r="AA106" s="6" t="s">
        <v>404</v>
      </c>
      <c r="AB106" s="6" t="s">
        <v>405</v>
      </c>
      <c r="AC106" s="6" t="s">
        <v>406</v>
      </c>
      <c r="AD106" s="1" t="s">
        <v>407</v>
      </c>
      <c r="AE106" s="1" t="s">
        <v>408</v>
      </c>
      <c r="AF106" s="1" t="s">
        <v>409</v>
      </c>
      <c r="AG106" s="1" t="s">
        <v>410</v>
      </c>
      <c r="AH106" s="1" t="s">
        <v>411</v>
      </c>
    </row>
    <row r="107" spans="1:34" ht="210" x14ac:dyDescent="0.25">
      <c r="A107" s="1">
        <v>106</v>
      </c>
      <c r="D107" s="4" t="s">
        <v>1764</v>
      </c>
      <c r="E107" s="1" t="s">
        <v>1632</v>
      </c>
      <c r="F107" s="1" t="s">
        <v>1001</v>
      </c>
      <c r="G107" s="1" t="s">
        <v>994</v>
      </c>
      <c r="AA107" s="6" t="s">
        <v>404</v>
      </c>
      <c r="AB107" s="6" t="s">
        <v>405</v>
      </c>
      <c r="AC107" s="6" t="s">
        <v>406</v>
      </c>
      <c r="AD107" s="1" t="s">
        <v>407</v>
      </c>
      <c r="AE107" s="1" t="s">
        <v>408</v>
      </c>
      <c r="AF107" s="1" t="s">
        <v>409</v>
      </c>
      <c r="AG107" s="1" t="s">
        <v>410</v>
      </c>
      <c r="AH107" s="1" t="s">
        <v>411</v>
      </c>
    </row>
    <row r="108" spans="1:34" ht="180" x14ac:dyDescent="0.25">
      <c r="A108" s="1">
        <v>107</v>
      </c>
      <c r="D108" s="4" t="s">
        <v>1765</v>
      </c>
      <c r="E108" s="1" t="s">
        <v>1065</v>
      </c>
      <c r="F108" s="1" t="s">
        <v>526</v>
      </c>
      <c r="G108" s="1" t="s">
        <v>1066</v>
      </c>
      <c r="AA108" s="6" t="s">
        <v>404</v>
      </c>
      <c r="AB108" s="6" t="s">
        <v>405</v>
      </c>
      <c r="AC108" s="6" t="s">
        <v>406</v>
      </c>
      <c r="AD108" s="1" t="s">
        <v>407</v>
      </c>
      <c r="AE108" s="1" t="s">
        <v>408</v>
      </c>
      <c r="AF108" s="1" t="s">
        <v>409</v>
      </c>
      <c r="AG108" s="1" t="s">
        <v>410</v>
      </c>
      <c r="AH108" s="1" t="s">
        <v>411</v>
      </c>
    </row>
    <row r="109" spans="1:34" ht="75" x14ac:dyDescent="0.25">
      <c r="A109" s="1">
        <v>108</v>
      </c>
      <c r="D109" s="4" t="s">
        <v>1766</v>
      </c>
      <c r="E109" s="1" t="s">
        <v>1070</v>
      </c>
      <c r="F109" s="1" t="s">
        <v>1071</v>
      </c>
      <c r="G109" s="1" t="s">
        <v>1072</v>
      </c>
      <c r="AA109" s="6" t="s">
        <v>404</v>
      </c>
      <c r="AB109" s="6" t="s">
        <v>405</v>
      </c>
      <c r="AC109" s="6" t="s">
        <v>406</v>
      </c>
      <c r="AD109" s="1" t="s">
        <v>407</v>
      </c>
      <c r="AE109" s="1" t="s">
        <v>408</v>
      </c>
      <c r="AF109" s="1" t="s">
        <v>409</v>
      </c>
      <c r="AG109" s="1" t="s">
        <v>410</v>
      </c>
      <c r="AH109" s="1" t="s">
        <v>411</v>
      </c>
    </row>
    <row r="110" spans="1:34" ht="60" x14ac:dyDescent="0.25">
      <c r="A110" s="1">
        <v>109</v>
      </c>
      <c r="D110" s="4" t="s">
        <v>1767</v>
      </c>
      <c r="E110" s="1" t="s">
        <v>1079</v>
      </c>
      <c r="F110" s="1" t="s">
        <v>1080</v>
      </c>
      <c r="G110" s="1" t="s">
        <v>1081</v>
      </c>
      <c r="AA110" s="6" t="s">
        <v>404</v>
      </c>
      <c r="AB110" s="6" t="s">
        <v>405</v>
      </c>
      <c r="AC110" s="6" t="s">
        <v>406</v>
      </c>
      <c r="AD110" s="1" t="s">
        <v>407</v>
      </c>
      <c r="AE110" s="1" t="s">
        <v>408</v>
      </c>
      <c r="AF110" s="1" t="s">
        <v>409</v>
      </c>
      <c r="AG110" s="1" t="s">
        <v>410</v>
      </c>
      <c r="AH110" s="1" t="s">
        <v>411</v>
      </c>
    </row>
    <row r="111" spans="1:34" ht="75" x14ac:dyDescent="0.25">
      <c r="A111" s="1">
        <v>110</v>
      </c>
      <c r="D111" s="4" t="s">
        <v>1768</v>
      </c>
      <c r="E111" s="1" t="s">
        <v>1088</v>
      </c>
      <c r="F111" s="1" t="s">
        <v>1089</v>
      </c>
      <c r="G111" s="1" t="s">
        <v>1090</v>
      </c>
      <c r="AA111" s="6" t="s">
        <v>404</v>
      </c>
      <c r="AB111" s="6" t="s">
        <v>405</v>
      </c>
      <c r="AC111" s="6" t="s">
        <v>406</v>
      </c>
      <c r="AD111" s="1" t="s">
        <v>407</v>
      </c>
      <c r="AE111" s="1" t="s">
        <v>408</v>
      </c>
      <c r="AF111" s="1" t="s">
        <v>409</v>
      </c>
      <c r="AG111" s="1" t="s">
        <v>410</v>
      </c>
      <c r="AH111" s="1" t="s">
        <v>411</v>
      </c>
    </row>
    <row r="112" spans="1:34" ht="75" x14ac:dyDescent="0.25">
      <c r="A112" s="1">
        <v>111</v>
      </c>
      <c r="D112" s="4" t="s">
        <v>1769</v>
      </c>
      <c r="E112" s="1" t="s">
        <v>1094</v>
      </c>
      <c r="F112" s="1" t="s">
        <v>561</v>
      </c>
      <c r="G112" s="1" t="s">
        <v>1095</v>
      </c>
      <c r="AA112" s="6" t="s">
        <v>404</v>
      </c>
      <c r="AB112" s="6" t="s">
        <v>405</v>
      </c>
      <c r="AC112" s="6" t="s">
        <v>406</v>
      </c>
      <c r="AD112" s="1" t="s">
        <v>407</v>
      </c>
      <c r="AE112" s="1" t="s">
        <v>408</v>
      </c>
      <c r="AF112" s="1" t="s">
        <v>409</v>
      </c>
      <c r="AG112" s="1" t="s">
        <v>410</v>
      </c>
      <c r="AH112" s="1" t="s">
        <v>411</v>
      </c>
    </row>
    <row r="113" spans="1:34" ht="45" x14ac:dyDescent="0.25">
      <c r="A113" s="1">
        <v>112</v>
      </c>
      <c r="D113" s="4" t="s">
        <v>1770</v>
      </c>
      <c r="E113" s="1" t="s">
        <v>1105</v>
      </c>
      <c r="F113" s="1" t="s">
        <v>538</v>
      </c>
      <c r="G113" s="1" t="s">
        <v>551</v>
      </c>
      <c r="AA113" s="6" t="s">
        <v>404</v>
      </c>
      <c r="AB113" s="6" t="s">
        <v>405</v>
      </c>
      <c r="AC113" s="6" t="s">
        <v>406</v>
      </c>
      <c r="AD113" s="1" t="s">
        <v>407</v>
      </c>
      <c r="AE113" s="1" t="s">
        <v>408</v>
      </c>
      <c r="AF113" s="1" t="s">
        <v>409</v>
      </c>
      <c r="AG113" s="1" t="s">
        <v>410</v>
      </c>
      <c r="AH113" s="1" t="s">
        <v>411</v>
      </c>
    </row>
    <row r="114" spans="1:34" ht="45" x14ac:dyDescent="0.25">
      <c r="A114" s="1">
        <v>113</v>
      </c>
      <c r="D114" s="4" t="s">
        <v>1771</v>
      </c>
      <c r="E114" s="1" t="s">
        <v>1106</v>
      </c>
      <c r="F114" s="1" t="s">
        <v>542</v>
      </c>
      <c r="G114" s="1" t="s">
        <v>551</v>
      </c>
      <c r="AA114" s="6" t="s">
        <v>404</v>
      </c>
      <c r="AB114" s="6" t="s">
        <v>405</v>
      </c>
      <c r="AC114" s="6" t="s">
        <v>406</v>
      </c>
      <c r="AD114" s="1" t="s">
        <v>407</v>
      </c>
      <c r="AE114" s="1" t="s">
        <v>408</v>
      </c>
      <c r="AF114" s="1" t="s">
        <v>409</v>
      </c>
      <c r="AG114" s="1" t="s">
        <v>410</v>
      </c>
      <c r="AH114" s="1" t="s">
        <v>411</v>
      </c>
    </row>
    <row r="115" spans="1:34" ht="45" x14ac:dyDescent="0.25">
      <c r="A115" s="1">
        <v>114</v>
      </c>
      <c r="D115" s="4" t="s">
        <v>1772</v>
      </c>
      <c r="E115" s="1" t="s">
        <v>1107</v>
      </c>
      <c r="F115" s="1" t="s">
        <v>544</v>
      </c>
      <c r="G115" s="1" t="s">
        <v>551</v>
      </c>
      <c r="AA115" s="6" t="s">
        <v>404</v>
      </c>
      <c r="AB115" s="6" t="s">
        <v>405</v>
      </c>
      <c r="AC115" s="6" t="s">
        <v>406</v>
      </c>
      <c r="AD115" s="1" t="s">
        <v>407</v>
      </c>
      <c r="AE115" s="1" t="s">
        <v>408</v>
      </c>
      <c r="AF115" s="1" t="s">
        <v>409</v>
      </c>
      <c r="AG115" s="1" t="s">
        <v>410</v>
      </c>
      <c r="AH115" s="1" t="s">
        <v>411</v>
      </c>
    </row>
    <row r="116" spans="1:34" ht="45" x14ac:dyDescent="0.25">
      <c r="A116" s="1">
        <v>115</v>
      </c>
      <c r="D116" s="4" t="s">
        <v>1773</v>
      </c>
      <c r="E116" s="1" t="s">
        <v>1115</v>
      </c>
      <c r="F116" s="1" t="s">
        <v>1116</v>
      </c>
      <c r="G116" s="1" t="s">
        <v>1117</v>
      </c>
      <c r="AA116" s="6" t="s">
        <v>404</v>
      </c>
      <c r="AB116" s="6" t="s">
        <v>405</v>
      </c>
      <c r="AC116" s="6" t="s">
        <v>406</v>
      </c>
      <c r="AD116" s="1" t="s">
        <v>407</v>
      </c>
      <c r="AE116" s="1" t="s">
        <v>408</v>
      </c>
      <c r="AF116" s="1" t="s">
        <v>409</v>
      </c>
      <c r="AG116" s="1" t="s">
        <v>410</v>
      </c>
      <c r="AH116" s="1" t="s">
        <v>411</v>
      </c>
    </row>
    <row r="117" spans="1:34" ht="90" x14ac:dyDescent="0.25">
      <c r="A117" s="1">
        <v>116</v>
      </c>
      <c r="D117" s="4" t="s">
        <v>1774</v>
      </c>
      <c r="E117" s="1" t="s">
        <v>1121</v>
      </c>
      <c r="F117" s="1" t="s">
        <v>1122</v>
      </c>
      <c r="G117" s="1" t="s">
        <v>1123</v>
      </c>
      <c r="AA117" s="6" t="s">
        <v>404</v>
      </c>
      <c r="AB117" s="6" t="s">
        <v>405</v>
      </c>
      <c r="AC117" s="6" t="s">
        <v>406</v>
      </c>
      <c r="AD117" s="1" t="s">
        <v>407</v>
      </c>
      <c r="AE117" s="1" t="s">
        <v>408</v>
      </c>
      <c r="AF117" s="1" t="s">
        <v>409</v>
      </c>
      <c r="AG117" s="1" t="s">
        <v>410</v>
      </c>
      <c r="AH117" s="1" t="s">
        <v>411</v>
      </c>
    </row>
    <row r="118" spans="1:34" ht="45" x14ac:dyDescent="0.25">
      <c r="A118" s="1">
        <v>117</v>
      </c>
      <c r="D118" s="4" t="s">
        <v>1775</v>
      </c>
      <c r="E118" s="1" t="s">
        <v>1127</v>
      </c>
      <c r="F118" s="1" t="s">
        <v>570</v>
      </c>
      <c r="G118" s="1" t="s">
        <v>1128</v>
      </c>
      <c r="AA118" s="6" t="s">
        <v>404</v>
      </c>
      <c r="AB118" s="6" t="s">
        <v>405</v>
      </c>
      <c r="AC118" s="6" t="s">
        <v>406</v>
      </c>
      <c r="AD118" s="1" t="s">
        <v>407</v>
      </c>
      <c r="AE118" s="1" t="s">
        <v>408</v>
      </c>
      <c r="AF118" s="1" t="s">
        <v>409</v>
      </c>
      <c r="AG118" s="1" t="s">
        <v>410</v>
      </c>
      <c r="AH118" s="1" t="s">
        <v>411</v>
      </c>
    </row>
    <row r="119" spans="1:34" ht="60" x14ac:dyDescent="0.25">
      <c r="A119" s="1">
        <v>118</v>
      </c>
      <c r="D119" s="4" t="s">
        <v>1776</v>
      </c>
      <c r="E119" s="1" t="s">
        <v>1129</v>
      </c>
      <c r="F119" s="1" t="s">
        <v>538</v>
      </c>
      <c r="G119" s="1" t="s">
        <v>1130</v>
      </c>
      <c r="AA119" s="6" t="s">
        <v>404</v>
      </c>
      <c r="AB119" s="6" t="s">
        <v>405</v>
      </c>
      <c r="AC119" s="6" t="s">
        <v>406</v>
      </c>
      <c r="AD119" s="1" t="s">
        <v>407</v>
      </c>
      <c r="AE119" s="1" t="s">
        <v>408</v>
      </c>
      <c r="AF119" s="1" t="s">
        <v>409</v>
      </c>
      <c r="AG119" s="1" t="s">
        <v>410</v>
      </c>
      <c r="AH119" s="1" t="s">
        <v>411</v>
      </c>
    </row>
    <row r="120" spans="1:34" ht="45" x14ac:dyDescent="0.25">
      <c r="A120" s="1">
        <v>119</v>
      </c>
      <c r="D120" s="4" t="s">
        <v>1777</v>
      </c>
      <c r="E120" s="1" t="s">
        <v>1131</v>
      </c>
      <c r="F120" s="1" t="s">
        <v>1132</v>
      </c>
      <c r="G120" s="1" t="s">
        <v>1133</v>
      </c>
      <c r="AA120" s="6" t="s">
        <v>404</v>
      </c>
      <c r="AB120" s="6" t="s">
        <v>405</v>
      </c>
      <c r="AC120" s="6" t="s">
        <v>406</v>
      </c>
      <c r="AD120" s="1" t="s">
        <v>407</v>
      </c>
      <c r="AE120" s="1" t="s">
        <v>408</v>
      </c>
      <c r="AF120" s="1" t="s">
        <v>409</v>
      </c>
      <c r="AG120" s="1" t="s">
        <v>410</v>
      </c>
      <c r="AH120" s="1" t="s">
        <v>411</v>
      </c>
    </row>
    <row r="121" spans="1:34" ht="60" x14ac:dyDescent="0.25">
      <c r="A121" s="1">
        <v>120</v>
      </c>
      <c r="D121" s="4" t="s">
        <v>1778</v>
      </c>
      <c r="E121" s="1" t="s">
        <v>1134</v>
      </c>
      <c r="F121" s="1" t="s">
        <v>544</v>
      </c>
      <c r="G121" s="1" t="s">
        <v>1135</v>
      </c>
      <c r="AA121" s="6" t="s">
        <v>404</v>
      </c>
      <c r="AB121" s="6" t="s">
        <v>405</v>
      </c>
      <c r="AC121" s="6" t="s">
        <v>406</v>
      </c>
      <c r="AD121" s="1" t="s">
        <v>407</v>
      </c>
      <c r="AE121" s="1" t="s">
        <v>408</v>
      </c>
      <c r="AF121" s="1" t="s">
        <v>409</v>
      </c>
      <c r="AG121" s="1" t="s">
        <v>410</v>
      </c>
      <c r="AH121" s="1" t="s">
        <v>411</v>
      </c>
    </row>
    <row r="122" spans="1:34" ht="105" x14ac:dyDescent="0.25">
      <c r="A122" s="1">
        <v>121</v>
      </c>
      <c r="D122" s="4" t="s">
        <v>1779</v>
      </c>
      <c r="E122" s="1" t="s">
        <v>1136</v>
      </c>
      <c r="F122" s="1" t="s">
        <v>1137</v>
      </c>
      <c r="G122" s="1" t="s">
        <v>1138</v>
      </c>
      <c r="AA122" s="6" t="s">
        <v>404</v>
      </c>
      <c r="AB122" s="6" t="s">
        <v>405</v>
      </c>
      <c r="AC122" s="6" t="s">
        <v>406</v>
      </c>
      <c r="AD122" s="1" t="s">
        <v>407</v>
      </c>
      <c r="AE122" s="1" t="s">
        <v>408</v>
      </c>
      <c r="AF122" s="1" t="s">
        <v>409</v>
      </c>
      <c r="AG122" s="1" t="s">
        <v>410</v>
      </c>
      <c r="AH122" s="1" t="s">
        <v>411</v>
      </c>
    </row>
    <row r="123" spans="1:34" ht="75" x14ac:dyDescent="0.25">
      <c r="A123" s="1">
        <v>122</v>
      </c>
      <c r="D123" s="4" t="s">
        <v>1780</v>
      </c>
      <c r="E123" s="1" t="s">
        <v>1139</v>
      </c>
      <c r="F123" s="1" t="s">
        <v>1140</v>
      </c>
      <c r="G123" s="1" t="s">
        <v>1141</v>
      </c>
      <c r="AA123" s="6" t="s">
        <v>404</v>
      </c>
      <c r="AB123" s="6" t="s">
        <v>405</v>
      </c>
      <c r="AC123" s="6" t="s">
        <v>406</v>
      </c>
      <c r="AD123" s="1" t="s">
        <v>407</v>
      </c>
      <c r="AE123" s="1" t="s">
        <v>408</v>
      </c>
      <c r="AF123" s="1" t="s">
        <v>409</v>
      </c>
      <c r="AG123" s="1" t="s">
        <v>410</v>
      </c>
      <c r="AH123" s="1" t="s">
        <v>411</v>
      </c>
    </row>
    <row r="124" spans="1:34" ht="75" x14ac:dyDescent="0.25">
      <c r="A124" s="1">
        <v>123</v>
      </c>
      <c r="D124" s="4" t="s">
        <v>1781</v>
      </c>
      <c r="E124" s="1" t="s">
        <v>1142</v>
      </c>
      <c r="F124" s="1" t="s">
        <v>1143</v>
      </c>
      <c r="G124" s="1" t="s">
        <v>1144</v>
      </c>
      <c r="AA124" s="6" t="s">
        <v>404</v>
      </c>
      <c r="AB124" s="6" t="s">
        <v>405</v>
      </c>
      <c r="AC124" s="6" t="s">
        <v>406</v>
      </c>
      <c r="AD124" s="1" t="s">
        <v>407</v>
      </c>
      <c r="AE124" s="1" t="s">
        <v>408</v>
      </c>
      <c r="AF124" s="1" t="s">
        <v>409</v>
      </c>
      <c r="AG124" s="1" t="s">
        <v>410</v>
      </c>
      <c r="AH124" s="1" t="s">
        <v>411</v>
      </c>
    </row>
    <row r="125" spans="1:34" ht="60" x14ac:dyDescent="0.25">
      <c r="A125" s="1">
        <v>124</v>
      </c>
      <c r="D125" s="4" t="s">
        <v>1782</v>
      </c>
      <c r="E125" s="1" t="s">
        <v>1148</v>
      </c>
      <c r="F125" s="1" t="s">
        <v>1149</v>
      </c>
      <c r="G125" s="1" t="s">
        <v>1150</v>
      </c>
      <c r="AA125" s="6" t="s">
        <v>404</v>
      </c>
      <c r="AB125" s="6" t="s">
        <v>405</v>
      </c>
      <c r="AC125" s="6" t="s">
        <v>406</v>
      </c>
      <c r="AD125" s="1" t="s">
        <v>407</v>
      </c>
      <c r="AE125" s="1" t="s">
        <v>408</v>
      </c>
      <c r="AF125" s="1" t="s">
        <v>409</v>
      </c>
      <c r="AG125" s="1" t="s">
        <v>410</v>
      </c>
      <c r="AH125" s="1" t="s">
        <v>411</v>
      </c>
    </row>
    <row r="126" spans="1:34" ht="75" x14ac:dyDescent="0.25">
      <c r="A126" s="1">
        <v>125</v>
      </c>
      <c r="D126" s="4" t="s">
        <v>1783</v>
      </c>
      <c r="E126" s="1" t="s">
        <v>1151</v>
      </c>
      <c r="F126" s="1" t="s">
        <v>580</v>
      </c>
      <c r="G126" s="1" t="s">
        <v>1152</v>
      </c>
      <c r="AA126" s="6" t="s">
        <v>404</v>
      </c>
      <c r="AB126" s="6" t="s">
        <v>405</v>
      </c>
      <c r="AC126" s="6" t="s">
        <v>406</v>
      </c>
      <c r="AD126" s="1" t="s">
        <v>407</v>
      </c>
      <c r="AE126" s="1" t="s">
        <v>408</v>
      </c>
      <c r="AF126" s="1" t="s">
        <v>409</v>
      </c>
      <c r="AG126" s="1" t="s">
        <v>410</v>
      </c>
      <c r="AH126" s="1" t="s">
        <v>411</v>
      </c>
    </row>
    <row r="127" spans="1:34" ht="75" x14ac:dyDescent="0.25">
      <c r="A127" s="1">
        <v>126</v>
      </c>
      <c r="D127" s="4" t="s">
        <v>1784</v>
      </c>
      <c r="E127" s="1" t="s">
        <v>1153</v>
      </c>
      <c r="F127" s="1" t="s">
        <v>585</v>
      </c>
      <c r="G127" s="1" t="s">
        <v>1154</v>
      </c>
      <c r="AA127" s="6" t="s">
        <v>404</v>
      </c>
      <c r="AB127" s="6" t="s">
        <v>405</v>
      </c>
      <c r="AC127" s="6" t="s">
        <v>406</v>
      </c>
      <c r="AD127" s="1" t="s">
        <v>407</v>
      </c>
      <c r="AE127" s="1" t="s">
        <v>408</v>
      </c>
      <c r="AF127" s="1" t="s">
        <v>409</v>
      </c>
      <c r="AG127" s="1" t="s">
        <v>410</v>
      </c>
      <c r="AH127" s="1" t="s">
        <v>411</v>
      </c>
    </row>
    <row r="128" spans="1:34" ht="60" x14ac:dyDescent="0.25">
      <c r="A128" s="1">
        <v>127</v>
      </c>
      <c r="D128" s="4" t="s">
        <v>1785</v>
      </c>
      <c r="E128" s="1" t="s">
        <v>1155</v>
      </c>
      <c r="F128" s="1" t="s">
        <v>1156</v>
      </c>
      <c r="G128" s="1" t="s">
        <v>1157</v>
      </c>
      <c r="AA128" s="6" t="s">
        <v>404</v>
      </c>
      <c r="AB128" s="6" t="s">
        <v>405</v>
      </c>
      <c r="AC128" s="6" t="s">
        <v>406</v>
      </c>
      <c r="AD128" s="1" t="s">
        <v>407</v>
      </c>
      <c r="AE128" s="1" t="s">
        <v>408</v>
      </c>
      <c r="AF128" s="1" t="s">
        <v>409</v>
      </c>
      <c r="AG128" s="1" t="s">
        <v>410</v>
      </c>
      <c r="AH128" s="1" t="s">
        <v>411</v>
      </c>
    </row>
    <row r="129" spans="1:34" ht="75" x14ac:dyDescent="0.25">
      <c r="A129" s="1">
        <v>128</v>
      </c>
      <c r="D129" s="4" t="s">
        <v>1786</v>
      </c>
      <c r="E129" s="1" t="s">
        <v>1158</v>
      </c>
      <c r="F129" s="1" t="s">
        <v>1159</v>
      </c>
      <c r="G129" s="1" t="s">
        <v>1160</v>
      </c>
      <c r="AA129" s="6" t="s">
        <v>404</v>
      </c>
      <c r="AB129" s="6" t="s">
        <v>405</v>
      </c>
      <c r="AC129" s="6" t="s">
        <v>406</v>
      </c>
      <c r="AD129" s="1" t="s">
        <v>407</v>
      </c>
      <c r="AE129" s="1" t="s">
        <v>408</v>
      </c>
      <c r="AF129" s="1" t="s">
        <v>409</v>
      </c>
      <c r="AG129" s="1" t="s">
        <v>410</v>
      </c>
      <c r="AH129" s="1" t="s">
        <v>411</v>
      </c>
    </row>
    <row r="130" spans="1:34" ht="75" x14ac:dyDescent="0.25">
      <c r="A130" s="1">
        <v>129</v>
      </c>
      <c r="D130" s="4" t="s">
        <v>1787</v>
      </c>
      <c r="E130" s="1" t="s">
        <v>1161</v>
      </c>
      <c r="F130" s="1" t="s">
        <v>1162</v>
      </c>
      <c r="G130" s="1" t="s">
        <v>1163</v>
      </c>
      <c r="AA130" s="6" t="s">
        <v>404</v>
      </c>
      <c r="AB130" s="6" t="s">
        <v>405</v>
      </c>
      <c r="AC130" s="6" t="s">
        <v>406</v>
      </c>
      <c r="AD130" s="1" t="s">
        <v>407</v>
      </c>
      <c r="AE130" s="1" t="s">
        <v>408</v>
      </c>
      <c r="AF130" s="1" t="s">
        <v>409</v>
      </c>
      <c r="AG130" s="1" t="s">
        <v>410</v>
      </c>
      <c r="AH130" s="1" t="s">
        <v>411</v>
      </c>
    </row>
    <row r="131" spans="1:34" ht="75" x14ac:dyDescent="0.25">
      <c r="A131" s="1">
        <v>130</v>
      </c>
      <c r="D131" s="4" t="s">
        <v>1788</v>
      </c>
      <c r="E131" s="1" t="s">
        <v>1164</v>
      </c>
      <c r="F131" s="1" t="s">
        <v>1165</v>
      </c>
      <c r="G131" s="1" t="s">
        <v>1163</v>
      </c>
      <c r="AA131" s="6" t="s">
        <v>404</v>
      </c>
      <c r="AB131" s="6" t="s">
        <v>405</v>
      </c>
      <c r="AC131" s="6" t="s">
        <v>406</v>
      </c>
      <c r="AD131" s="1" t="s">
        <v>407</v>
      </c>
      <c r="AE131" s="1" t="s">
        <v>408</v>
      </c>
      <c r="AF131" s="1" t="s">
        <v>409</v>
      </c>
      <c r="AG131" s="1" t="s">
        <v>410</v>
      </c>
      <c r="AH131" s="1" t="s">
        <v>411</v>
      </c>
    </row>
    <row r="132" spans="1:34" ht="75" x14ac:dyDescent="0.25">
      <c r="A132" s="1">
        <v>131</v>
      </c>
      <c r="D132" s="4" t="s">
        <v>1789</v>
      </c>
      <c r="E132" s="1" t="s">
        <v>1171</v>
      </c>
      <c r="F132" s="1" t="s">
        <v>1172</v>
      </c>
      <c r="G132" s="1" t="s">
        <v>1163</v>
      </c>
      <c r="AA132" s="6" t="s">
        <v>404</v>
      </c>
      <c r="AB132" s="6" t="s">
        <v>405</v>
      </c>
      <c r="AC132" s="6" t="s">
        <v>406</v>
      </c>
      <c r="AD132" s="1" t="s">
        <v>407</v>
      </c>
      <c r="AE132" s="1" t="s">
        <v>408</v>
      </c>
      <c r="AF132" s="1" t="s">
        <v>409</v>
      </c>
      <c r="AG132" s="1" t="s">
        <v>410</v>
      </c>
      <c r="AH132" s="1" t="s">
        <v>411</v>
      </c>
    </row>
    <row r="133" spans="1:34" ht="120" x14ac:dyDescent="0.25">
      <c r="A133" s="1">
        <v>132</v>
      </c>
      <c r="D133" s="4" t="s">
        <v>1790</v>
      </c>
      <c r="E133" s="1" t="s">
        <v>1173</v>
      </c>
      <c r="F133" s="1" t="s">
        <v>1174</v>
      </c>
      <c r="G133" s="1" t="s">
        <v>1175</v>
      </c>
      <c r="AA133" s="6" t="s">
        <v>404</v>
      </c>
      <c r="AB133" s="6" t="s">
        <v>405</v>
      </c>
      <c r="AC133" s="6" t="s">
        <v>406</v>
      </c>
      <c r="AD133" s="1" t="s">
        <v>407</v>
      </c>
      <c r="AE133" s="1" t="s">
        <v>408</v>
      </c>
      <c r="AF133" s="1" t="s">
        <v>409</v>
      </c>
      <c r="AG133" s="1" t="s">
        <v>410</v>
      </c>
      <c r="AH133" s="1" t="s">
        <v>411</v>
      </c>
    </row>
    <row r="134" spans="1:34" ht="255" x14ac:dyDescent="0.25">
      <c r="A134" s="1">
        <v>133</v>
      </c>
      <c r="D134" s="4" t="s">
        <v>1791</v>
      </c>
      <c r="E134" s="1" t="s">
        <v>1176</v>
      </c>
      <c r="F134" s="1" t="s">
        <v>1177</v>
      </c>
      <c r="G134" s="1" t="s">
        <v>1178</v>
      </c>
      <c r="AA134" s="6" t="s">
        <v>404</v>
      </c>
      <c r="AB134" s="6" t="s">
        <v>405</v>
      </c>
      <c r="AC134" s="6" t="s">
        <v>406</v>
      </c>
      <c r="AD134" s="1" t="s">
        <v>407</v>
      </c>
      <c r="AE134" s="1" t="s">
        <v>408</v>
      </c>
      <c r="AF134" s="1" t="s">
        <v>409</v>
      </c>
      <c r="AG134" s="1" t="s">
        <v>410</v>
      </c>
      <c r="AH134" s="1" t="s">
        <v>411</v>
      </c>
    </row>
    <row r="135" spans="1:34" ht="165" x14ac:dyDescent="0.25">
      <c r="A135" s="1">
        <v>134</v>
      </c>
      <c r="D135" s="4" t="s">
        <v>1792</v>
      </c>
      <c r="E135" s="1" t="s">
        <v>1206</v>
      </c>
      <c r="F135" s="1" t="s">
        <v>1204</v>
      </c>
      <c r="G135" s="1" t="s">
        <v>1207</v>
      </c>
      <c r="AA135" s="6" t="s">
        <v>404</v>
      </c>
      <c r="AB135" s="6" t="s">
        <v>405</v>
      </c>
      <c r="AC135" s="6" t="s">
        <v>406</v>
      </c>
      <c r="AD135" s="1" t="s">
        <v>407</v>
      </c>
      <c r="AE135" s="1" t="s">
        <v>408</v>
      </c>
      <c r="AF135" s="1" t="s">
        <v>409</v>
      </c>
      <c r="AG135" s="1" t="s">
        <v>410</v>
      </c>
      <c r="AH135" s="1" t="s">
        <v>411</v>
      </c>
    </row>
    <row r="136" spans="1:34" ht="60" x14ac:dyDescent="0.25">
      <c r="A136" s="1">
        <v>135</v>
      </c>
      <c r="D136" s="4" t="s">
        <v>1793</v>
      </c>
      <c r="E136" s="1" t="s">
        <v>1633</v>
      </c>
      <c r="F136" s="1" t="s">
        <v>981</v>
      </c>
      <c r="G136" s="1" t="s">
        <v>1650</v>
      </c>
      <c r="AA136" s="6" t="s">
        <v>404</v>
      </c>
      <c r="AB136" s="6" t="s">
        <v>405</v>
      </c>
      <c r="AC136" s="6" t="s">
        <v>406</v>
      </c>
      <c r="AD136" s="1" t="s">
        <v>407</v>
      </c>
      <c r="AE136" s="1" t="s">
        <v>408</v>
      </c>
      <c r="AF136" s="1" t="s">
        <v>409</v>
      </c>
      <c r="AG136" s="1" t="s">
        <v>410</v>
      </c>
      <c r="AH136" s="1" t="s">
        <v>411</v>
      </c>
    </row>
    <row r="137" spans="1:34" ht="105" x14ac:dyDescent="0.25">
      <c r="A137" s="1">
        <v>136</v>
      </c>
      <c r="D137" s="4" t="s">
        <v>1794</v>
      </c>
      <c r="E137" s="1" t="s">
        <v>1634</v>
      </c>
      <c r="F137" s="1" t="s">
        <v>1654</v>
      </c>
      <c r="G137" s="1" t="s">
        <v>1639</v>
      </c>
      <c r="AA137" s="6" t="s">
        <v>404</v>
      </c>
      <c r="AB137" s="6" t="s">
        <v>405</v>
      </c>
      <c r="AC137" s="6" t="s">
        <v>406</v>
      </c>
      <c r="AD137" s="1" t="s">
        <v>407</v>
      </c>
      <c r="AE137" s="1" t="s">
        <v>408</v>
      </c>
      <c r="AF137" s="1" t="s">
        <v>409</v>
      </c>
      <c r="AG137" s="1" t="s">
        <v>410</v>
      </c>
      <c r="AH137" s="1" t="s">
        <v>411</v>
      </c>
    </row>
    <row r="138" spans="1:34" ht="45" x14ac:dyDescent="0.25">
      <c r="A138" s="1">
        <v>137</v>
      </c>
      <c r="D138" s="4" t="s">
        <v>1795</v>
      </c>
      <c r="E138" s="1" t="s">
        <v>1108</v>
      </c>
      <c r="F138" s="1" t="s">
        <v>538</v>
      </c>
      <c r="G138" s="1" t="s">
        <v>556</v>
      </c>
      <c r="AA138" s="6" t="s">
        <v>404</v>
      </c>
      <c r="AB138" s="6" t="s">
        <v>405</v>
      </c>
      <c r="AC138" s="6" t="s">
        <v>406</v>
      </c>
      <c r="AD138" s="1" t="s">
        <v>407</v>
      </c>
      <c r="AE138" s="1" t="s">
        <v>408</v>
      </c>
      <c r="AF138" s="1" t="s">
        <v>409</v>
      </c>
      <c r="AG138" s="1" t="s">
        <v>410</v>
      </c>
      <c r="AH138" s="1" t="s">
        <v>411</v>
      </c>
    </row>
    <row r="139" spans="1:34" ht="45" x14ac:dyDescent="0.25">
      <c r="A139" s="1">
        <v>138</v>
      </c>
      <c r="D139" s="4" t="s">
        <v>1796</v>
      </c>
      <c r="E139" s="1" t="s">
        <v>1109</v>
      </c>
      <c r="F139" s="1" t="s">
        <v>542</v>
      </c>
      <c r="G139" s="1" t="s">
        <v>556</v>
      </c>
      <c r="AA139" s="6" t="s">
        <v>404</v>
      </c>
      <c r="AB139" s="6" t="s">
        <v>405</v>
      </c>
      <c r="AC139" s="6" t="s">
        <v>406</v>
      </c>
      <c r="AD139" s="1" t="s">
        <v>407</v>
      </c>
      <c r="AE139" s="1" t="s">
        <v>408</v>
      </c>
      <c r="AF139" s="1" t="s">
        <v>409</v>
      </c>
      <c r="AG139" s="1" t="s">
        <v>410</v>
      </c>
      <c r="AH139" s="1" t="s">
        <v>411</v>
      </c>
    </row>
    <row r="140" spans="1:34" ht="45" x14ac:dyDescent="0.25">
      <c r="A140" s="1">
        <v>139</v>
      </c>
      <c r="D140" s="4" t="s">
        <v>1797</v>
      </c>
      <c r="E140" s="1" t="s">
        <v>1110</v>
      </c>
      <c r="F140" s="1" t="s">
        <v>544</v>
      </c>
      <c r="G140" s="1" t="s">
        <v>556</v>
      </c>
      <c r="AA140" s="6" t="s">
        <v>404</v>
      </c>
      <c r="AB140" s="6" t="s">
        <v>405</v>
      </c>
      <c r="AC140" s="6" t="s">
        <v>406</v>
      </c>
      <c r="AD140" s="1" t="s">
        <v>407</v>
      </c>
      <c r="AE140" s="1" t="s">
        <v>408</v>
      </c>
      <c r="AF140" s="1" t="s">
        <v>409</v>
      </c>
      <c r="AG140" s="1" t="s">
        <v>410</v>
      </c>
      <c r="AH140" s="1" t="s">
        <v>411</v>
      </c>
    </row>
    <row r="141" spans="1:34" ht="75" x14ac:dyDescent="0.25">
      <c r="A141" s="1">
        <v>140</v>
      </c>
      <c r="D141" s="4" t="s">
        <v>1798</v>
      </c>
      <c r="E141" s="1" t="s">
        <v>1118</v>
      </c>
      <c r="F141" s="1" t="s">
        <v>1119</v>
      </c>
      <c r="G141" s="1" t="s">
        <v>1120</v>
      </c>
      <c r="AA141" s="6" t="s">
        <v>404</v>
      </c>
      <c r="AB141" s="6" t="s">
        <v>405</v>
      </c>
      <c r="AC141" s="6" t="s">
        <v>406</v>
      </c>
      <c r="AD141" s="1" t="s">
        <v>407</v>
      </c>
      <c r="AE141" s="1" t="s">
        <v>408</v>
      </c>
      <c r="AF141" s="1" t="s">
        <v>409</v>
      </c>
      <c r="AG141" s="1" t="s">
        <v>410</v>
      </c>
      <c r="AH141" s="1" t="s">
        <v>411</v>
      </c>
    </row>
    <row r="142" spans="1:34" ht="75" x14ac:dyDescent="0.25">
      <c r="A142" s="1">
        <v>141</v>
      </c>
      <c r="D142" s="4" t="s">
        <v>1799</v>
      </c>
      <c r="E142" s="1" t="s">
        <v>1124</v>
      </c>
      <c r="F142" s="1" t="s">
        <v>1125</v>
      </c>
      <c r="G142" s="1" t="s">
        <v>1126</v>
      </c>
      <c r="AA142" s="6" t="s">
        <v>404</v>
      </c>
      <c r="AB142" s="6" t="s">
        <v>405</v>
      </c>
      <c r="AC142" s="6" t="s">
        <v>406</v>
      </c>
      <c r="AD142" s="1" t="s">
        <v>407</v>
      </c>
      <c r="AE142" s="1" t="s">
        <v>408</v>
      </c>
      <c r="AF142" s="1" t="s">
        <v>409</v>
      </c>
      <c r="AG142" s="1" t="s">
        <v>410</v>
      </c>
      <c r="AH142" s="1" t="s">
        <v>411</v>
      </c>
    </row>
    <row r="143" spans="1:34" ht="90" x14ac:dyDescent="0.25">
      <c r="A143" s="1">
        <v>142</v>
      </c>
      <c r="D143" s="4" t="s">
        <v>1800</v>
      </c>
      <c r="E143" s="1" t="s">
        <v>1168</v>
      </c>
      <c r="F143" s="1" t="s">
        <v>1169</v>
      </c>
      <c r="G143" s="1" t="s">
        <v>1170</v>
      </c>
      <c r="AA143" s="6" t="s">
        <v>404</v>
      </c>
      <c r="AB143" s="6" t="s">
        <v>405</v>
      </c>
      <c r="AC143" s="6" t="s">
        <v>406</v>
      </c>
      <c r="AD143" s="1" t="s">
        <v>407</v>
      </c>
      <c r="AE143" s="1" t="s">
        <v>408</v>
      </c>
      <c r="AF143" s="1" t="s">
        <v>409</v>
      </c>
      <c r="AG143" s="1" t="s">
        <v>410</v>
      </c>
      <c r="AH143" s="1" t="s">
        <v>411</v>
      </c>
    </row>
    <row r="144" spans="1:34" ht="255" x14ac:dyDescent="0.25">
      <c r="A144" s="1">
        <v>143</v>
      </c>
      <c r="D144" s="4" t="s">
        <v>1801</v>
      </c>
      <c r="E144" s="1" t="s">
        <v>1655</v>
      </c>
      <c r="F144" s="1" t="s">
        <v>1180</v>
      </c>
      <c r="G144" s="1" t="s">
        <v>1178</v>
      </c>
      <c r="AA144" s="6" t="s">
        <v>404</v>
      </c>
      <c r="AB144" s="6" t="s">
        <v>405</v>
      </c>
      <c r="AC144" s="6" t="s">
        <v>406</v>
      </c>
      <c r="AD144" s="1" t="s">
        <v>407</v>
      </c>
      <c r="AE144" s="1" t="s">
        <v>408</v>
      </c>
      <c r="AF144" s="1" t="s">
        <v>409</v>
      </c>
      <c r="AG144" s="1" t="s">
        <v>410</v>
      </c>
      <c r="AH144" s="1" t="s">
        <v>411</v>
      </c>
    </row>
    <row r="145" spans="1:34" ht="270" x14ac:dyDescent="0.25">
      <c r="A145" s="1">
        <v>144</v>
      </c>
      <c r="D145" s="4" t="s">
        <v>1802</v>
      </c>
      <c r="E145" s="1" t="s">
        <v>1181</v>
      </c>
      <c r="F145" s="1" t="s">
        <v>1182</v>
      </c>
      <c r="G145" s="1" t="s">
        <v>1183</v>
      </c>
      <c r="AA145" s="6" t="s">
        <v>404</v>
      </c>
      <c r="AB145" s="6" t="s">
        <v>405</v>
      </c>
      <c r="AC145" s="6" t="s">
        <v>406</v>
      </c>
      <c r="AD145" s="1" t="s">
        <v>407</v>
      </c>
      <c r="AE145" s="1" t="s">
        <v>408</v>
      </c>
      <c r="AF145" s="1" t="s">
        <v>409</v>
      </c>
      <c r="AG145" s="1" t="s">
        <v>410</v>
      </c>
      <c r="AH145" s="1" t="s">
        <v>411</v>
      </c>
    </row>
    <row r="146" spans="1:34" ht="270" x14ac:dyDescent="0.25">
      <c r="A146" s="1">
        <v>145</v>
      </c>
      <c r="D146" s="4" t="s">
        <v>1803</v>
      </c>
      <c r="E146" s="1" t="s">
        <v>1184</v>
      </c>
      <c r="F146" s="1" t="s">
        <v>1185</v>
      </c>
      <c r="G146" s="1" t="s">
        <v>1183</v>
      </c>
      <c r="AA146" s="6" t="s">
        <v>404</v>
      </c>
      <c r="AB146" s="6" t="s">
        <v>405</v>
      </c>
      <c r="AC146" s="6" t="s">
        <v>406</v>
      </c>
      <c r="AD146" s="1" t="s">
        <v>407</v>
      </c>
      <c r="AE146" s="1" t="s">
        <v>408</v>
      </c>
      <c r="AF146" s="1" t="s">
        <v>409</v>
      </c>
      <c r="AG146" s="1" t="s">
        <v>410</v>
      </c>
      <c r="AH146" s="1" t="s">
        <v>411</v>
      </c>
    </row>
    <row r="147" spans="1:34" ht="255" x14ac:dyDescent="0.25">
      <c r="A147" s="1">
        <v>146</v>
      </c>
      <c r="D147" s="4" t="s">
        <v>1804</v>
      </c>
      <c r="E147" s="1" t="s">
        <v>1186</v>
      </c>
      <c r="F147" s="1" t="s">
        <v>1187</v>
      </c>
      <c r="G147" s="1" t="s">
        <v>1188</v>
      </c>
      <c r="AA147" s="6" t="s">
        <v>404</v>
      </c>
      <c r="AB147" s="6" t="s">
        <v>405</v>
      </c>
      <c r="AC147" s="6" t="s">
        <v>406</v>
      </c>
      <c r="AD147" s="1" t="s">
        <v>407</v>
      </c>
      <c r="AE147" s="1" t="s">
        <v>408</v>
      </c>
      <c r="AF147" s="1" t="s">
        <v>409</v>
      </c>
      <c r="AG147" s="1" t="s">
        <v>410</v>
      </c>
      <c r="AH147" s="1" t="s">
        <v>411</v>
      </c>
    </row>
    <row r="148" spans="1:34" ht="255" x14ac:dyDescent="0.25">
      <c r="A148" s="1">
        <v>147</v>
      </c>
      <c r="D148" s="4" t="s">
        <v>1805</v>
      </c>
      <c r="E148" s="1" t="s">
        <v>1189</v>
      </c>
      <c r="F148" s="1" t="s">
        <v>1190</v>
      </c>
      <c r="G148" s="1" t="s">
        <v>1188</v>
      </c>
      <c r="AA148" s="6" t="s">
        <v>404</v>
      </c>
      <c r="AB148" s="6" t="s">
        <v>405</v>
      </c>
      <c r="AC148" s="6" t="s">
        <v>406</v>
      </c>
      <c r="AD148" s="1" t="s">
        <v>407</v>
      </c>
      <c r="AE148" s="1" t="s">
        <v>408</v>
      </c>
      <c r="AF148" s="1" t="s">
        <v>409</v>
      </c>
      <c r="AG148" s="1" t="s">
        <v>410</v>
      </c>
      <c r="AH148" s="1" t="s">
        <v>411</v>
      </c>
    </row>
    <row r="149" spans="1:34" ht="225" x14ac:dyDescent="0.25">
      <c r="A149" s="1">
        <v>148</v>
      </c>
      <c r="D149" s="4" t="s">
        <v>1806</v>
      </c>
      <c r="E149" s="1" t="s">
        <v>1191</v>
      </c>
      <c r="F149" s="1" t="s">
        <v>1192</v>
      </c>
      <c r="G149" s="1" t="s">
        <v>1193</v>
      </c>
      <c r="AA149" s="6" t="s">
        <v>404</v>
      </c>
      <c r="AB149" s="6" t="s">
        <v>405</v>
      </c>
      <c r="AC149" s="6" t="s">
        <v>406</v>
      </c>
      <c r="AD149" s="1" t="s">
        <v>407</v>
      </c>
      <c r="AE149" s="1" t="s">
        <v>408</v>
      </c>
      <c r="AF149" s="1" t="s">
        <v>409</v>
      </c>
      <c r="AG149" s="1" t="s">
        <v>410</v>
      </c>
      <c r="AH149" s="1" t="s">
        <v>411</v>
      </c>
    </row>
    <row r="150" spans="1:34" ht="225" x14ac:dyDescent="0.25">
      <c r="A150" s="1">
        <v>149</v>
      </c>
      <c r="D150" s="4" t="s">
        <v>1807</v>
      </c>
      <c r="E150" s="1" t="s">
        <v>1194</v>
      </c>
      <c r="F150" s="1" t="s">
        <v>1192</v>
      </c>
      <c r="G150" s="1" t="s">
        <v>1193</v>
      </c>
      <c r="AA150" s="6" t="s">
        <v>404</v>
      </c>
      <c r="AB150" s="6" t="s">
        <v>405</v>
      </c>
      <c r="AC150" s="6" t="s">
        <v>406</v>
      </c>
      <c r="AD150" s="1" t="s">
        <v>407</v>
      </c>
      <c r="AE150" s="1" t="s">
        <v>408</v>
      </c>
      <c r="AF150" s="1" t="s">
        <v>409</v>
      </c>
      <c r="AG150" s="1" t="s">
        <v>410</v>
      </c>
      <c r="AH150" s="1" t="s">
        <v>411</v>
      </c>
    </row>
    <row r="151" spans="1:34" ht="210" x14ac:dyDescent="0.25">
      <c r="A151" s="1">
        <v>150</v>
      </c>
      <c r="D151" s="4" t="s">
        <v>1808</v>
      </c>
      <c r="E151" s="1" t="s">
        <v>1195</v>
      </c>
      <c r="F151" s="1" t="s">
        <v>1196</v>
      </c>
      <c r="G151" s="1" t="s">
        <v>1197</v>
      </c>
      <c r="AA151" s="6" t="s">
        <v>404</v>
      </c>
      <c r="AB151" s="6" t="s">
        <v>405</v>
      </c>
      <c r="AC151" s="6" t="s">
        <v>406</v>
      </c>
      <c r="AD151" s="1" t="s">
        <v>407</v>
      </c>
      <c r="AE151" s="1" t="s">
        <v>408</v>
      </c>
      <c r="AF151" s="1" t="s">
        <v>409</v>
      </c>
      <c r="AG151" s="1" t="s">
        <v>410</v>
      </c>
      <c r="AH151" s="1" t="s">
        <v>411</v>
      </c>
    </row>
    <row r="152" spans="1:34" ht="210" x14ac:dyDescent="0.25">
      <c r="A152" s="1">
        <v>151</v>
      </c>
      <c r="D152" s="4" t="s">
        <v>1809</v>
      </c>
      <c r="E152" s="1" t="s">
        <v>1198</v>
      </c>
      <c r="F152" s="1" t="s">
        <v>1199</v>
      </c>
      <c r="G152" s="1" t="s">
        <v>1197</v>
      </c>
      <c r="AA152" s="6" t="s">
        <v>404</v>
      </c>
      <c r="AB152" s="6" t="s">
        <v>405</v>
      </c>
      <c r="AC152" s="6" t="s">
        <v>406</v>
      </c>
      <c r="AD152" s="1" t="s">
        <v>407</v>
      </c>
      <c r="AE152" s="1" t="s">
        <v>408</v>
      </c>
      <c r="AF152" s="1" t="s">
        <v>409</v>
      </c>
      <c r="AG152" s="1" t="s">
        <v>410</v>
      </c>
      <c r="AH152" s="1" t="s">
        <v>411</v>
      </c>
    </row>
    <row r="153" spans="1:34" ht="240" x14ac:dyDescent="0.25">
      <c r="A153" s="1">
        <v>152</v>
      </c>
      <c r="D153" s="4" t="s">
        <v>1810</v>
      </c>
      <c r="E153" s="1" t="s">
        <v>1200</v>
      </c>
      <c r="F153" s="1" t="s">
        <v>1201</v>
      </c>
      <c r="G153" s="1" t="s">
        <v>1202</v>
      </c>
      <c r="AA153" s="6" t="s">
        <v>404</v>
      </c>
      <c r="AB153" s="6" t="s">
        <v>405</v>
      </c>
      <c r="AC153" s="6" t="s">
        <v>406</v>
      </c>
      <c r="AD153" s="1" t="s">
        <v>407</v>
      </c>
      <c r="AE153" s="1" t="s">
        <v>408</v>
      </c>
      <c r="AF153" s="1" t="s">
        <v>409</v>
      </c>
      <c r="AG153" s="1" t="s">
        <v>410</v>
      </c>
      <c r="AH153" s="1" t="s">
        <v>411</v>
      </c>
    </row>
  </sheetData>
  <autoFilter ref="A1:AM101" xr:uid="{6E645A5C-F0A2-441C-8DBD-6B6295C119FD}"/>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49DE5-87B3-4BD2-87B1-A5CBA26E8B81}">
  <sheetPr>
    <tabColor rgb="FF92D050"/>
  </sheetPr>
  <dimension ref="A1:U22"/>
  <sheetViews>
    <sheetView zoomScale="85" zoomScaleNormal="85" workbookViewId="0">
      <pane ySplit="1" topLeftCell="A2" activePane="bottomLeft" state="frozen"/>
      <selection activeCell="D9" sqref="D9"/>
      <selection pane="bottomLeft" activeCell="E3" sqref="E3"/>
    </sheetView>
  </sheetViews>
  <sheetFormatPr defaultRowHeight="15" x14ac:dyDescent="0.25"/>
  <cols>
    <col min="1" max="1" width="3.140625" style="4" bestFit="1" customWidth="1"/>
    <col min="2" max="3" width="9.140625" style="3"/>
    <col min="4" max="4" width="24" style="4" bestFit="1"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46" t="s">
        <v>0</v>
      </c>
      <c r="B1" s="47" t="s">
        <v>1</v>
      </c>
      <c r="C1" s="47" t="s">
        <v>1496</v>
      </c>
      <c r="D1" s="47" t="s">
        <v>3</v>
      </c>
      <c r="E1" s="47" t="s">
        <v>4</v>
      </c>
      <c r="F1" s="47" t="s">
        <v>5</v>
      </c>
      <c r="G1" s="47" t="s">
        <v>6</v>
      </c>
      <c r="H1" s="47" t="s">
        <v>7</v>
      </c>
      <c r="I1" s="48" t="s">
        <v>8</v>
      </c>
      <c r="J1" s="49" t="s">
        <v>9</v>
      </c>
      <c r="K1" s="49" t="s">
        <v>10</v>
      </c>
      <c r="L1" s="49" t="s">
        <v>11</v>
      </c>
      <c r="M1" s="49" t="s">
        <v>12</v>
      </c>
      <c r="N1" s="49" t="s">
        <v>13</v>
      </c>
      <c r="O1" s="49" t="s">
        <v>14</v>
      </c>
      <c r="P1" s="50" t="s">
        <v>15</v>
      </c>
      <c r="Q1" s="50" t="s">
        <v>16</v>
      </c>
      <c r="R1" s="26" t="s">
        <v>1484</v>
      </c>
      <c r="S1" s="26" t="s">
        <v>1485</v>
      </c>
      <c r="T1" s="26" t="s">
        <v>1486</v>
      </c>
      <c r="U1" s="26" t="s">
        <v>1487</v>
      </c>
    </row>
    <row r="2" spans="1:21" ht="75" x14ac:dyDescent="0.25">
      <c r="A2" s="51">
        <v>1</v>
      </c>
      <c r="B2" s="52" t="str">
        <f>C2</f>
        <v>Y</v>
      </c>
      <c r="C2" s="52" t="s">
        <v>17</v>
      </c>
      <c r="D2" s="52" t="s">
        <v>18</v>
      </c>
      <c r="E2" s="52" t="s">
        <v>638</v>
      </c>
      <c r="F2" s="52" t="s">
        <v>20</v>
      </c>
      <c r="G2" s="52" t="s">
        <v>21</v>
      </c>
      <c r="H2" s="53">
        <v>200</v>
      </c>
      <c r="I2" s="52" t="s">
        <v>22</v>
      </c>
      <c r="J2" s="52" t="s">
        <v>23</v>
      </c>
      <c r="K2" s="52" t="s">
        <v>1845</v>
      </c>
      <c r="L2" s="52" t="s">
        <v>1846</v>
      </c>
      <c r="M2" s="54" t="s">
        <v>632</v>
      </c>
      <c r="N2" s="52" t="s">
        <v>633</v>
      </c>
      <c r="O2" s="52" t="s">
        <v>23</v>
      </c>
      <c r="P2" s="55">
        <v>200061858667</v>
      </c>
      <c r="Q2" s="52" t="s">
        <v>27</v>
      </c>
    </row>
    <row r="3" spans="1:21" ht="75" x14ac:dyDescent="0.25">
      <c r="A3" s="51">
        <v>2</v>
      </c>
      <c r="B3" s="52" t="str">
        <f t="shared" ref="B3:B22" si="0">C3</f>
        <v>Y</v>
      </c>
      <c r="C3" s="52" t="s">
        <v>17</v>
      </c>
      <c r="D3" s="52" t="s">
        <v>28</v>
      </c>
      <c r="E3" s="52" t="s">
        <v>639</v>
      </c>
      <c r="F3" s="52" t="s">
        <v>30</v>
      </c>
      <c r="G3" s="52" t="s">
        <v>31</v>
      </c>
      <c r="H3" s="53">
        <v>401</v>
      </c>
      <c r="I3" s="52" t="s">
        <v>22</v>
      </c>
      <c r="J3" s="52" t="s">
        <v>23</v>
      </c>
      <c r="K3" s="52" t="s">
        <v>1845</v>
      </c>
      <c r="L3" s="52" t="s">
        <v>1846</v>
      </c>
      <c r="M3" s="54" t="s">
        <v>632</v>
      </c>
      <c r="N3" s="52" t="s">
        <v>633</v>
      </c>
      <c r="O3" s="52" t="s">
        <v>23</v>
      </c>
      <c r="P3" s="55">
        <v>200061858667</v>
      </c>
      <c r="Q3" s="52" t="s">
        <v>27</v>
      </c>
    </row>
    <row r="4" spans="1:21" ht="75" x14ac:dyDescent="0.25">
      <c r="A4" s="51">
        <v>3</v>
      </c>
      <c r="B4" s="52" t="str">
        <f t="shared" si="0"/>
        <v>Y</v>
      </c>
      <c r="C4" s="52" t="s">
        <v>17</v>
      </c>
      <c r="D4" s="52" t="s">
        <v>32</v>
      </c>
      <c r="E4" s="52" t="s">
        <v>640</v>
      </c>
      <c r="F4" s="52" t="s">
        <v>34</v>
      </c>
      <c r="G4" s="52" t="s">
        <v>35</v>
      </c>
      <c r="H4" s="53">
        <v>401</v>
      </c>
      <c r="I4" s="52" t="s">
        <v>22</v>
      </c>
      <c r="J4" s="52" t="s">
        <v>23</v>
      </c>
      <c r="K4" s="52" t="s">
        <v>1845</v>
      </c>
      <c r="L4" s="52" t="s">
        <v>1846</v>
      </c>
      <c r="M4" s="54" t="s">
        <v>632</v>
      </c>
      <c r="N4" s="52" t="s">
        <v>633</v>
      </c>
      <c r="O4" s="52" t="s">
        <v>23</v>
      </c>
      <c r="P4" s="55">
        <v>200061858667</v>
      </c>
      <c r="Q4" s="52" t="s">
        <v>27</v>
      </c>
    </row>
    <row r="5" spans="1:21" ht="75" x14ac:dyDescent="0.25">
      <c r="A5" s="51">
        <v>4</v>
      </c>
      <c r="B5" s="52" t="str">
        <f t="shared" si="0"/>
        <v>Y</v>
      </c>
      <c r="C5" s="52" t="s">
        <v>17</v>
      </c>
      <c r="D5" s="52" t="s">
        <v>36</v>
      </c>
      <c r="E5" s="52" t="s">
        <v>641</v>
      </c>
      <c r="F5" s="52" t="s">
        <v>38</v>
      </c>
      <c r="G5" s="52" t="s">
        <v>35</v>
      </c>
      <c r="H5" s="53">
        <v>401</v>
      </c>
      <c r="I5" s="52" t="s">
        <v>22</v>
      </c>
      <c r="J5" s="52" t="s">
        <v>23</v>
      </c>
      <c r="K5" s="52" t="s">
        <v>1845</v>
      </c>
      <c r="L5" s="52" t="s">
        <v>1846</v>
      </c>
      <c r="M5" s="54" t="s">
        <v>632</v>
      </c>
      <c r="N5" s="52" t="s">
        <v>633</v>
      </c>
      <c r="O5" s="52" t="s">
        <v>23</v>
      </c>
      <c r="P5" s="55">
        <v>200061858667</v>
      </c>
      <c r="Q5" s="52" t="s">
        <v>27</v>
      </c>
    </row>
    <row r="6" spans="1:21" ht="75" x14ac:dyDescent="0.25">
      <c r="A6" s="51">
        <v>5</v>
      </c>
      <c r="B6" s="52" t="str">
        <f t="shared" si="0"/>
        <v>Y</v>
      </c>
      <c r="C6" s="52" t="s">
        <v>17</v>
      </c>
      <c r="D6" s="52" t="s">
        <v>39</v>
      </c>
      <c r="E6" s="52" t="s">
        <v>642</v>
      </c>
      <c r="F6" s="52" t="s">
        <v>41</v>
      </c>
      <c r="G6" s="52" t="s">
        <v>35</v>
      </c>
      <c r="H6" s="53">
        <v>401</v>
      </c>
      <c r="I6" s="52" t="s">
        <v>22</v>
      </c>
      <c r="J6" s="52" t="s">
        <v>23</v>
      </c>
      <c r="K6" s="52" t="s">
        <v>1845</v>
      </c>
      <c r="L6" s="52" t="s">
        <v>1846</v>
      </c>
      <c r="M6" s="54" t="s">
        <v>632</v>
      </c>
      <c r="N6" s="52" t="s">
        <v>633</v>
      </c>
      <c r="O6" s="52" t="s">
        <v>23</v>
      </c>
      <c r="P6" s="55">
        <v>200061858667</v>
      </c>
      <c r="Q6" s="52" t="s">
        <v>27</v>
      </c>
    </row>
    <row r="7" spans="1:21" ht="90" x14ac:dyDescent="0.25">
      <c r="A7" s="51">
        <v>6</v>
      </c>
      <c r="B7" s="52" t="str">
        <f t="shared" si="0"/>
        <v>Y</v>
      </c>
      <c r="C7" s="52" t="s">
        <v>17</v>
      </c>
      <c r="D7" s="52" t="s">
        <v>42</v>
      </c>
      <c r="E7" s="52" t="s">
        <v>643</v>
      </c>
      <c r="F7" s="52" t="s">
        <v>44</v>
      </c>
      <c r="G7" s="52" t="s">
        <v>45</v>
      </c>
      <c r="H7" s="53">
        <v>401</v>
      </c>
      <c r="I7" s="52" t="s">
        <v>22</v>
      </c>
      <c r="J7" s="52" t="s">
        <v>23</v>
      </c>
      <c r="K7" s="52" t="s">
        <v>1845</v>
      </c>
      <c r="L7" s="52" t="s">
        <v>1846</v>
      </c>
      <c r="M7" s="54" t="s">
        <v>632</v>
      </c>
      <c r="N7" s="52" t="s">
        <v>633</v>
      </c>
      <c r="O7" s="52" t="s">
        <v>23</v>
      </c>
      <c r="P7" s="55">
        <v>200061858667</v>
      </c>
      <c r="Q7" s="52" t="s">
        <v>27</v>
      </c>
    </row>
    <row r="8" spans="1:21" ht="90" x14ac:dyDescent="0.25">
      <c r="A8" s="51">
        <v>7</v>
      </c>
      <c r="B8" s="52" t="str">
        <f t="shared" si="0"/>
        <v>Y</v>
      </c>
      <c r="C8" s="52" t="s">
        <v>17</v>
      </c>
      <c r="D8" s="52" t="s">
        <v>47</v>
      </c>
      <c r="E8" s="52" t="s">
        <v>644</v>
      </c>
      <c r="F8" s="52" t="s">
        <v>49</v>
      </c>
      <c r="G8" s="52" t="s">
        <v>50</v>
      </c>
      <c r="H8" s="53">
        <v>401</v>
      </c>
      <c r="I8" s="52" t="s">
        <v>22</v>
      </c>
      <c r="J8" s="52" t="s">
        <v>23</v>
      </c>
      <c r="K8" s="52" t="s">
        <v>1845</v>
      </c>
      <c r="L8" s="52" t="s">
        <v>1846</v>
      </c>
      <c r="M8" s="54" t="s">
        <v>632</v>
      </c>
      <c r="N8" s="52" t="s">
        <v>633</v>
      </c>
      <c r="O8" s="52" t="s">
        <v>23</v>
      </c>
      <c r="P8" s="55">
        <v>200061858667</v>
      </c>
      <c r="Q8" s="52" t="s">
        <v>27</v>
      </c>
    </row>
    <row r="9" spans="1:21" ht="225" x14ac:dyDescent="0.25">
      <c r="A9" s="51">
        <v>9</v>
      </c>
      <c r="B9" s="52" t="str">
        <f t="shared" si="0"/>
        <v>Y</v>
      </c>
      <c r="C9" s="52" t="s">
        <v>17</v>
      </c>
      <c r="D9" s="56" t="s">
        <v>1537</v>
      </c>
      <c r="E9" s="45" t="s">
        <v>1538</v>
      </c>
      <c r="F9" s="52" t="s">
        <v>1539</v>
      </c>
      <c r="G9" s="52" t="s">
        <v>1540</v>
      </c>
      <c r="H9" s="51">
        <v>403</v>
      </c>
      <c r="I9" s="52" t="s">
        <v>22</v>
      </c>
      <c r="J9" s="52" t="s">
        <v>23</v>
      </c>
      <c r="K9" s="52" t="s">
        <v>1845</v>
      </c>
      <c r="L9" s="52" t="s">
        <v>1846</v>
      </c>
      <c r="M9" s="54" t="s">
        <v>632</v>
      </c>
      <c r="N9" s="52" t="s">
        <v>633</v>
      </c>
      <c r="O9" s="52" t="s">
        <v>23</v>
      </c>
      <c r="P9" s="55">
        <v>200061858667</v>
      </c>
      <c r="Q9" s="52" t="s">
        <v>27</v>
      </c>
    </row>
    <row r="10" spans="1:21" ht="210" x14ac:dyDescent="0.25">
      <c r="A10" s="51">
        <v>10</v>
      </c>
      <c r="B10" s="52" t="str">
        <f t="shared" si="0"/>
        <v>Y</v>
      </c>
      <c r="C10" s="52" t="s">
        <v>17</v>
      </c>
      <c r="D10" s="56" t="s">
        <v>1541</v>
      </c>
      <c r="E10" s="45" t="s">
        <v>1542</v>
      </c>
      <c r="F10" s="52" t="s">
        <v>1503</v>
      </c>
      <c r="G10" s="57" t="s">
        <v>1504</v>
      </c>
      <c r="H10" s="51">
        <v>403</v>
      </c>
      <c r="I10" s="52" t="s">
        <v>22</v>
      </c>
      <c r="J10" s="52" t="s">
        <v>23</v>
      </c>
      <c r="K10" s="52" t="s">
        <v>1845</v>
      </c>
      <c r="L10" s="52" t="s">
        <v>1846</v>
      </c>
      <c r="M10" s="54" t="s">
        <v>632</v>
      </c>
      <c r="N10" s="52" t="s">
        <v>633</v>
      </c>
      <c r="O10" s="52" t="s">
        <v>23</v>
      </c>
      <c r="P10" s="55">
        <v>200061858667</v>
      </c>
      <c r="Q10" s="52" t="s">
        <v>27</v>
      </c>
    </row>
    <row r="11" spans="1:21" ht="60" x14ac:dyDescent="0.25">
      <c r="A11" s="51">
        <v>11</v>
      </c>
      <c r="B11" s="52" t="str">
        <f t="shared" si="0"/>
        <v>Y</v>
      </c>
      <c r="C11" s="52" t="s">
        <v>17</v>
      </c>
      <c r="D11" s="56" t="s">
        <v>1543</v>
      </c>
      <c r="E11" s="45" t="s">
        <v>1544</v>
      </c>
      <c r="F11" s="52" t="s">
        <v>53</v>
      </c>
      <c r="G11" s="52" t="s">
        <v>1536</v>
      </c>
      <c r="H11" s="51">
        <v>200</v>
      </c>
      <c r="I11" s="52" t="s">
        <v>22</v>
      </c>
      <c r="J11" s="52" t="s">
        <v>23</v>
      </c>
      <c r="K11" s="52" t="s">
        <v>1845</v>
      </c>
      <c r="L11" s="52" t="s">
        <v>1846</v>
      </c>
      <c r="M11" s="54" t="s">
        <v>632</v>
      </c>
      <c r="N11" s="52" t="s">
        <v>633</v>
      </c>
      <c r="O11" s="52" t="s">
        <v>23</v>
      </c>
      <c r="P11" s="55">
        <v>200061858667</v>
      </c>
      <c r="Q11" s="52" t="s">
        <v>27</v>
      </c>
    </row>
    <row r="12" spans="1:21" ht="60" x14ac:dyDescent="0.25">
      <c r="A12" s="51">
        <v>12</v>
      </c>
      <c r="B12" s="52" t="str">
        <f t="shared" si="0"/>
        <v>Y</v>
      </c>
      <c r="C12" s="52" t="s">
        <v>17</v>
      </c>
      <c r="D12" s="56" t="s">
        <v>1545</v>
      </c>
      <c r="E12" s="45" t="s">
        <v>1546</v>
      </c>
      <c r="F12" s="52" t="s">
        <v>55</v>
      </c>
      <c r="G12" s="52" t="s">
        <v>1511</v>
      </c>
      <c r="H12" s="51">
        <v>400</v>
      </c>
      <c r="I12" s="52" t="s">
        <v>22</v>
      </c>
      <c r="J12" s="52" t="s">
        <v>23</v>
      </c>
      <c r="K12" s="52" t="s">
        <v>1845</v>
      </c>
      <c r="L12" s="52" t="s">
        <v>1846</v>
      </c>
      <c r="M12" s="54" t="s">
        <v>632</v>
      </c>
      <c r="N12" s="52" t="s">
        <v>633</v>
      </c>
      <c r="O12" s="52" t="s">
        <v>23</v>
      </c>
      <c r="P12" s="55">
        <v>200061858667</v>
      </c>
      <c r="Q12" s="52" t="s">
        <v>27</v>
      </c>
    </row>
    <row r="13" spans="1:21" ht="60" x14ac:dyDescent="0.25">
      <c r="A13" s="51">
        <v>13</v>
      </c>
      <c r="B13" s="52" t="str">
        <f t="shared" si="0"/>
        <v>Y</v>
      </c>
      <c r="C13" s="52" t="s">
        <v>17</v>
      </c>
      <c r="D13" s="58" t="s">
        <v>1547</v>
      </c>
      <c r="E13" s="45" t="s">
        <v>1548</v>
      </c>
      <c r="F13" s="52" t="s">
        <v>59</v>
      </c>
      <c r="G13" s="52" t="s">
        <v>1514</v>
      </c>
      <c r="H13" s="51">
        <v>403</v>
      </c>
      <c r="I13" s="52" t="s">
        <v>22</v>
      </c>
      <c r="J13" s="52" t="s">
        <v>23</v>
      </c>
      <c r="K13" s="52" t="s">
        <v>1845</v>
      </c>
      <c r="L13" s="52" t="s">
        <v>1846</v>
      </c>
      <c r="M13" s="54" t="s">
        <v>632</v>
      </c>
      <c r="N13" s="52" t="s">
        <v>633</v>
      </c>
      <c r="O13" s="52" t="s">
        <v>23</v>
      </c>
      <c r="P13" s="55">
        <v>200061858667</v>
      </c>
      <c r="Q13" s="52" t="s">
        <v>27</v>
      </c>
    </row>
    <row r="14" spans="1:21" ht="75" x14ac:dyDescent="0.25">
      <c r="A14" s="51">
        <v>14</v>
      </c>
      <c r="B14" s="52" t="str">
        <f t="shared" si="0"/>
        <v>Y</v>
      </c>
      <c r="C14" s="52" t="s">
        <v>17</v>
      </c>
      <c r="D14" s="52" t="s">
        <v>1549</v>
      </c>
      <c r="E14" s="52" t="s">
        <v>1550</v>
      </c>
      <c r="F14" s="52" t="s">
        <v>63</v>
      </c>
      <c r="G14" s="52" t="s">
        <v>1517</v>
      </c>
      <c r="H14" s="51">
        <v>200</v>
      </c>
      <c r="I14" s="52" t="s">
        <v>22</v>
      </c>
      <c r="J14" s="52" t="s">
        <v>23</v>
      </c>
      <c r="K14" s="52" t="s">
        <v>1845</v>
      </c>
      <c r="L14" s="52" t="s">
        <v>1846</v>
      </c>
      <c r="M14" s="54" t="s">
        <v>632</v>
      </c>
      <c r="N14" s="52" t="s">
        <v>633</v>
      </c>
      <c r="O14" s="52" t="s">
        <v>23</v>
      </c>
      <c r="P14" s="55">
        <v>200061858667</v>
      </c>
      <c r="Q14" s="52" t="s">
        <v>27</v>
      </c>
    </row>
    <row r="15" spans="1:21" ht="60" x14ac:dyDescent="0.25">
      <c r="A15" s="51">
        <v>15</v>
      </c>
      <c r="B15" s="52" t="str">
        <f t="shared" si="0"/>
        <v>Y</v>
      </c>
      <c r="C15" s="52" t="s">
        <v>17</v>
      </c>
      <c r="D15" s="52" t="s">
        <v>1551</v>
      </c>
      <c r="E15" s="52" t="s">
        <v>1552</v>
      </c>
      <c r="F15" s="52" t="s">
        <v>67</v>
      </c>
      <c r="G15" s="52" t="s">
        <v>68</v>
      </c>
      <c r="H15" s="51">
        <v>200</v>
      </c>
      <c r="I15" s="52" t="s">
        <v>22</v>
      </c>
      <c r="J15" s="52" t="s">
        <v>23</v>
      </c>
      <c r="K15" s="52" t="s">
        <v>1845</v>
      </c>
      <c r="L15" s="52" t="s">
        <v>1846</v>
      </c>
      <c r="M15" s="54" t="s">
        <v>632</v>
      </c>
      <c r="N15" s="52" t="s">
        <v>633</v>
      </c>
      <c r="O15" s="52" t="s">
        <v>23</v>
      </c>
      <c r="P15" s="55">
        <v>200061858667</v>
      </c>
      <c r="Q15" s="52" t="s">
        <v>27</v>
      </c>
    </row>
    <row r="16" spans="1:21" ht="60" x14ac:dyDescent="0.25">
      <c r="A16" s="51">
        <v>16</v>
      </c>
      <c r="B16" s="52" t="str">
        <f t="shared" si="0"/>
        <v>Y</v>
      </c>
      <c r="C16" s="52" t="s">
        <v>17</v>
      </c>
      <c r="D16" s="56" t="s">
        <v>1553</v>
      </c>
      <c r="E16" s="52" t="s">
        <v>1554</v>
      </c>
      <c r="F16" s="43" t="s">
        <v>71</v>
      </c>
      <c r="G16" s="59" t="s">
        <v>72</v>
      </c>
      <c r="H16" s="51">
        <v>200</v>
      </c>
      <c r="I16" s="52" t="s">
        <v>22</v>
      </c>
      <c r="J16" s="52" t="s">
        <v>23</v>
      </c>
      <c r="K16" s="52" t="s">
        <v>1845</v>
      </c>
      <c r="L16" s="52" t="s">
        <v>1846</v>
      </c>
      <c r="M16" s="54" t="s">
        <v>632</v>
      </c>
      <c r="N16" s="52" t="s">
        <v>633</v>
      </c>
      <c r="O16" s="52" t="s">
        <v>23</v>
      </c>
      <c r="P16" s="55">
        <v>200061858667</v>
      </c>
      <c r="Q16" s="52" t="s">
        <v>27</v>
      </c>
    </row>
    <row r="17" spans="1:17" ht="60" x14ac:dyDescent="0.25">
      <c r="A17" s="51">
        <v>17</v>
      </c>
      <c r="B17" s="52" t="str">
        <f t="shared" si="0"/>
        <v>Y</v>
      </c>
      <c r="C17" s="52" t="s">
        <v>17</v>
      </c>
      <c r="D17" s="56" t="s">
        <v>1555</v>
      </c>
      <c r="E17" s="52" t="s">
        <v>1556</v>
      </c>
      <c r="F17" s="43" t="s">
        <v>75</v>
      </c>
      <c r="G17" s="59" t="s">
        <v>1522</v>
      </c>
      <c r="H17" s="51">
        <v>401</v>
      </c>
      <c r="I17" s="52" t="s">
        <v>22</v>
      </c>
      <c r="J17" s="52" t="s">
        <v>23</v>
      </c>
      <c r="K17" s="52" t="s">
        <v>1845</v>
      </c>
      <c r="L17" s="52" t="s">
        <v>1846</v>
      </c>
      <c r="M17" s="54" t="s">
        <v>632</v>
      </c>
      <c r="N17" s="52" t="s">
        <v>633</v>
      </c>
      <c r="O17" s="52" t="s">
        <v>23</v>
      </c>
      <c r="P17" s="55">
        <v>200061858667</v>
      </c>
      <c r="Q17" s="52" t="s">
        <v>27</v>
      </c>
    </row>
    <row r="18" spans="1:17" ht="60" x14ac:dyDescent="0.25">
      <c r="A18" s="51">
        <v>18</v>
      </c>
      <c r="B18" s="52" t="str">
        <f t="shared" si="0"/>
        <v>Y</v>
      </c>
      <c r="C18" s="52" t="s">
        <v>17</v>
      </c>
      <c r="D18" s="56" t="s">
        <v>1557</v>
      </c>
      <c r="E18" s="52" t="s">
        <v>1558</v>
      </c>
      <c r="F18" s="43" t="s">
        <v>83</v>
      </c>
      <c r="G18" s="59" t="s">
        <v>1523</v>
      </c>
      <c r="H18" s="51">
        <v>400</v>
      </c>
      <c r="I18" s="52" t="s">
        <v>22</v>
      </c>
      <c r="J18" s="52" t="s">
        <v>23</v>
      </c>
      <c r="K18" s="52" t="s">
        <v>1845</v>
      </c>
      <c r="L18" s="52" t="s">
        <v>1846</v>
      </c>
      <c r="M18" s="54" t="s">
        <v>632</v>
      </c>
      <c r="N18" s="52" t="s">
        <v>633</v>
      </c>
      <c r="O18" s="52" t="s">
        <v>23</v>
      </c>
      <c r="P18" s="55">
        <v>200061858667</v>
      </c>
      <c r="Q18" s="52" t="s">
        <v>27</v>
      </c>
    </row>
    <row r="19" spans="1:17" ht="60" x14ac:dyDescent="0.25">
      <c r="A19" s="51">
        <v>19</v>
      </c>
      <c r="B19" s="52" t="str">
        <f t="shared" si="0"/>
        <v>Y</v>
      </c>
      <c r="C19" s="52" t="s">
        <v>17</v>
      </c>
      <c r="D19" s="56" t="s">
        <v>1559</v>
      </c>
      <c r="E19" s="52" t="s">
        <v>1560</v>
      </c>
      <c r="F19" s="43" t="s">
        <v>91</v>
      </c>
      <c r="G19" s="59" t="s">
        <v>1523</v>
      </c>
      <c r="H19" s="51">
        <v>400</v>
      </c>
      <c r="I19" s="52" t="s">
        <v>22</v>
      </c>
      <c r="J19" s="52" t="s">
        <v>23</v>
      </c>
      <c r="K19" s="52" t="s">
        <v>1845</v>
      </c>
      <c r="L19" s="52" t="s">
        <v>1846</v>
      </c>
      <c r="M19" s="54" t="s">
        <v>632</v>
      </c>
      <c r="N19" s="52" t="s">
        <v>633</v>
      </c>
      <c r="O19" s="52" t="s">
        <v>23</v>
      </c>
      <c r="P19" s="55">
        <v>200061858667</v>
      </c>
      <c r="Q19" s="52" t="s">
        <v>27</v>
      </c>
    </row>
    <row r="20" spans="1:17" ht="60" x14ac:dyDescent="0.25">
      <c r="A20" s="51">
        <v>20</v>
      </c>
      <c r="B20" s="52" t="str">
        <f t="shared" si="0"/>
        <v>Y</v>
      </c>
      <c r="C20" s="52" t="s">
        <v>17</v>
      </c>
      <c r="D20" s="56" t="s">
        <v>1561</v>
      </c>
      <c r="E20" s="52" t="s">
        <v>1562</v>
      </c>
      <c r="F20" s="43" t="s">
        <v>94</v>
      </c>
      <c r="G20" s="59" t="s">
        <v>1523</v>
      </c>
      <c r="H20" s="51">
        <v>400</v>
      </c>
      <c r="I20" s="52" t="s">
        <v>22</v>
      </c>
      <c r="J20" s="52" t="s">
        <v>23</v>
      </c>
      <c r="K20" s="52" t="s">
        <v>1845</v>
      </c>
      <c r="L20" s="52" t="s">
        <v>1846</v>
      </c>
      <c r="M20" s="54" t="s">
        <v>632</v>
      </c>
      <c r="N20" s="52" t="s">
        <v>633</v>
      </c>
      <c r="O20" s="52" t="s">
        <v>23</v>
      </c>
      <c r="P20" s="55">
        <v>200061858667</v>
      </c>
      <c r="Q20" s="52" t="s">
        <v>27</v>
      </c>
    </row>
    <row r="21" spans="1:17" ht="60" x14ac:dyDescent="0.25">
      <c r="A21" s="51">
        <v>21</v>
      </c>
      <c r="B21" s="52" t="str">
        <f t="shared" si="0"/>
        <v>Y</v>
      </c>
      <c r="C21" s="52" t="s">
        <v>17</v>
      </c>
      <c r="D21" s="56" t="s">
        <v>1563</v>
      </c>
      <c r="E21" s="52" t="s">
        <v>1564</v>
      </c>
      <c r="F21" s="43" t="s">
        <v>97</v>
      </c>
      <c r="G21" s="59" t="s">
        <v>1530</v>
      </c>
      <c r="H21" s="51">
        <v>200</v>
      </c>
      <c r="I21" s="52" t="s">
        <v>22</v>
      </c>
      <c r="J21" s="52" t="s">
        <v>23</v>
      </c>
      <c r="K21" s="52" t="s">
        <v>1845</v>
      </c>
      <c r="L21" s="52" t="s">
        <v>1846</v>
      </c>
      <c r="M21" s="54" t="s">
        <v>632</v>
      </c>
      <c r="N21" s="52" t="s">
        <v>633</v>
      </c>
      <c r="O21" s="52" t="s">
        <v>23</v>
      </c>
      <c r="P21" s="55">
        <v>200061858667</v>
      </c>
      <c r="Q21" s="52" t="s">
        <v>27</v>
      </c>
    </row>
    <row r="22" spans="1:17" ht="60" x14ac:dyDescent="0.25">
      <c r="A22" s="51">
        <v>22</v>
      </c>
      <c r="B22" s="52" t="str">
        <f t="shared" si="0"/>
        <v>Y</v>
      </c>
      <c r="C22" s="52" t="s">
        <v>17</v>
      </c>
      <c r="D22" s="56" t="s">
        <v>1565</v>
      </c>
      <c r="E22" s="52" t="s">
        <v>1566</v>
      </c>
      <c r="F22" s="43" t="s">
        <v>101</v>
      </c>
      <c r="G22" s="59" t="s">
        <v>1533</v>
      </c>
      <c r="H22" s="51">
        <v>400</v>
      </c>
      <c r="I22" s="52" t="s">
        <v>22</v>
      </c>
      <c r="J22" s="52" t="s">
        <v>23</v>
      </c>
      <c r="K22" s="52" t="s">
        <v>1845</v>
      </c>
      <c r="L22" s="52" t="s">
        <v>1846</v>
      </c>
      <c r="M22" s="54" t="s">
        <v>632</v>
      </c>
      <c r="N22" s="52" t="s">
        <v>633</v>
      </c>
      <c r="O22" s="52" t="s">
        <v>23</v>
      </c>
      <c r="P22" s="55">
        <v>200061858667</v>
      </c>
      <c r="Q22" s="52" t="s">
        <v>27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35409-52B9-4BCA-AF64-0175194F024A}">
  <sheetPr>
    <tabColor rgb="FF92D050"/>
  </sheetPr>
  <dimension ref="A1:Q15"/>
  <sheetViews>
    <sheetView zoomScale="85" zoomScaleNormal="85" workbookViewId="0">
      <pane ySplit="1" topLeftCell="A6" activePane="bottomLeft" state="frozen"/>
      <selection activeCell="D9" sqref="D9"/>
      <selection pane="bottomLeft" activeCell="N1" sqref="N1:Q1048576"/>
    </sheetView>
  </sheetViews>
  <sheetFormatPr defaultColWidth="9.140625"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4" max="17" width="8.85546875" customWidth="1"/>
    <col min="18" max="16384" width="9.140625" style="4"/>
  </cols>
  <sheetData>
    <row r="1" spans="1:17" s="8" customFormat="1" ht="45" x14ac:dyDescent="0.25">
      <c r="A1" s="8" t="s">
        <v>0</v>
      </c>
      <c r="B1" s="2" t="s">
        <v>1</v>
      </c>
      <c r="C1" s="2" t="s">
        <v>2</v>
      </c>
      <c r="D1" s="2" t="s">
        <v>3</v>
      </c>
      <c r="E1" s="2" t="s">
        <v>4</v>
      </c>
      <c r="F1" s="2" t="s">
        <v>5</v>
      </c>
      <c r="G1" s="2" t="s">
        <v>6</v>
      </c>
      <c r="H1" s="2" t="s">
        <v>7</v>
      </c>
      <c r="I1" s="13" t="s">
        <v>8</v>
      </c>
      <c r="J1" s="14" t="s">
        <v>103</v>
      </c>
      <c r="K1" s="9" t="s">
        <v>12</v>
      </c>
      <c r="L1" s="9" t="s">
        <v>13</v>
      </c>
      <c r="M1" s="9" t="s">
        <v>104</v>
      </c>
      <c r="N1" s="26" t="s">
        <v>1484</v>
      </c>
      <c r="O1" s="26" t="s">
        <v>1485</v>
      </c>
      <c r="P1" s="26" t="s">
        <v>1486</v>
      </c>
      <c r="Q1" s="26" t="s">
        <v>1487</v>
      </c>
    </row>
    <row r="2" spans="1:17" ht="409.5" x14ac:dyDescent="0.25">
      <c r="A2" s="4">
        <v>1</v>
      </c>
      <c r="B2" s="1" t="s">
        <v>17</v>
      </c>
      <c r="C2" s="1"/>
      <c r="D2" s="1" t="s">
        <v>645</v>
      </c>
      <c r="E2" s="1" t="s">
        <v>646</v>
      </c>
      <c r="F2" s="1" t="s">
        <v>107</v>
      </c>
      <c r="G2" s="22" t="s">
        <v>108</v>
      </c>
      <c r="H2" s="5">
        <v>200</v>
      </c>
      <c r="I2" s="1" t="str">
        <f>"/send-funds/localft/v1/list/institutions?channel="&amp;J2</f>
        <v>/send-funds/localft/v1/list/institutions?channel=PESONET</v>
      </c>
      <c r="J2" s="1" t="s">
        <v>109</v>
      </c>
      <c r="K2" s="1" t="s">
        <v>110</v>
      </c>
      <c r="L2" s="7" t="s">
        <v>111</v>
      </c>
      <c r="M2" s="7" t="s">
        <v>112</v>
      </c>
    </row>
    <row r="3" spans="1:17" ht="409.5" x14ac:dyDescent="0.25">
      <c r="A3" s="4">
        <v>2</v>
      </c>
      <c r="B3" s="1" t="s">
        <v>17</v>
      </c>
      <c r="C3" s="1"/>
      <c r="D3" s="1" t="s">
        <v>647</v>
      </c>
      <c r="E3" s="1" t="s">
        <v>648</v>
      </c>
      <c r="F3" s="1" t="s">
        <v>115</v>
      </c>
      <c r="G3" s="22" t="s">
        <v>116</v>
      </c>
      <c r="H3" s="5">
        <v>200</v>
      </c>
      <c r="I3" s="1" t="str">
        <f t="shared" ref="I3:I15" si="0">"/send-funds/localft/v1/list/institutions?channel="&amp;J3</f>
        <v>/send-funds/localft/v1/list/institutions?channel=</v>
      </c>
      <c r="K3" s="1" t="s">
        <v>110</v>
      </c>
      <c r="L3" s="7" t="s">
        <v>111</v>
      </c>
      <c r="M3" s="7" t="s">
        <v>112</v>
      </c>
    </row>
    <row r="4" spans="1:17" ht="409.5" x14ac:dyDescent="0.25">
      <c r="A4" s="4">
        <v>3</v>
      </c>
      <c r="B4" s="1" t="s">
        <v>17</v>
      </c>
      <c r="C4" s="1"/>
      <c r="D4" s="1" t="s">
        <v>649</v>
      </c>
      <c r="E4" s="1" t="s">
        <v>650</v>
      </c>
      <c r="F4" s="1" t="s">
        <v>119</v>
      </c>
      <c r="G4" s="22" t="s">
        <v>120</v>
      </c>
      <c r="H4" s="5">
        <v>200</v>
      </c>
      <c r="I4" s="1" t="str">
        <f t="shared" si="0"/>
        <v>/send-funds/localft/v1/list/institutions?channel=Instapay</v>
      </c>
      <c r="J4" s="1" t="s">
        <v>121</v>
      </c>
      <c r="K4" s="1" t="s">
        <v>110</v>
      </c>
      <c r="L4" s="7" t="s">
        <v>111</v>
      </c>
      <c r="M4" s="7" t="s">
        <v>112</v>
      </c>
    </row>
    <row r="5" spans="1:17" ht="315" x14ac:dyDescent="0.25">
      <c r="A5" s="4">
        <v>4</v>
      </c>
      <c r="B5" s="1" t="s">
        <v>17</v>
      </c>
      <c r="C5" s="1"/>
      <c r="D5" s="1" t="s">
        <v>651</v>
      </c>
      <c r="E5" s="1" t="s">
        <v>652</v>
      </c>
      <c r="F5" s="1" t="s">
        <v>124</v>
      </c>
      <c r="G5" s="22" t="s">
        <v>125</v>
      </c>
      <c r="H5" s="5">
        <v>200</v>
      </c>
      <c r="I5" s="1" t="str">
        <f t="shared" si="0"/>
        <v>/send-funds/localft/v1/list/institutions?channel=PESONET</v>
      </c>
      <c r="J5" s="1" t="s">
        <v>109</v>
      </c>
      <c r="K5" s="1" t="s">
        <v>110</v>
      </c>
      <c r="L5" s="7" t="s">
        <v>111</v>
      </c>
      <c r="M5" s="7" t="s">
        <v>112</v>
      </c>
    </row>
    <row r="6" spans="1:17" ht="315" x14ac:dyDescent="0.25">
      <c r="A6" s="4">
        <v>5</v>
      </c>
      <c r="B6" s="1" t="s">
        <v>17</v>
      </c>
      <c r="C6" s="1"/>
      <c r="D6" s="1" t="s">
        <v>653</v>
      </c>
      <c r="E6" s="1" t="s">
        <v>654</v>
      </c>
      <c r="F6" s="1" t="s">
        <v>128</v>
      </c>
      <c r="G6" s="22" t="s">
        <v>129</v>
      </c>
      <c r="H6" s="5">
        <v>200</v>
      </c>
      <c r="I6" s="1" t="str">
        <f t="shared" si="0"/>
        <v>/send-funds/localft/v1/list/institutions?channel=</v>
      </c>
      <c r="K6" s="1" t="s">
        <v>110</v>
      </c>
      <c r="L6" s="7" t="s">
        <v>111</v>
      </c>
      <c r="M6" s="7" t="s">
        <v>112</v>
      </c>
    </row>
    <row r="7" spans="1:17" ht="75" x14ac:dyDescent="0.25">
      <c r="A7" s="4">
        <v>6</v>
      </c>
      <c r="B7" s="1" t="s">
        <v>17</v>
      </c>
      <c r="D7" s="1" t="s">
        <v>655</v>
      </c>
      <c r="E7" s="1" t="s">
        <v>656</v>
      </c>
      <c r="F7" s="1" t="s">
        <v>132</v>
      </c>
      <c r="G7" s="22" t="s">
        <v>133</v>
      </c>
      <c r="H7" s="5">
        <v>400</v>
      </c>
      <c r="I7" s="1" t="str">
        <f t="shared" si="0"/>
        <v>/send-funds/localft/v1/list/institutions?channel=</v>
      </c>
      <c r="K7" s="1" t="s">
        <v>110</v>
      </c>
      <c r="L7" s="7" t="s">
        <v>111</v>
      </c>
      <c r="M7" s="7" t="s">
        <v>112</v>
      </c>
    </row>
    <row r="8" spans="1:17" ht="75" x14ac:dyDescent="0.25">
      <c r="A8" s="4">
        <v>7</v>
      </c>
      <c r="B8" s="1" t="s">
        <v>17</v>
      </c>
      <c r="D8" s="1" t="s">
        <v>657</v>
      </c>
      <c r="E8" s="1" t="s">
        <v>658</v>
      </c>
      <c r="F8" s="1" t="s">
        <v>136</v>
      </c>
      <c r="G8" s="22" t="s">
        <v>137</v>
      </c>
      <c r="H8" s="5">
        <v>400</v>
      </c>
      <c r="I8" s="1" t="str">
        <f t="shared" si="0"/>
        <v>/send-funds/localft/v1/list/institutions?channel=</v>
      </c>
      <c r="K8" s="1" t="s">
        <v>110</v>
      </c>
      <c r="L8" s="7" t="s">
        <v>111</v>
      </c>
      <c r="M8" s="7" t="s">
        <v>112</v>
      </c>
    </row>
    <row r="9" spans="1:17" ht="75" x14ac:dyDescent="0.25">
      <c r="A9" s="4">
        <v>8</v>
      </c>
      <c r="B9" s="1" t="s">
        <v>17</v>
      </c>
      <c r="D9" s="1" t="s">
        <v>659</v>
      </c>
      <c r="E9" s="1" t="s">
        <v>660</v>
      </c>
      <c r="F9" s="1" t="s">
        <v>140</v>
      </c>
      <c r="G9" s="22" t="s">
        <v>137</v>
      </c>
      <c r="H9" s="5">
        <v>400</v>
      </c>
      <c r="I9" s="1" t="str">
        <f t="shared" si="0"/>
        <v>/send-funds/localft/v1/list/institutions?channel=</v>
      </c>
      <c r="K9" s="1" t="s">
        <v>110</v>
      </c>
      <c r="L9" s="7" t="s">
        <v>111</v>
      </c>
      <c r="M9" s="7" t="s">
        <v>112</v>
      </c>
    </row>
    <row r="10" spans="1:17" ht="75" x14ac:dyDescent="0.25">
      <c r="A10" s="4">
        <v>9</v>
      </c>
      <c r="B10" s="1" t="s">
        <v>17</v>
      </c>
      <c r="D10" s="1" t="s">
        <v>661</v>
      </c>
      <c r="E10" s="1" t="s">
        <v>662</v>
      </c>
      <c r="F10" s="1" t="s">
        <v>143</v>
      </c>
      <c r="G10" s="22" t="s">
        <v>144</v>
      </c>
      <c r="H10" s="5">
        <v>401</v>
      </c>
      <c r="I10" s="1" t="str">
        <f t="shared" si="0"/>
        <v>/send-funds/localft/v1/list/institutions?channel=</v>
      </c>
      <c r="K10" s="1" t="s">
        <v>110</v>
      </c>
      <c r="L10" s="7" t="s">
        <v>111</v>
      </c>
      <c r="M10" s="7" t="s">
        <v>112</v>
      </c>
    </row>
    <row r="11" spans="1:17" ht="75" x14ac:dyDescent="0.25">
      <c r="A11" s="4">
        <v>10</v>
      </c>
      <c r="B11" s="1" t="s">
        <v>17</v>
      </c>
      <c r="D11" s="1" t="s">
        <v>663</v>
      </c>
      <c r="E11" s="1" t="s">
        <v>664</v>
      </c>
      <c r="F11" s="1" t="s">
        <v>147</v>
      </c>
      <c r="G11" s="22" t="s">
        <v>144</v>
      </c>
      <c r="H11" s="5">
        <v>401</v>
      </c>
      <c r="I11" s="1" t="str">
        <f t="shared" si="0"/>
        <v>/send-funds/localft/v1/list/institutions?channel=</v>
      </c>
      <c r="K11" s="1" t="s">
        <v>110</v>
      </c>
      <c r="L11" s="7" t="s">
        <v>111</v>
      </c>
      <c r="M11" s="7" t="s">
        <v>112</v>
      </c>
    </row>
    <row r="12" spans="1:17" ht="75" x14ac:dyDescent="0.25">
      <c r="A12" s="4">
        <v>11</v>
      </c>
      <c r="B12" s="1" t="s">
        <v>17</v>
      </c>
      <c r="D12" s="1" t="s">
        <v>665</v>
      </c>
      <c r="E12" s="1" t="s">
        <v>666</v>
      </c>
      <c r="F12" s="1" t="s">
        <v>150</v>
      </c>
      <c r="G12" s="22" t="s">
        <v>151</v>
      </c>
      <c r="H12" s="5">
        <v>403</v>
      </c>
      <c r="I12" s="1" t="str">
        <f t="shared" si="0"/>
        <v>/send-funds/localft/v1/list/institutions?channel=</v>
      </c>
      <c r="K12" s="1" t="s">
        <v>110</v>
      </c>
      <c r="L12" s="7" t="s">
        <v>111</v>
      </c>
      <c r="M12" s="7" t="s">
        <v>112</v>
      </c>
    </row>
    <row r="13" spans="1:17" ht="75" x14ac:dyDescent="0.25">
      <c r="A13" s="4">
        <v>12</v>
      </c>
      <c r="B13" s="1" t="s">
        <v>17</v>
      </c>
      <c r="D13" s="1" t="s">
        <v>667</v>
      </c>
      <c r="E13" s="1" t="s">
        <v>668</v>
      </c>
      <c r="F13" s="1" t="s">
        <v>107</v>
      </c>
      <c r="G13" s="22" t="s">
        <v>154</v>
      </c>
      <c r="H13" s="5"/>
      <c r="I13" s="1" t="str">
        <f t="shared" si="0"/>
        <v>/send-funds/localft/v1/list/institutions?channel=</v>
      </c>
      <c r="K13" s="1" t="s">
        <v>110</v>
      </c>
      <c r="L13" s="7" t="s">
        <v>111</v>
      </c>
      <c r="M13" s="7" t="s">
        <v>112</v>
      </c>
    </row>
    <row r="14" spans="1:17" ht="75" x14ac:dyDescent="0.25">
      <c r="A14" s="4">
        <v>13</v>
      </c>
      <c r="B14" s="1" t="s">
        <v>17</v>
      </c>
      <c r="D14" s="1" t="s">
        <v>669</v>
      </c>
      <c r="E14" s="1" t="s">
        <v>670</v>
      </c>
      <c r="F14" s="1" t="s">
        <v>157</v>
      </c>
      <c r="G14" s="22" t="s">
        <v>158</v>
      </c>
      <c r="H14" s="5">
        <v>200</v>
      </c>
      <c r="I14" s="1" t="str">
        <f t="shared" si="0"/>
        <v>/send-funds/localft/v1/list/institutions?channel=</v>
      </c>
      <c r="K14" s="1" t="s">
        <v>110</v>
      </c>
      <c r="L14" s="7" t="s">
        <v>111</v>
      </c>
      <c r="M14" s="7" t="s">
        <v>112</v>
      </c>
    </row>
    <row r="15" spans="1:17" ht="75" x14ac:dyDescent="0.25">
      <c r="A15" s="4">
        <v>14</v>
      </c>
      <c r="B15" s="1" t="s">
        <v>17</v>
      </c>
      <c r="D15" s="1" t="s">
        <v>671</v>
      </c>
      <c r="E15" s="1" t="s">
        <v>672</v>
      </c>
      <c r="F15" s="1" t="s">
        <v>161</v>
      </c>
      <c r="G15" s="22" t="s">
        <v>162</v>
      </c>
      <c r="H15" s="5">
        <v>400401403</v>
      </c>
      <c r="I15" s="1" t="str">
        <f t="shared" si="0"/>
        <v>/send-funds/localft/v1/list/institutions?channel=</v>
      </c>
      <c r="K15" s="1" t="s">
        <v>110</v>
      </c>
      <c r="L15" s="7" t="s">
        <v>111</v>
      </c>
      <c r="M15" s="7" t="s">
        <v>112</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348ED-2E50-4210-B411-77F287045C29}">
  <sheetPr>
    <tabColor rgb="FF92D050"/>
  </sheetPr>
  <dimension ref="A1:S57"/>
  <sheetViews>
    <sheetView topLeftCell="C1" zoomScale="85" zoomScaleNormal="85" workbookViewId="0">
      <pane ySplit="1" topLeftCell="A2" activePane="bottomLeft" state="frozen"/>
      <selection activeCell="D9" sqref="D9"/>
      <selection pane="bottomLeft" activeCell="J1" sqref="J1:J1048576"/>
    </sheetView>
  </sheetViews>
  <sheetFormatPr defaultColWidth="9.140625" defaultRowHeight="15" x14ac:dyDescent="0.25"/>
  <cols>
    <col min="1" max="1" width="9.85546875" style="4" customWidth="1"/>
    <col min="2" max="2" width="20.7109375" style="4" customWidth="1"/>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0.42578125" style="1" bestFit="1" customWidth="1"/>
    <col min="11" max="11" width="10.42578125" style="1" customWidth="1"/>
    <col min="12" max="12" width="14" style="1" customWidth="1"/>
    <col min="13" max="15" width="11.42578125" style="1" customWidth="1"/>
    <col min="16" max="19" width="8.85546875" customWidth="1"/>
    <col min="20" max="16384" width="9.140625" style="4"/>
  </cols>
  <sheetData>
    <row r="1" spans="1:19" s="8" customFormat="1" ht="45" x14ac:dyDescent="0.25">
      <c r="A1" s="8" t="s">
        <v>0</v>
      </c>
      <c r="B1" s="2" t="s">
        <v>1</v>
      </c>
      <c r="C1" s="2" t="s">
        <v>2</v>
      </c>
      <c r="D1" s="2" t="s">
        <v>3</v>
      </c>
      <c r="E1" s="2" t="s">
        <v>4</v>
      </c>
      <c r="F1" s="2" t="s">
        <v>5</v>
      </c>
      <c r="G1" s="2" t="s">
        <v>6</v>
      </c>
      <c r="H1" s="2" t="s">
        <v>7</v>
      </c>
      <c r="I1" s="13" t="s">
        <v>8</v>
      </c>
      <c r="J1" s="14" t="s">
        <v>630</v>
      </c>
      <c r="K1" s="14" t="s">
        <v>631</v>
      </c>
      <c r="L1" s="9" t="s">
        <v>12</v>
      </c>
      <c r="M1" s="9" t="s">
        <v>13</v>
      </c>
      <c r="N1" s="9" t="s">
        <v>14</v>
      </c>
      <c r="O1" s="9" t="s">
        <v>104</v>
      </c>
      <c r="P1" s="26" t="s">
        <v>1484</v>
      </c>
      <c r="Q1" s="26" t="s">
        <v>1485</v>
      </c>
      <c r="R1" s="26" t="s">
        <v>1486</v>
      </c>
      <c r="S1" s="26" t="s">
        <v>1487</v>
      </c>
    </row>
    <row r="2" spans="1:19" ht="165" x14ac:dyDescent="0.25">
      <c r="A2" s="4">
        <v>1</v>
      </c>
      <c r="B2" s="1" t="s">
        <v>17</v>
      </c>
      <c r="C2" s="1"/>
      <c r="D2" s="1" t="s">
        <v>673</v>
      </c>
      <c r="E2" s="1" t="s">
        <v>674</v>
      </c>
      <c r="F2" s="1" t="s">
        <v>186</v>
      </c>
      <c r="G2" s="1" t="s">
        <v>675</v>
      </c>
      <c r="H2" s="5">
        <v>200</v>
      </c>
      <c r="I2" s="1" t="s">
        <v>167</v>
      </c>
      <c r="L2" s="1" t="s">
        <v>632</v>
      </c>
      <c r="M2" s="7" t="s">
        <v>633</v>
      </c>
      <c r="N2" s="7" t="s">
        <v>23</v>
      </c>
      <c r="O2" s="7" t="s">
        <v>634</v>
      </c>
    </row>
    <row r="3" spans="1:19" ht="165" x14ac:dyDescent="0.25">
      <c r="A3" s="4">
        <v>2</v>
      </c>
      <c r="B3" s="1" t="s">
        <v>17</v>
      </c>
      <c r="C3" s="1"/>
      <c r="D3" s="1" t="s">
        <v>676</v>
      </c>
      <c r="E3" s="1" t="s">
        <v>677</v>
      </c>
      <c r="F3" s="1" t="s">
        <v>326</v>
      </c>
      <c r="G3" s="1" t="s">
        <v>678</v>
      </c>
      <c r="H3" s="5">
        <v>403</v>
      </c>
      <c r="I3" s="1" t="s">
        <v>167</v>
      </c>
      <c r="L3" s="1" t="s">
        <v>632</v>
      </c>
      <c r="M3" s="7" t="s">
        <v>633</v>
      </c>
      <c r="N3" s="7" t="s">
        <v>23</v>
      </c>
      <c r="O3" s="7" t="s">
        <v>634</v>
      </c>
    </row>
    <row r="4" spans="1:19" ht="75" x14ac:dyDescent="0.25">
      <c r="A4" s="4">
        <v>3</v>
      </c>
      <c r="B4" s="1" t="s">
        <v>17</v>
      </c>
      <c r="C4" s="1"/>
      <c r="D4" s="1" t="s">
        <v>679</v>
      </c>
      <c r="E4" s="1" t="s">
        <v>680</v>
      </c>
      <c r="F4" s="1" t="s">
        <v>190</v>
      </c>
      <c r="G4" s="1" t="s">
        <v>258</v>
      </c>
      <c r="H4" s="5">
        <v>401</v>
      </c>
      <c r="I4" s="1" t="s">
        <v>167</v>
      </c>
      <c r="L4" s="1" t="s">
        <v>632</v>
      </c>
      <c r="M4" s="7" t="s">
        <v>633</v>
      </c>
      <c r="N4" s="7" t="s">
        <v>23</v>
      </c>
      <c r="O4" s="7" t="s">
        <v>634</v>
      </c>
    </row>
    <row r="5" spans="1:19" ht="75" x14ac:dyDescent="0.25">
      <c r="A5" s="4">
        <v>4</v>
      </c>
      <c r="B5" s="1" t="s">
        <v>17</v>
      </c>
      <c r="C5" s="1"/>
      <c r="D5" s="1" t="s">
        <v>681</v>
      </c>
      <c r="E5" s="1" t="s">
        <v>682</v>
      </c>
      <c r="F5" s="1" t="s">
        <v>194</v>
      </c>
      <c r="G5" s="1" t="s">
        <v>262</v>
      </c>
      <c r="H5" s="5">
        <v>403</v>
      </c>
      <c r="I5" s="1" t="s">
        <v>167</v>
      </c>
      <c r="L5" s="1" t="s">
        <v>632</v>
      </c>
      <c r="M5" s="7" t="s">
        <v>633</v>
      </c>
      <c r="N5" s="7" t="s">
        <v>23</v>
      </c>
      <c r="O5" s="7" t="s">
        <v>634</v>
      </c>
    </row>
    <row r="6" spans="1:19" ht="75" x14ac:dyDescent="0.25">
      <c r="A6" s="4">
        <v>5</v>
      </c>
      <c r="B6" s="1" t="s">
        <v>17</v>
      </c>
      <c r="C6" s="1"/>
      <c r="D6" s="1" t="s">
        <v>683</v>
      </c>
      <c r="E6" s="1" t="s">
        <v>684</v>
      </c>
      <c r="F6" s="1" t="s">
        <v>198</v>
      </c>
      <c r="G6" s="1" t="s">
        <v>685</v>
      </c>
      <c r="H6" s="5">
        <v>200</v>
      </c>
      <c r="I6" s="1" t="s">
        <v>167</v>
      </c>
      <c r="L6" s="1" t="s">
        <v>632</v>
      </c>
      <c r="M6" s="7" t="s">
        <v>633</v>
      </c>
      <c r="N6" s="7" t="s">
        <v>23</v>
      </c>
      <c r="O6" s="7" t="s">
        <v>634</v>
      </c>
    </row>
    <row r="7" spans="1:19" ht="180" x14ac:dyDescent="0.25">
      <c r="A7" s="4">
        <v>6</v>
      </c>
      <c r="B7" s="1" t="s">
        <v>17</v>
      </c>
      <c r="D7" s="1" t="s">
        <v>686</v>
      </c>
      <c r="E7" s="1" t="s">
        <v>687</v>
      </c>
      <c r="F7" s="1" t="s">
        <v>202</v>
      </c>
      <c r="G7" s="1" t="s">
        <v>688</v>
      </c>
      <c r="H7" s="5">
        <v>200</v>
      </c>
      <c r="I7" s="1" t="s">
        <v>167</v>
      </c>
      <c r="L7" s="1" t="s">
        <v>632</v>
      </c>
      <c r="M7" s="7" t="s">
        <v>633</v>
      </c>
      <c r="N7" s="7" t="s">
        <v>23</v>
      </c>
      <c r="O7" s="7" t="s">
        <v>634</v>
      </c>
    </row>
    <row r="8" spans="1:19" ht="75" x14ac:dyDescent="0.25">
      <c r="A8" s="4">
        <v>7</v>
      </c>
      <c r="B8" s="1" t="s">
        <v>17</v>
      </c>
      <c r="D8" s="1" t="s">
        <v>689</v>
      </c>
      <c r="E8" s="1" t="s">
        <v>690</v>
      </c>
      <c r="F8" s="1" t="s">
        <v>691</v>
      </c>
      <c r="G8" s="1" t="s">
        <v>277</v>
      </c>
      <c r="H8" s="11" t="s">
        <v>635</v>
      </c>
      <c r="I8" s="1" t="s">
        <v>167</v>
      </c>
      <c r="L8" s="1" t="s">
        <v>632</v>
      </c>
      <c r="M8" s="7" t="s">
        <v>633</v>
      </c>
      <c r="N8" s="7" t="s">
        <v>23</v>
      </c>
      <c r="O8" s="7" t="s">
        <v>634</v>
      </c>
    </row>
    <row r="9" spans="1:19" ht="75" x14ac:dyDescent="0.25">
      <c r="A9" s="4">
        <v>8</v>
      </c>
      <c r="B9" s="1" t="s">
        <v>17</v>
      </c>
      <c r="D9" s="1" t="s">
        <v>692</v>
      </c>
      <c r="E9" s="1" t="s">
        <v>693</v>
      </c>
      <c r="F9" s="1" t="s">
        <v>210</v>
      </c>
      <c r="G9" s="1" t="s">
        <v>277</v>
      </c>
      <c r="H9" s="11" t="s">
        <v>635</v>
      </c>
      <c r="I9" s="1" t="s">
        <v>167</v>
      </c>
      <c r="L9" s="1" t="s">
        <v>632</v>
      </c>
      <c r="M9" s="7" t="s">
        <v>633</v>
      </c>
      <c r="N9" s="7" t="s">
        <v>23</v>
      </c>
      <c r="O9" s="7" t="s">
        <v>634</v>
      </c>
    </row>
    <row r="10" spans="1:19" ht="75" x14ac:dyDescent="0.25">
      <c r="A10" s="4">
        <v>9</v>
      </c>
      <c r="B10" s="1" t="s">
        <v>17</v>
      </c>
      <c r="D10" s="1" t="s">
        <v>694</v>
      </c>
      <c r="E10" s="1" t="s">
        <v>695</v>
      </c>
      <c r="F10" s="1" t="s">
        <v>213</v>
      </c>
      <c r="G10" s="1" t="s">
        <v>214</v>
      </c>
      <c r="H10" s="5">
        <v>403</v>
      </c>
      <c r="I10" s="1" t="s">
        <v>167</v>
      </c>
      <c r="L10" s="1" t="s">
        <v>632</v>
      </c>
      <c r="M10" s="7" t="s">
        <v>633</v>
      </c>
      <c r="N10" s="7" t="s">
        <v>23</v>
      </c>
      <c r="O10" s="7" t="s">
        <v>634</v>
      </c>
    </row>
    <row r="11" spans="1:19" ht="165" x14ac:dyDescent="0.25">
      <c r="A11" s="4">
        <v>10</v>
      </c>
      <c r="B11" s="1" t="s">
        <v>17</v>
      </c>
      <c r="D11" s="1" t="s">
        <v>696</v>
      </c>
      <c r="E11" s="1" t="s">
        <v>697</v>
      </c>
      <c r="F11" s="1" t="s">
        <v>218</v>
      </c>
      <c r="G11" s="1" t="s">
        <v>675</v>
      </c>
      <c r="H11" s="5">
        <v>200</v>
      </c>
      <c r="I11" s="1" t="s">
        <v>167</v>
      </c>
      <c r="L11" s="1" t="s">
        <v>632</v>
      </c>
      <c r="M11" s="7" t="s">
        <v>633</v>
      </c>
      <c r="N11" s="7" t="s">
        <v>23</v>
      </c>
      <c r="O11" s="7" t="s">
        <v>634</v>
      </c>
    </row>
    <row r="12" spans="1:19" ht="75" x14ac:dyDescent="0.25">
      <c r="A12" s="4">
        <v>11</v>
      </c>
      <c r="B12" s="1" t="s">
        <v>17</v>
      </c>
      <c r="D12" s="1" t="s">
        <v>698</v>
      </c>
      <c r="E12" s="1" t="s">
        <v>699</v>
      </c>
      <c r="F12" s="1" t="s">
        <v>222</v>
      </c>
      <c r="G12" s="1" t="s">
        <v>290</v>
      </c>
      <c r="H12" s="5">
        <v>400</v>
      </c>
      <c r="I12" s="1" t="s">
        <v>167</v>
      </c>
      <c r="L12" s="1" t="s">
        <v>632</v>
      </c>
      <c r="M12" s="7" t="s">
        <v>633</v>
      </c>
      <c r="N12" s="7" t="s">
        <v>23</v>
      </c>
      <c r="O12" s="7" t="s">
        <v>634</v>
      </c>
    </row>
    <row r="13" spans="1:19" ht="75" x14ac:dyDescent="0.25">
      <c r="A13" s="4">
        <v>12</v>
      </c>
      <c r="B13" s="1" t="s">
        <v>17</v>
      </c>
      <c r="D13" s="1" t="s">
        <v>700</v>
      </c>
      <c r="E13" s="1" t="s">
        <v>701</v>
      </c>
      <c r="F13" s="1" t="s">
        <v>226</v>
      </c>
      <c r="G13" s="1" t="s">
        <v>702</v>
      </c>
      <c r="H13" s="5">
        <v>400</v>
      </c>
      <c r="I13" s="1" t="s">
        <v>167</v>
      </c>
      <c r="L13" s="1" t="s">
        <v>632</v>
      </c>
      <c r="M13" s="7" t="s">
        <v>633</v>
      </c>
      <c r="N13" s="7" t="s">
        <v>23</v>
      </c>
      <c r="O13" s="7" t="s">
        <v>634</v>
      </c>
    </row>
    <row r="14" spans="1:19" ht="165" x14ac:dyDescent="0.25">
      <c r="A14" s="4">
        <v>13</v>
      </c>
      <c r="B14" s="1" t="s">
        <v>17</v>
      </c>
      <c r="D14" s="1" t="s">
        <v>703</v>
      </c>
      <c r="E14" s="1" t="s">
        <v>704</v>
      </c>
      <c r="F14" s="1" t="s">
        <v>705</v>
      </c>
      <c r="G14" s="1" t="s">
        <v>675</v>
      </c>
      <c r="H14" s="5">
        <v>200</v>
      </c>
      <c r="I14" s="1" t="s">
        <v>167</v>
      </c>
      <c r="L14" s="1" t="s">
        <v>632</v>
      </c>
      <c r="M14" s="7" t="s">
        <v>633</v>
      </c>
      <c r="N14" s="7" t="s">
        <v>23</v>
      </c>
      <c r="O14" s="7" t="s">
        <v>634</v>
      </c>
    </row>
    <row r="15" spans="1:19" ht="75" x14ac:dyDescent="0.25">
      <c r="A15" s="4">
        <v>14</v>
      </c>
      <c r="B15" s="1" t="s">
        <v>17</v>
      </c>
      <c r="D15" s="1" t="s">
        <v>706</v>
      </c>
      <c r="E15" s="1" t="s">
        <v>707</v>
      </c>
      <c r="F15" s="1" t="s">
        <v>233</v>
      </c>
      <c r="G15" s="1" t="s">
        <v>303</v>
      </c>
      <c r="H15" s="5">
        <v>400</v>
      </c>
      <c r="I15" s="1" t="s">
        <v>167</v>
      </c>
      <c r="L15" s="1" t="s">
        <v>632</v>
      </c>
      <c r="M15" s="7" t="s">
        <v>633</v>
      </c>
      <c r="N15" s="7" t="s">
        <v>23</v>
      </c>
      <c r="O15" s="7" t="s">
        <v>634</v>
      </c>
    </row>
    <row r="16" spans="1:19" ht="90" x14ac:dyDescent="0.25">
      <c r="A16" s="4">
        <v>15</v>
      </c>
      <c r="B16" s="1" t="s">
        <v>17</v>
      </c>
      <c r="D16" s="1" t="s">
        <v>708</v>
      </c>
      <c r="E16" s="1" t="s">
        <v>709</v>
      </c>
      <c r="F16" s="1" t="s">
        <v>165</v>
      </c>
      <c r="G16" s="1" t="s">
        <v>174</v>
      </c>
      <c r="H16" s="5">
        <v>400</v>
      </c>
      <c r="I16" s="1" t="s">
        <v>167</v>
      </c>
      <c r="L16" s="1" t="s">
        <v>632</v>
      </c>
      <c r="M16" s="7" t="s">
        <v>633</v>
      </c>
      <c r="N16" s="7" t="s">
        <v>23</v>
      </c>
      <c r="O16" s="7" t="s">
        <v>634</v>
      </c>
    </row>
    <row r="17" spans="1:15" ht="90" x14ac:dyDescent="0.25">
      <c r="A17" s="4">
        <v>16</v>
      </c>
      <c r="B17" s="1" t="s">
        <v>17</v>
      </c>
      <c r="D17" s="1" t="s">
        <v>710</v>
      </c>
      <c r="E17" s="1" t="s">
        <v>711</v>
      </c>
      <c r="F17" s="1" t="s">
        <v>170</v>
      </c>
      <c r="G17" s="1" t="s">
        <v>174</v>
      </c>
      <c r="H17" s="5">
        <v>400</v>
      </c>
      <c r="I17" s="1" t="s">
        <v>167</v>
      </c>
      <c r="L17" s="1" t="s">
        <v>632</v>
      </c>
      <c r="M17" s="7" t="s">
        <v>633</v>
      </c>
      <c r="N17" s="7" t="s">
        <v>23</v>
      </c>
      <c r="O17" s="7" t="s">
        <v>634</v>
      </c>
    </row>
    <row r="18" spans="1:15" ht="75" x14ac:dyDescent="0.25">
      <c r="A18" s="4">
        <v>17</v>
      </c>
      <c r="B18" s="1" t="s">
        <v>17</v>
      </c>
      <c r="D18" s="1" t="s">
        <v>712</v>
      </c>
      <c r="E18" s="1" t="s">
        <v>713</v>
      </c>
      <c r="F18" s="1" t="s">
        <v>237</v>
      </c>
      <c r="G18" s="1" t="s">
        <v>310</v>
      </c>
      <c r="H18" s="5">
        <v>400</v>
      </c>
      <c r="I18" s="1" t="s">
        <v>167</v>
      </c>
      <c r="L18" s="1" t="s">
        <v>632</v>
      </c>
      <c r="M18" s="7" t="s">
        <v>633</v>
      </c>
      <c r="N18" s="7" t="s">
        <v>23</v>
      </c>
      <c r="O18" s="7" t="s">
        <v>634</v>
      </c>
    </row>
    <row r="19" spans="1:15" ht="165" x14ac:dyDescent="0.25">
      <c r="A19" s="4">
        <v>18</v>
      </c>
      <c r="B19" s="1" t="s">
        <v>17</v>
      </c>
      <c r="D19" s="1" t="s">
        <v>714</v>
      </c>
      <c r="E19" s="1" t="s">
        <v>715</v>
      </c>
      <c r="F19" s="1" t="s">
        <v>341</v>
      </c>
      <c r="G19" s="1" t="s">
        <v>342</v>
      </c>
      <c r="H19" s="5">
        <v>200</v>
      </c>
      <c r="I19" s="1" t="s">
        <v>167</v>
      </c>
      <c r="L19" s="1" t="s">
        <v>632</v>
      </c>
      <c r="M19" s="7" t="s">
        <v>633</v>
      </c>
      <c r="N19" s="7" t="s">
        <v>23</v>
      </c>
      <c r="O19" s="7" t="s">
        <v>634</v>
      </c>
    </row>
    <row r="20" spans="1:15" ht="75" x14ac:dyDescent="0.25">
      <c r="A20" s="4">
        <v>19</v>
      </c>
      <c r="B20" s="1" t="s">
        <v>17</v>
      </c>
      <c r="D20" s="1" t="s">
        <v>716</v>
      </c>
      <c r="E20" s="1" t="s">
        <v>717</v>
      </c>
      <c r="F20" s="1" t="s">
        <v>241</v>
      </c>
      <c r="G20" s="1" t="s">
        <v>242</v>
      </c>
      <c r="H20" s="5">
        <v>403</v>
      </c>
      <c r="I20" s="1" t="s">
        <v>167</v>
      </c>
      <c r="L20" s="1" t="s">
        <v>632</v>
      </c>
      <c r="M20" s="7" t="s">
        <v>633</v>
      </c>
      <c r="N20" s="7" t="s">
        <v>23</v>
      </c>
      <c r="O20" s="7" t="s">
        <v>634</v>
      </c>
    </row>
    <row r="21" spans="1:15" ht="180" x14ac:dyDescent="0.25">
      <c r="A21" s="4">
        <v>20</v>
      </c>
      <c r="B21" s="1" t="s">
        <v>17</v>
      </c>
      <c r="D21" s="1" t="s">
        <v>718</v>
      </c>
      <c r="E21" s="1" t="s">
        <v>719</v>
      </c>
      <c r="F21" s="1" t="s">
        <v>245</v>
      </c>
      <c r="G21" s="1" t="s">
        <v>246</v>
      </c>
      <c r="H21" s="5">
        <v>200</v>
      </c>
      <c r="I21" s="1" t="s">
        <v>167</v>
      </c>
      <c r="L21" s="1" t="s">
        <v>632</v>
      </c>
      <c r="M21" s="7" t="s">
        <v>633</v>
      </c>
      <c r="N21" s="7" t="s">
        <v>23</v>
      </c>
      <c r="O21" s="7" t="s">
        <v>634</v>
      </c>
    </row>
    <row r="22" spans="1:15" ht="180" x14ac:dyDescent="0.25">
      <c r="A22" s="4">
        <v>21</v>
      </c>
      <c r="B22" s="1" t="s">
        <v>17</v>
      </c>
      <c r="D22" s="1" t="s">
        <v>720</v>
      </c>
      <c r="E22" s="1" t="s">
        <v>721</v>
      </c>
      <c r="F22" s="1" t="s">
        <v>249</v>
      </c>
      <c r="G22" s="1" t="s">
        <v>250</v>
      </c>
      <c r="H22" s="5">
        <v>200</v>
      </c>
      <c r="I22" s="1" t="s">
        <v>167</v>
      </c>
      <c r="L22" s="1" t="s">
        <v>632</v>
      </c>
      <c r="M22" s="7" t="s">
        <v>633</v>
      </c>
      <c r="N22" s="7" t="s">
        <v>23</v>
      </c>
      <c r="O22" s="7" t="s">
        <v>634</v>
      </c>
    </row>
    <row r="23" spans="1:15" ht="75" x14ac:dyDescent="0.25">
      <c r="A23" s="4">
        <v>22</v>
      </c>
      <c r="B23" s="1" t="s">
        <v>17</v>
      </c>
      <c r="D23" s="1" t="s">
        <v>722</v>
      </c>
      <c r="E23" s="1" t="s">
        <v>723</v>
      </c>
      <c r="F23" s="1" t="s">
        <v>253</v>
      </c>
      <c r="G23" s="1" t="s">
        <v>258</v>
      </c>
      <c r="H23" s="5">
        <v>401</v>
      </c>
      <c r="I23" s="1" t="s">
        <v>167</v>
      </c>
      <c r="L23" s="1" t="s">
        <v>632</v>
      </c>
      <c r="M23" s="7" t="s">
        <v>633</v>
      </c>
      <c r="N23" s="7" t="s">
        <v>23</v>
      </c>
      <c r="O23" s="7" t="s">
        <v>634</v>
      </c>
    </row>
    <row r="24" spans="1:15" ht="75" x14ac:dyDescent="0.25">
      <c r="A24" s="4">
        <v>23</v>
      </c>
      <c r="B24" s="1" t="s">
        <v>17</v>
      </c>
      <c r="D24" s="1" t="s">
        <v>724</v>
      </c>
      <c r="E24" s="1" t="s">
        <v>725</v>
      </c>
      <c r="F24" s="1" t="s">
        <v>257</v>
      </c>
      <c r="G24" s="1" t="s">
        <v>258</v>
      </c>
      <c r="H24" s="5">
        <v>401</v>
      </c>
      <c r="I24" s="1" t="s">
        <v>167</v>
      </c>
      <c r="L24" s="1" t="s">
        <v>632</v>
      </c>
      <c r="M24" s="7" t="s">
        <v>633</v>
      </c>
      <c r="N24" s="7" t="s">
        <v>23</v>
      </c>
      <c r="O24" s="7" t="s">
        <v>634</v>
      </c>
    </row>
    <row r="25" spans="1:15" ht="90" x14ac:dyDescent="0.25">
      <c r="A25" s="4">
        <v>24</v>
      </c>
      <c r="B25" s="1" t="s">
        <v>17</v>
      </c>
      <c r="D25" s="1" t="s">
        <v>726</v>
      </c>
      <c r="E25" s="1" t="s">
        <v>727</v>
      </c>
      <c r="F25" s="1" t="s">
        <v>349</v>
      </c>
      <c r="G25" s="1" t="s">
        <v>728</v>
      </c>
      <c r="H25" s="5">
        <v>401</v>
      </c>
      <c r="I25" s="1" t="s">
        <v>167</v>
      </c>
      <c r="L25" s="1" t="s">
        <v>632</v>
      </c>
      <c r="M25" s="7" t="s">
        <v>633</v>
      </c>
      <c r="N25" s="7" t="s">
        <v>23</v>
      </c>
      <c r="O25" s="7" t="s">
        <v>634</v>
      </c>
    </row>
    <row r="26" spans="1:15" ht="90" x14ac:dyDescent="0.25">
      <c r="A26" s="4">
        <v>25</v>
      </c>
      <c r="B26" s="1" t="s">
        <v>17</v>
      </c>
      <c r="D26" s="1" t="s">
        <v>729</v>
      </c>
      <c r="E26" s="1" t="s">
        <v>730</v>
      </c>
      <c r="F26" s="1" t="s">
        <v>352</v>
      </c>
      <c r="G26" s="1" t="s">
        <v>731</v>
      </c>
      <c r="H26" s="5">
        <v>401</v>
      </c>
      <c r="I26" s="1" t="s">
        <v>167</v>
      </c>
      <c r="L26" s="1" t="s">
        <v>632</v>
      </c>
      <c r="M26" s="7" t="s">
        <v>633</v>
      </c>
      <c r="N26" s="7" t="s">
        <v>23</v>
      </c>
      <c r="O26" s="7" t="s">
        <v>634</v>
      </c>
    </row>
    <row r="27" spans="1:15" ht="75" x14ac:dyDescent="0.25">
      <c r="A27" s="4">
        <v>26</v>
      </c>
      <c r="B27" s="1" t="s">
        <v>17</v>
      </c>
      <c r="D27" s="1" t="s">
        <v>732</v>
      </c>
      <c r="E27" s="1" t="s">
        <v>733</v>
      </c>
      <c r="F27" s="1" t="s">
        <v>261</v>
      </c>
      <c r="G27" s="1" t="s">
        <v>262</v>
      </c>
      <c r="H27" s="5">
        <v>403</v>
      </c>
      <c r="I27" s="1" t="s">
        <v>167</v>
      </c>
      <c r="L27" s="1" t="s">
        <v>632</v>
      </c>
      <c r="M27" s="7" t="s">
        <v>633</v>
      </c>
      <c r="N27" s="7" t="s">
        <v>23</v>
      </c>
      <c r="O27" s="7" t="s">
        <v>634</v>
      </c>
    </row>
    <row r="28" spans="1:15" ht="75" x14ac:dyDescent="0.25">
      <c r="A28" s="4">
        <v>27</v>
      </c>
      <c r="B28" s="1" t="s">
        <v>17</v>
      </c>
      <c r="D28" s="1" t="s">
        <v>734</v>
      </c>
      <c r="E28" s="1" t="s">
        <v>735</v>
      </c>
      <c r="F28" s="1" t="s">
        <v>265</v>
      </c>
      <c r="G28" s="1" t="s">
        <v>262</v>
      </c>
      <c r="H28" s="5">
        <v>403</v>
      </c>
      <c r="I28" s="1" t="s">
        <v>167</v>
      </c>
      <c r="L28" s="1" t="s">
        <v>632</v>
      </c>
      <c r="M28" s="7" t="s">
        <v>633</v>
      </c>
      <c r="N28" s="7" t="s">
        <v>23</v>
      </c>
      <c r="O28" s="7" t="s">
        <v>634</v>
      </c>
    </row>
    <row r="29" spans="1:15" ht="195" x14ac:dyDescent="0.25">
      <c r="A29" s="4">
        <v>28</v>
      </c>
      <c r="B29" s="1" t="s">
        <v>17</v>
      </c>
      <c r="D29" s="1" t="s">
        <v>736</v>
      </c>
      <c r="E29" s="1" t="s">
        <v>737</v>
      </c>
      <c r="F29" s="1" t="s">
        <v>268</v>
      </c>
      <c r="G29" s="1" t="s">
        <v>269</v>
      </c>
      <c r="H29" s="5">
        <v>200</v>
      </c>
      <c r="I29" s="1" t="s">
        <v>167</v>
      </c>
      <c r="L29" s="1" t="s">
        <v>632</v>
      </c>
      <c r="M29" s="7" t="s">
        <v>633</v>
      </c>
      <c r="N29" s="7" t="s">
        <v>23</v>
      </c>
      <c r="O29" s="7" t="s">
        <v>634</v>
      </c>
    </row>
    <row r="30" spans="1:15" ht="195" x14ac:dyDescent="0.25">
      <c r="A30" s="4">
        <v>29</v>
      </c>
      <c r="B30" s="1" t="s">
        <v>17</v>
      </c>
      <c r="D30" s="1" t="s">
        <v>738</v>
      </c>
      <c r="E30" s="1" t="s">
        <v>739</v>
      </c>
      <c r="F30" s="1" t="s">
        <v>272</v>
      </c>
      <c r="G30" s="1" t="s">
        <v>273</v>
      </c>
      <c r="H30" s="5">
        <v>200</v>
      </c>
      <c r="I30" s="1" t="s">
        <v>167</v>
      </c>
      <c r="L30" s="1" t="s">
        <v>632</v>
      </c>
      <c r="M30" s="7" t="s">
        <v>633</v>
      </c>
      <c r="N30" s="7" t="s">
        <v>23</v>
      </c>
      <c r="O30" s="7" t="s">
        <v>634</v>
      </c>
    </row>
    <row r="31" spans="1:15" ht="75" x14ac:dyDescent="0.25">
      <c r="A31" s="4">
        <v>30</v>
      </c>
      <c r="B31" s="1" t="s">
        <v>17</v>
      </c>
      <c r="D31" s="1" t="s">
        <v>740</v>
      </c>
      <c r="E31" s="1" t="s">
        <v>741</v>
      </c>
      <c r="F31" s="1" t="s">
        <v>276</v>
      </c>
      <c r="G31" s="1" t="s">
        <v>277</v>
      </c>
      <c r="H31" s="11" t="s">
        <v>635</v>
      </c>
      <c r="I31" s="1" t="s">
        <v>167</v>
      </c>
      <c r="L31" s="1" t="s">
        <v>632</v>
      </c>
      <c r="M31" s="7" t="s">
        <v>633</v>
      </c>
      <c r="N31" s="7" t="s">
        <v>23</v>
      </c>
      <c r="O31" s="7" t="s">
        <v>634</v>
      </c>
    </row>
    <row r="32" spans="1:15" ht="75" x14ac:dyDescent="0.25">
      <c r="A32" s="4">
        <v>31</v>
      </c>
      <c r="B32" s="1" t="s">
        <v>17</v>
      </c>
      <c r="D32" s="1" t="s">
        <v>742</v>
      </c>
      <c r="E32" s="1" t="s">
        <v>743</v>
      </c>
      <c r="F32" s="1" t="s">
        <v>280</v>
      </c>
      <c r="G32" s="1" t="s">
        <v>277</v>
      </c>
      <c r="H32" s="11" t="s">
        <v>635</v>
      </c>
      <c r="I32" s="1" t="s">
        <v>167</v>
      </c>
      <c r="L32" s="1" t="s">
        <v>632</v>
      </c>
      <c r="M32" s="7" t="s">
        <v>633</v>
      </c>
      <c r="N32" s="7" t="s">
        <v>23</v>
      </c>
      <c r="O32" s="7" t="s">
        <v>634</v>
      </c>
    </row>
    <row r="33" spans="1:15" ht="75" x14ac:dyDescent="0.25">
      <c r="A33" s="4">
        <v>32</v>
      </c>
      <c r="B33" s="1" t="s">
        <v>17</v>
      </c>
      <c r="D33" s="1" t="s">
        <v>744</v>
      </c>
      <c r="E33" s="1" t="s">
        <v>745</v>
      </c>
      <c r="F33" s="1" t="s">
        <v>283</v>
      </c>
      <c r="G33" s="1" t="s">
        <v>277</v>
      </c>
      <c r="H33" s="11" t="s">
        <v>635</v>
      </c>
      <c r="I33" s="1" t="s">
        <v>167</v>
      </c>
      <c r="L33" s="1" t="s">
        <v>632</v>
      </c>
      <c r="M33" s="7" t="s">
        <v>633</v>
      </c>
      <c r="N33" s="7" t="s">
        <v>23</v>
      </c>
      <c r="O33" s="7" t="s">
        <v>634</v>
      </c>
    </row>
    <row r="34" spans="1:15" ht="75" x14ac:dyDescent="0.25">
      <c r="A34" s="4">
        <v>33</v>
      </c>
      <c r="B34" s="1" t="s">
        <v>17</v>
      </c>
      <c r="D34" s="1" t="s">
        <v>746</v>
      </c>
      <c r="E34" s="1" t="s">
        <v>747</v>
      </c>
      <c r="F34" s="1" t="s">
        <v>286</v>
      </c>
      <c r="G34" s="1" t="s">
        <v>277</v>
      </c>
      <c r="H34" s="11" t="s">
        <v>635</v>
      </c>
      <c r="I34" s="1" t="s">
        <v>167</v>
      </c>
      <c r="L34" s="1" t="s">
        <v>632</v>
      </c>
      <c r="M34" s="7" t="s">
        <v>633</v>
      </c>
      <c r="N34" s="7" t="s">
        <v>23</v>
      </c>
      <c r="O34" s="7" t="s">
        <v>634</v>
      </c>
    </row>
    <row r="35" spans="1:15" ht="180" x14ac:dyDescent="0.25">
      <c r="A35" s="4">
        <v>34</v>
      </c>
      <c r="B35" s="1" t="s">
        <v>17</v>
      </c>
      <c r="D35" s="1" t="s">
        <v>748</v>
      </c>
      <c r="E35" s="1" t="s">
        <v>749</v>
      </c>
      <c r="F35" s="1" t="s">
        <v>355</v>
      </c>
      <c r="G35" s="1" t="s">
        <v>750</v>
      </c>
      <c r="H35" s="5">
        <v>200</v>
      </c>
      <c r="I35" s="1" t="s">
        <v>167</v>
      </c>
      <c r="L35" s="1" t="s">
        <v>632</v>
      </c>
      <c r="M35" s="7" t="s">
        <v>633</v>
      </c>
      <c r="N35" s="7" t="s">
        <v>23</v>
      </c>
      <c r="O35" s="7" t="s">
        <v>634</v>
      </c>
    </row>
    <row r="36" spans="1:15" ht="180" x14ac:dyDescent="0.25">
      <c r="A36" s="4">
        <v>35</v>
      </c>
      <c r="B36" s="1" t="s">
        <v>17</v>
      </c>
      <c r="D36" s="1" t="s">
        <v>751</v>
      </c>
      <c r="E36" s="1" t="s">
        <v>752</v>
      </c>
      <c r="F36" s="1" t="s">
        <v>359</v>
      </c>
      <c r="G36" s="1" t="s">
        <v>753</v>
      </c>
      <c r="H36" s="5">
        <v>200</v>
      </c>
      <c r="I36" s="1" t="s">
        <v>167</v>
      </c>
      <c r="L36" s="1" t="s">
        <v>632</v>
      </c>
      <c r="M36" s="7" t="s">
        <v>633</v>
      </c>
      <c r="N36" s="7" t="s">
        <v>23</v>
      </c>
      <c r="O36" s="7" t="s">
        <v>634</v>
      </c>
    </row>
    <row r="37" spans="1:15" ht="75" x14ac:dyDescent="0.25">
      <c r="A37" s="4">
        <v>36</v>
      </c>
      <c r="B37" s="1" t="s">
        <v>17</v>
      </c>
      <c r="D37" s="1" t="s">
        <v>754</v>
      </c>
      <c r="E37" s="1" t="s">
        <v>755</v>
      </c>
      <c r="F37" s="1" t="s">
        <v>289</v>
      </c>
      <c r="G37" s="1" t="s">
        <v>290</v>
      </c>
      <c r="H37" s="5">
        <v>400</v>
      </c>
      <c r="I37" s="1" t="s">
        <v>167</v>
      </c>
      <c r="L37" s="1" t="s">
        <v>632</v>
      </c>
      <c r="M37" s="7" t="s">
        <v>633</v>
      </c>
      <c r="N37" s="7" t="s">
        <v>23</v>
      </c>
      <c r="O37" s="7" t="s">
        <v>634</v>
      </c>
    </row>
    <row r="38" spans="1:15" ht="75" x14ac:dyDescent="0.25">
      <c r="A38" s="4">
        <v>37</v>
      </c>
      <c r="B38" s="1" t="s">
        <v>17</v>
      </c>
      <c r="D38" s="1" t="s">
        <v>756</v>
      </c>
      <c r="E38" s="1" t="s">
        <v>757</v>
      </c>
      <c r="F38" s="1" t="s">
        <v>293</v>
      </c>
      <c r="G38" s="1" t="s">
        <v>290</v>
      </c>
      <c r="H38" s="5">
        <v>400</v>
      </c>
      <c r="I38" s="1" t="s">
        <v>167</v>
      </c>
      <c r="L38" s="1" t="s">
        <v>632</v>
      </c>
      <c r="M38" s="7" t="s">
        <v>633</v>
      </c>
      <c r="N38" s="7" t="s">
        <v>23</v>
      </c>
      <c r="O38" s="7" t="s">
        <v>634</v>
      </c>
    </row>
    <row r="39" spans="1:15" ht="75" x14ac:dyDescent="0.25">
      <c r="A39" s="4">
        <v>38</v>
      </c>
      <c r="B39" s="1" t="s">
        <v>17</v>
      </c>
      <c r="D39" s="1" t="s">
        <v>758</v>
      </c>
      <c r="E39" s="1" t="s">
        <v>759</v>
      </c>
      <c r="F39" s="1" t="s">
        <v>296</v>
      </c>
      <c r="G39" s="1" t="s">
        <v>702</v>
      </c>
      <c r="H39" s="5">
        <v>400</v>
      </c>
      <c r="I39" s="1" t="s">
        <v>167</v>
      </c>
      <c r="L39" s="1" t="s">
        <v>632</v>
      </c>
      <c r="M39" s="7" t="s">
        <v>633</v>
      </c>
      <c r="N39" s="7" t="s">
        <v>23</v>
      </c>
      <c r="O39" s="7" t="s">
        <v>634</v>
      </c>
    </row>
    <row r="40" spans="1:15" ht="75" x14ac:dyDescent="0.25">
      <c r="A40" s="4">
        <v>39</v>
      </c>
      <c r="B40" s="1" t="s">
        <v>17</v>
      </c>
      <c r="D40" s="1" t="s">
        <v>760</v>
      </c>
      <c r="E40" s="1" t="s">
        <v>761</v>
      </c>
      <c r="F40" s="1" t="s">
        <v>299</v>
      </c>
      <c r="G40" s="1" t="s">
        <v>702</v>
      </c>
      <c r="H40" s="5">
        <v>400</v>
      </c>
      <c r="I40" s="1" t="s">
        <v>167</v>
      </c>
      <c r="L40" s="1" t="s">
        <v>632</v>
      </c>
      <c r="M40" s="7" t="s">
        <v>633</v>
      </c>
      <c r="N40" s="7" t="s">
        <v>23</v>
      </c>
      <c r="O40" s="7" t="s">
        <v>634</v>
      </c>
    </row>
    <row r="41" spans="1:15" ht="180" x14ac:dyDescent="0.25">
      <c r="A41" s="4">
        <v>40</v>
      </c>
      <c r="B41" s="1" t="s">
        <v>17</v>
      </c>
      <c r="D41" s="1" t="s">
        <v>762</v>
      </c>
      <c r="E41" s="1" t="s">
        <v>763</v>
      </c>
      <c r="F41" s="1" t="s">
        <v>363</v>
      </c>
      <c r="G41" s="1" t="s">
        <v>764</v>
      </c>
      <c r="H41" s="5">
        <v>200</v>
      </c>
      <c r="I41" s="1" t="s">
        <v>167</v>
      </c>
      <c r="L41" s="1" t="s">
        <v>632</v>
      </c>
      <c r="M41" s="7" t="s">
        <v>633</v>
      </c>
      <c r="N41" s="7" t="s">
        <v>23</v>
      </c>
      <c r="O41" s="7" t="s">
        <v>634</v>
      </c>
    </row>
    <row r="42" spans="1:15" ht="180" x14ac:dyDescent="0.25">
      <c r="A42" s="4">
        <v>41</v>
      </c>
      <c r="B42" s="1" t="s">
        <v>17</v>
      </c>
      <c r="D42" s="1" t="s">
        <v>765</v>
      </c>
      <c r="E42" s="1" t="s">
        <v>766</v>
      </c>
      <c r="F42" s="1" t="s">
        <v>367</v>
      </c>
      <c r="G42" s="1" t="s">
        <v>767</v>
      </c>
      <c r="H42" s="5">
        <v>200</v>
      </c>
      <c r="I42" s="1" t="s">
        <v>167</v>
      </c>
      <c r="L42" s="1" t="s">
        <v>632</v>
      </c>
      <c r="M42" s="7" t="s">
        <v>633</v>
      </c>
      <c r="N42" s="7" t="s">
        <v>23</v>
      </c>
      <c r="O42" s="7" t="s">
        <v>634</v>
      </c>
    </row>
    <row r="43" spans="1:15" ht="75" x14ac:dyDescent="0.25">
      <c r="A43" s="4">
        <v>42</v>
      </c>
      <c r="B43" s="1" t="s">
        <v>17</v>
      </c>
      <c r="D43" s="1" t="s">
        <v>768</v>
      </c>
      <c r="E43" s="1" t="s">
        <v>769</v>
      </c>
      <c r="F43" s="1" t="s">
        <v>770</v>
      </c>
      <c r="G43" s="1" t="s">
        <v>771</v>
      </c>
      <c r="H43" s="11" t="s">
        <v>635</v>
      </c>
      <c r="I43" s="1" t="s">
        <v>167</v>
      </c>
      <c r="L43" s="1" t="s">
        <v>632</v>
      </c>
      <c r="M43" s="7" t="s">
        <v>633</v>
      </c>
      <c r="N43" s="7" t="s">
        <v>23</v>
      </c>
      <c r="O43" s="7" t="s">
        <v>634</v>
      </c>
    </row>
    <row r="44" spans="1:15" ht="75" x14ac:dyDescent="0.25">
      <c r="A44" s="4">
        <v>43</v>
      </c>
      <c r="B44" s="1" t="s">
        <v>17</v>
      </c>
      <c r="D44" s="1" t="s">
        <v>772</v>
      </c>
      <c r="E44" s="1" t="s">
        <v>773</v>
      </c>
      <c r="F44" s="1" t="s">
        <v>774</v>
      </c>
      <c r="G44" s="1" t="s">
        <v>303</v>
      </c>
      <c r="H44" s="11" t="s">
        <v>635</v>
      </c>
      <c r="I44" s="1" t="s">
        <v>167</v>
      </c>
      <c r="L44" s="1" t="s">
        <v>632</v>
      </c>
      <c r="M44" s="7" t="s">
        <v>633</v>
      </c>
      <c r="N44" s="7" t="s">
        <v>23</v>
      </c>
      <c r="O44" s="7" t="s">
        <v>634</v>
      </c>
    </row>
    <row r="45" spans="1:15" ht="90" x14ac:dyDescent="0.25">
      <c r="A45" s="4">
        <v>44</v>
      </c>
      <c r="B45" s="1" t="s">
        <v>17</v>
      </c>
      <c r="D45" s="1" t="s">
        <v>775</v>
      </c>
      <c r="E45" s="1" t="s">
        <v>776</v>
      </c>
      <c r="F45" s="1" t="s">
        <v>777</v>
      </c>
      <c r="G45" s="1" t="s">
        <v>174</v>
      </c>
      <c r="H45" s="11" t="s">
        <v>635</v>
      </c>
      <c r="I45" s="1" t="s">
        <v>167</v>
      </c>
      <c r="L45" s="1" t="s">
        <v>632</v>
      </c>
      <c r="M45" s="7" t="s">
        <v>633</v>
      </c>
      <c r="N45" s="7" t="s">
        <v>23</v>
      </c>
      <c r="O45" s="7" t="s">
        <v>634</v>
      </c>
    </row>
    <row r="46" spans="1:15" ht="90" x14ac:dyDescent="0.25">
      <c r="A46" s="4">
        <v>45</v>
      </c>
      <c r="B46" s="1" t="s">
        <v>17</v>
      </c>
      <c r="D46" s="1" t="s">
        <v>778</v>
      </c>
      <c r="E46" s="1" t="s">
        <v>779</v>
      </c>
      <c r="F46" s="1" t="s">
        <v>177</v>
      </c>
      <c r="G46" s="1" t="s">
        <v>174</v>
      </c>
      <c r="H46" s="11" t="s">
        <v>635</v>
      </c>
      <c r="I46" s="1" t="s">
        <v>167</v>
      </c>
      <c r="L46" s="1" t="s">
        <v>632</v>
      </c>
      <c r="M46" s="7" t="s">
        <v>633</v>
      </c>
      <c r="N46" s="7" t="s">
        <v>23</v>
      </c>
      <c r="O46" s="7" t="s">
        <v>634</v>
      </c>
    </row>
    <row r="47" spans="1:15" ht="90" x14ac:dyDescent="0.25">
      <c r="A47" s="4">
        <v>46</v>
      </c>
      <c r="B47" s="1" t="s">
        <v>17</v>
      </c>
      <c r="D47" s="1" t="s">
        <v>780</v>
      </c>
      <c r="E47" s="1" t="s">
        <v>781</v>
      </c>
      <c r="F47" s="1" t="s">
        <v>782</v>
      </c>
      <c r="G47" s="1" t="s">
        <v>174</v>
      </c>
      <c r="H47" s="11" t="s">
        <v>635</v>
      </c>
      <c r="I47" s="1" t="s">
        <v>167</v>
      </c>
      <c r="L47" s="1" t="s">
        <v>632</v>
      </c>
      <c r="M47" s="7" t="s">
        <v>633</v>
      </c>
      <c r="N47" s="7" t="s">
        <v>23</v>
      </c>
      <c r="O47" s="7" t="s">
        <v>634</v>
      </c>
    </row>
    <row r="48" spans="1:15" ht="90" x14ac:dyDescent="0.25">
      <c r="A48" s="4">
        <v>47</v>
      </c>
      <c r="B48" s="1" t="s">
        <v>17</v>
      </c>
      <c r="D48" s="1" t="s">
        <v>783</v>
      </c>
      <c r="E48" s="1" t="s">
        <v>784</v>
      </c>
      <c r="F48" s="1" t="s">
        <v>785</v>
      </c>
      <c r="G48" s="1" t="s">
        <v>174</v>
      </c>
      <c r="H48" s="11" t="s">
        <v>635</v>
      </c>
      <c r="I48" s="1" t="s">
        <v>167</v>
      </c>
      <c r="L48" s="1" t="s">
        <v>632</v>
      </c>
      <c r="M48" s="7" t="s">
        <v>633</v>
      </c>
      <c r="N48" s="7" t="s">
        <v>23</v>
      </c>
      <c r="O48" s="7" t="s">
        <v>634</v>
      </c>
    </row>
    <row r="49" spans="1:15" ht="75" x14ac:dyDescent="0.25">
      <c r="A49" s="4">
        <v>48</v>
      </c>
      <c r="B49" s="1" t="s">
        <v>17</v>
      </c>
      <c r="D49" s="1" t="s">
        <v>786</v>
      </c>
      <c r="E49" s="1" t="s">
        <v>787</v>
      </c>
      <c r="F49" s="1" t="s">
        <v>788</v>
      </c>
      <c r="G49" s="1" t="s">
        <v>310</v>
      </c>
      <c r="H49" s="11" t="s">
        <v>635</v>
      </c>
      <c r="I49" s="1" t="s">
        <v>167</v>
      </c>
      <c r="L49" s="1" t="s">
        <v>632</v>
      </c>
      <c r="M49" s="7" t="s">
        <v>633</v>
      </c>
      <c r="N49" s="7" t="s">
        <v>23</v>
      </c>
      <c r="O49" s="7" t="s">
        <v>634</v>
      </c>
    </row>
    <row r="50" spans="1:15" ht="75" x14ac:dyDescent="0.25">
      <c r="A50" s="4">
        <v>49</v>
      </c>
      <c r="B50" s="1" t="s">
        <v>17</v>
      </c>
      <c r="D50" s="1" t="s">
        <v>789</v>
      </c>
      <c r="E50" s="1" t="s">
        <v>790</v>
      </c>
      <c r="F50" s="1" t="s">
        <v>791</v>
      </c>
      <c r="G50" s="1" t="s">
        <v>310</v>
      </c>
      <c r="H50" s="5">
        <v>400</v>
      </c>
      <c r="I50" s="1" t="s">
        <v>167</v>
      </c>
      <c r="L50" s="1" t="s">
        <v>632</v>
      </c>
      <c r="M50" s="7" t="s">
        <v>633</v>
      </c>
      <c r="N50" s="7" t="s">
        <v>23</v>
      </c>
      <c r="O50" s="7" t="s">
        <v>634</v>
      </c>
    </row>
    <row r="51" spans="1:15" ht="225" x14ac:dyDescent="0.25">
      <c r="A51" s="4">
        <v>50</v>
      </c>
      <c r="B51" s="1" t="s">
        <v>17</v>
      </c>
      <c r="D51" s="1" t="s">
        <v>792</v>
      </c>
      <c r="E51" s="1" t="s">
        <v>793</v>
      </c>
      <c r="F51" s="1" t="s">
        <v>371</v>
      </c>
      <c r="G51" s="1" t="s">
        <v>794</v>
      </c>
      <c r="H51" s="5">
        <v>200</v>
      </c>
      <c r="I51" s="1" t="s">
        <v>167</v>
      </c>
      <c r="L51" s="1" t="s">
        <v>632</v>
      </c>
      <c r="M51" s="7" t="s">
        <v>633</v>
      </c>
      <c r="N51" s="7" t="s">
        <v>23</v>
      </c>
      <c r="O51" s="7" t="s">
        <v>634</v>
      </c>
    </row>
    <row r="52" spans="1:15" ht="225" x14ac:dyDescent="0.25">
      <c r="A52" s="4">
        <v>51</v>
      </c>
      <c r="B52" s="1" t="s">
        <v>17</v>
      </c>
      <c r="D52" s="1" t="s">
        <v>795</v>
      </c>
      <c r="E52" s="1" t="s">
        <v>796</v>
      </c>
      <c r="F52" s="1" t="s">
        <v>375</v>
      </c>
      <c r="G52" s="1" t="s">
        <v>797</v>
      </c>
      <c r="H52" s="5">
        <v>200</v>
      </c>
      <c r="I52" s="1" t="s">
        <v>167</v>
      </c>
      <c r="L52" s="1" t="s">
        <v>632</v>
      </c>
      <c r="M52" s="7" t="s">
        <v>633</v>
      </c>
      <c r="N52" s="7" t="s">
        <v>23</v>
      </c>
      <c r="O52" s="7" t="s">
        <v>634</v>
      </c>
    </row>
    <row r="53" spans="1:15" ht="75" x14ac:dyDescent="0.25">
      <c r="A53" s="4">
        <v>52</v>
      </c>
      <c r="B53" s="1" t="s">
        <v>17</v>
      </c>
      <c r="D53" s="1" t="s">
        <v>798</v>
      </c>
      <c r="E53" s="1" t="s">
        <v>799</v>
      </c>
      <c r="F53" s="1" t="s">
        <v>316</v>
      </c>
      <c r="G53" s="1" t="s">
        <v>242</v>
      </c>
      <c r="H53" s="5">
        <v>403</v>
      </c>
      <c r="I53" s="1" t="s">
        <v>167</v>
      </c>
      <c r="L53" s="1" t="s">
        <v>632</v>
      </c>
      <c r="M53" s="7" t="s">
        <v>633</v>
      </c>
      <c r="N53" s="7" t="s">
        <v>23</v>
      </c>
      <c r="O53" s="7" t="s">
        <v>634</v>
      </c>
    </row>
    <row r="54" spans="1:15" ht="75" x14ac:dyDescent="0.25">
      <c r="A54" s="4">
        <v>53</v>
      </c>
      <c r="B54" s="1" t="s">
        <v>17</v>
      </c>
      <c r="D54" s="1" t="s">
        <v>800</v>
      </c>
      <c r="E54" s="1" t="s">
        <v>801</v>
      </c>
      <c r="F54" s="1" t="s">
        <v>319</v>
      </c>
      <c r="G54" s="1" t="s">
        <v>242</v>
      </c>
      <c r="H54" s="5">
        <v>403</v>
      </c>
      <c r="I54" s="1" t="s">
        <v>167</v>
      </c>
      <c r="L54" s="1" t="s">
        <v>632</v>
      </c>
      <c r="M54" s="7" t="s">
        <v>633</v>
      </c>
      <c r="N54" s="7" t="s">
        <v>23</v>
      </c>
      <c r="O54" s="7" t="s">
        <v>634</v>
      </c>
    </row>
    <row r="55" spans="1:15" ht="300" x14ac:dyDescent="0.25">
      <c r="A55" s="4">
        <v>54</v>
      </c>
      <c r="B55" s="1" t="s">
        <v>17</v>
      </c>
      <c r="D55" s="1" t="s">
        <v>802</v>
      </c>
      <c r="E55" s="1" t="s">
        <v>803</v>
      </c>
      <c r="F55" s="1" t="s">
        <v>804</v>
      </c>
      <c r="G55" s="1" t="s">
        <v>805</v>
      </c>
      <c r="H55" s="5">
        <v>200</v>
      </c>
      <c r="I55" s="1" t="s">
        <v>167</v>
      </c>
      <c r="L55" s="1" t="s">
        <v>632</v>
      </c>
      <c r="M55" s="7" t="s">
        <v>633</v>
      </c>
      <c r="N55" s="7" t="s">
        <v>23</v>
      </c>
      <c r="O55" s="7" t="s">
        <v>634</v>
      </c>
    </row>
    <row r="56" spans="1:15" ht="409.5" x14ac:dyDescent="0.25">
      <c r="A56" s="4">
        <v>55</v>
      </c>
      <c r="B56" s="1" t="s">
        <v>17</v>
      </c>
      <c r="D56" s="1" t="s">
        <v>806</v>
      </c>
      <c r="E56" s="1" t="s">
        <v>807</v>
      </c>
      <c r="F56" s="1" t="s">
        <v>379</v>
      </c>
      <c r="G56" s="1" t="s">
        <v>808</v>
      </c>
      <c r="H56" s="5">
        <v>200</v>
      </c>
      <c r="I56" s="1" t="s">
        <v>167</v>
      </c>
      <c r="L56" s="1" t="s">
        <v>632</v>
      </c>
      <c r="M56" s="7" t="s">
        <v>633</v>
      </c>
      <c r="N56" s="7" t="s">
        <v>23</v>
      </c>
      <c r="O56" s="7" t="s">
        <v>634</v>
      </c>
    </row>
    <row r="57" spans="1:15" ht="300" x14ac:dyDescent="0.25">
      <c r="A57" s="4">
        <v>56</v>
      </c>
      <c r="B57" s="1" t="s">
        <v>17</v>
      </c>
      <c r="D57" s="1" t="s">
        <v>809</v>
      </c>
      <c r="E57" s="1" t="s">
        <v>810</v>
      </c>
      <c r="F57" s="1" t="s">
        <v>379</v>
      </c>
      <c r="G57" s="1" t="s">
        <v>811</v>
      </c>
      <c r="H57" s="5">
        <v>400</v>
      </c>
      <c r="I57" s="1" t="s">
        <v>167</v>
      </c>
      <c r="L57" s="1" t="s">
        <v>632</v>
      </c>
      <c r="M57" s="7" t="s">
        <v>633</v>
      </c>
      <c r="N57" s="7" t="s">
        <v>23</v>
      </c>
      <c r="O57" s="7" t="s">
        <v>634</v>
      </c>
    </row>
  </sheetData>
  <phoneticPr fontId="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2E12-76F3-41F8-A6BA-959CBB36AAEA}">
  <sheetPr>
    <tabColor rgb="FF92D050"/>
  </sheetPr>
  <dimension ref="A1:AN191"/>
  <sheetViews>
    <sheetView topLeftCell="L1" zoomScale="85" zoomScaleNormal="85" workbookViewId="0">
      <selection activeCell="R3" sqref="R3"/>
    </sheetView>
  </sheetViews>
  <sheetFormatPr defaultRowHeight="15" x14ac:dyDescent="0.25"/>
  <cols>
    <col min="1" max="1" width="7.5703125" bestFit="1" customWidth="1"/>
    <col min="2" max="2" width="18.28515625" style="4" bestFit="1" customWidth="1"/>
    <col min="3" max="3" width="11.42578125" bestFit="1" customWidth="1"/>
    <col min="4" max="4" width="27.5703125" customWidth="1"/>
    <col min="5" max="5" width="70" style="1" customWidth="1"/>
    <col min="6" max="6" width="34.42578125" style="1" customWidth="1"/>
    <col min="7" max="7" width="48.85546875" style="25"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8"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2" t="s">
        <v>6</v>
      </c>
      <c r="H1" s="2" t="s">
        <v>7</v>
      </c>
      <c r="I1" s="13" t="s">
        <v>812</v>
      </c>
      <c r="J1" s="13" t="s">
        <v>8</v>
      </c>
      <c r="K1" s="9" t="s">
        <v>9</v>
      </c>
      <c r="L1" s="9" t="s">
        <v>11</v>
      </c>
      <c r="M1" s="9" t="s">
        <v>10</v>
      </c>
      <c r="N1" s="9" t="s">
        <v>12</v>
      </c>
      <c r="O1" s="17" t="s">
        <v>13</v>
      </c>
      <c r="P1" s="9" t="s">
        <v>104</v>
      </c>
      <c r="Q1" s="9" t="s">
        <v>14</v>
      </c>
      <c r="R1" s="9" t="s">
        <v>930</v>
      </c>
      <c r="S1" s="10" t="s">
        <v>103</v>
      </c>
      <c r="T1" s="10" t="s">
        <v>16</v>
      </c>
      <c r="U1" s="10" t="s">
        <v>381</v>
      </c>
      <c r="V1" s="10" t="s">
        <v>382</v>
      </c>
      <c r="W1" s="10" t="s">
        <v>383</v>
      </c>
      <c r="X1" s="19" t="s">
        <v>384</v>
      </c>
      <c r="Y1" s="10" t="s">
        <v>385</v>
      </c>
      <c r="Z1" s="10" t="s">
        <v>386</v>
      </c>
      <c r="AA1" s="10" t="s">
        <v>387</v>
      </c>
      <c r="AB1" s="10" t="s">
        <v>388</v>
      </c>
      <c r="AC1" s="10" t="s">
        <v>389</v>
      </c>
      <c r="AD1" s="10" t="s">
        <v>390</v>
      </c>
      <c r="AE1" s="10" t="s">
        <v>391</v>
      </c>
      <c r="AF1" s="10" t="s">
        <v>392</v>
      </c>
      <c r="AG1" s="10" t="s">
        <v>393</v>
      </c>
      <c r="AH1" s="10" t="s">
        <v>394</v>
      </c>
      <c r="AI1" s="26" t="s">
        <v>928</v>
      </c>
      <c r="AJ1" s="26" t="s">
        <v>929</v>
      </c>
      <c r="AK1" s="26" t="s">
        <v>1484</v>
      </c>
      <c r="AL1" s="26" t="s">
        <v>1485</v>
      </c>
      <c r="AM1" s="26" t="s">
        <v>1486</v>
      </c>
      <c r="AN1" s="26" t="s">
        <v>1487</v>
      </c>
    </row>
    <row r="2" spans="1:40" ht="330" x14ac:dyDescent="0.25">
      <c r="A2">
        <v>1</v>
      </c>
      <c r="E2" s="1" t="s">
        <v>1267</v>
      </c>
      <c r="F2" s="1" t="s">
        <v>396</v>
      </c>
      <c r="G2" s="25" t="s">
        <v>1268</v>
      </c>
      <c r="H2">
        <v>202</v>
      </c>
    </row>
    <row r="3" spans="1:40" ht="345" x14ac:dyDescent="0.25">
      <c r="A3">
        <v>2</v>
      </c>
      <c r="E3" s="1" t="s">
        <v>1269</v>
      </c>
      <c r="F3" s="1" t="s">
        <v>413</v>
      </c>
      <c r="G3" s="25" t="s">
        <v>1270</v>
      </c>
      <c r="H3">
        <v>202</v>
      </c>
    </row>
    <row r="4" spans="1:40" ht="345" x14ac:dyDescent="0.25">
      <c r="A4">
        <v>3</v>
      </c>
      <c r="E4" s="1" t="s">
        <v>1271</v>
      </c>
      <c r="F4" s="1" t="s">
        <v>417</v>
      </c>
      <c r="G4" s="25" t="s">
        <v>1272</v>
      </c>
      <c r="H4">
        <v>202</v>
      </c>
    </row>
    <row r="5" spans="1:40" ht="345" x14ac:dyDescent="0.25">
      <c r="A5">
        <v>4</v>
      </c>
      <c r="E5" s="1" t="s">
        <v>1273</v>
      </c>
      <c r="F5" s="1" t="s">
        <v>423</v>
      </c>
      <c r="G5" s="25" t="s">
        <v>1272</v>
      </c>
      <c r="H5">
        <v>202</v>
      </c>
    </row>
    <row r="6" spans="1:40" ht="60" x14ac:dyDescent="0.25">
      <c r="A6">
        <v>5</v>
      </c>
      <c r="E6" s="1" t="s">
        <v>1274</v>
      </c>
      <c r="F6" s="1" t="s">
        <v>980</v>
      </c>
      <c r="G6" s="25" t="s">
        <v>1275</v>
      </c>
      <c r="H6">
        <v>202</v>
      </c>
    </row>
    <row r="7" spans="1:40" ht="60" x14ac:dyDescent="0.25">
      <c r="A7">
        <v>6</v>
      </c>
      <c r="E7" s="1" t="s">
        <v>1276</v>
      </c>
      <c r="F7" s="1" t="s">
        <v>981</v>
      </c>
      <c r="G7" s="25" t="s">
        <v>1275</v>
      </c>
      <c r="H7">
        <v>202</v>
      </c>
    </row>
    <row r="8" spans="1:40" ht="75" x14ac:dyDescent="0.25">
      <c r="A8">
        <v>7</v>
      </c>
      <c r="E8" s="1" t="s">
        <v>1277</v>
      </c>
      <c r="F8" s="1" t="s">
        <v>982</v>
      </c>
      <c r="G8" s="25" t="s">
        <v>1278</v>
      </c>
    </row>
    <row r="9" spans="1:40" ht="75" x14ac:dyDescent="0.25">
      <c r="A9">
        <v>8</v>
      </c>
      <c r="E9" s="1" t="s">
        <v>1279</v>
      </c>
      <c r="F9" s="1" t="s">
        <v>983</v>
      </c>
      <c r="G9" s="25" t="s">
        <v>984</v>
      </c>
    </row>
    <row r="10" spans="1:40" ht="225" x14ac:dyDescent="0.25">
      <c r="A10">
        <v>9</v>
      </c>
      <c r="E10" s="1" t="s">
        <v>1280</v>
      </c>
      <c r="F10" s="1" t="s">
        <v>985</v>
      </c>
      <c r="G10" s="25" t="s">
        <v>1281</v>
      </c>
      <c r="H10">
        <v>202</v>
      </c>
    </row>
    <row r="11" spans="1:40" ht="255" x14ac:dyDescent="0.25">
      <c r="A11">
        <v>10</v>
      </c>
      <c r="E11" s="1" t="s">
        <v>1282</v>
      </c>
      <c r="F11" s="1" t="s">
        <v>1283</v>
      </c>
      <c r="G11" s="25" t="s">
        <v>1284</v>
      </c>
      <c r="H11">
        <v>202</v>
      </c>
    </row>
    <row r="12" spans="1:40" ht="255" x14ac:dyDescent="0.25">
      <c r="A12">
        <v>11</v>
      </c>
      <c r="E12" s="1" t="s">
        <v>1285</v>
      </c>
      <c r="F12" s="1" t="s">
        <v>1286</v>
      </c>
      <c r="G12" s="25" t="s">
        <v>1284</v>
      </c>
      <c r="H12">
        <v>202</v>
      </c>
    </row>
    <row r="13" spans="1:40" ht="255" x14ac:dyDescent="0.25">
      <c r="A13">
        <v>12</v>
      </c>
      <c r="E13" s="1" t="s">
        <v>1287</v>
      </c>
      <c r="F13" s="1" t="s">
        <v>1288</v>
      </c>
      <c r="G13" s="25" t="s">
        <v>1289</v>
      </c>
      <c r="H13">
        <v>202</v>
      </c>
    </row>
    <row r="14" spans="1:40" ht="45" x14ac:dyDescent="0.25">
      <c r="A14">
        <v>13</v>
      </c>
      <c r="E14" s="1" t="s">
        <v>1290</v>
      </c>
      <c r="F14" s="1" t="s">
        <v>986</v>
      </c>
      <c r="G14" s="25" t="s">
        <v>427</v>
      </c>
      <c r="H14">
        <v>400</v>
      </c>
    </row>
    <row r="15" spans="1:40" ht="45" x14ac:dyDescent="0.25">
      <c r="A15">
        <v>14</v>
      </c>
      <c r="E15" s="1" t="s">
        <v>1291</v>
      </c>
      <c r="F15" s="1" t="s">
        <v>987</v>
      </c>
      <c r="G15" s="25" t="s">
        <v>427</v>
      </c>
      <c r="H15">
        <v>400</v>
      </c>
    </row>
    <row r="16" spans="1:40" ht="45" x14ac:dyDescent="0.25">
      <c r="A16">
        <v>15</v>
      </c>
      <c r="E16" s="1" t="s">
        <v>1292</v>
      </c>
      <c r="F16" s="1" t="s">
        <v>988</v>
      </c>
      <c r="G16" s="25" t="s">
        <v>1293</v>
      </c>
      <c r="H16" s="36" t="s">
        <v>1489</v>
      </c>
    </row>
    <row r="17" spans="1:8" ht="45" x14ac:dyDescent="0.25">
      <c r="A17">
        <v>16</v>
      </c>
      <c r="E17" s="1" t="s">
        <v>1294</v>
      </c>
      <c r="F17" s="1" t="s">
        <v>426</v>
      </c>
      <c r="G17" s="25" t="s">
        <v>427</v>
      </c>
      <c r="H17">
        <v>400</v>
      </c>
    </row>
    <row r="18" spans="1:8" ht="45" x14ac:dyDescent="0.25">
      <c r="A18">
        <v>17</v>
      </c>
      <c r="E18" s="1" t="s">
        <v>1295</v>
      </c>
      <c r="F18" s="1" t="s">
        <v>989</v>
      </c>
      <c r="G18" s="25" t="s">
        <v>427</v>
      </c>
      <c r="H18">
        <v>400</v>
      </c>
    </row>
    <row r="19" spans="1:8" ht="45" x14ac:dyDescent="0.25">
      <c r="A19">
        <v>18</v>
      </c>
      <c r="E19" s="1" t="s">
        <v>1296</v>
      </c>
      <c r="F19" s="1" t="s">
        <v>990</v>
      </c>
      <c r="G19" s="25" t="s">
        <v>991</v>
      </c>
      <c r="H19">
        <v>403</v>
      </c>
    </row>
    <row r="20" spans="1:8" ht="45" x14ac:dyDescent="0.25">
      <c r="A20">
        <v>19</v>
      </c>
      <c r="E20" s="1" t="s">
        <v>1297</v>
      </c>
      <c r="F20" s="1" t="s">
        <v>1298</v>
      </c>
      <c r="G20" s="25" t="s">
        <v>433</v>
      </c>
      <c r="H20">
        <v>401</v>
      </c>
    </row>
    <row r="21" spans="1:8" ht="45" x14ac:dyDescent="0.25">
      <c r="A21">
        <v>20</v>
      </c>
      <c r="E21" s="1" t="s">
        <v>1299</v>
      </c>
      <c r="F21" s="1" t="s">
        <v>1209</v>
      </c>
      <c r="G21" s="25" t="s">
        <v>1300</v>
      </c>
      <c r="H21">
        <v>200</v>
      </c>
    </row>
    <row r="22" spans="1:8" ht="45" x14ac:dyDescent="0.25">
      <c r="A22">
        <v>21</v>
      </c>
      <c r="E22" s="1" t="s">
        <v>1301</v>
      </c>
      <c r="F22" s="1" t="s">
        <v>992</v>
      </c>
      <c r="G22" s="25" t="s">
        <v>1302</v>
      </c>
      <c r="H22" t="s">
        <v>1490</v>
      </c>
    </row>
    <row r="23" spans="1:8" ht="45" x14ac:dyDescent="0.25">
      <c r="A23">
        <v>22</v>
      </c>
      <c r="E23" s="1" t="s">
        <v>1303</v>
      </c>
      <c r="F23" s="1" t="s">
        <v>432</v>
      </c>
      <c r="G23" s="25" t="s">
        <v>433</v>
      </c>
      <c r="H23">
        <v>401</v>
      </c>
    </row>
    <row r="24" spans="1:8" ht="225" x14ac:dyDescent="0.25">
      <c r="A24">
        <v>23</v>
      </c>
      <c r="E24" s="1" t="s">
        <v>1304</v>
      </c>
      <c r="F24" s="1" t="s">
        <v>438</v>
      </c>
      <c r="G24" s="25" t="s">
        <v>1305</v>
      </c>
      <c r="H24">
        <v>202</v>
      </c>
    </row>
    <row r="25" spans="1:8" ht="210" x14ac:dyDescent="0.25">
      <c r="A25">
        <v>24</v>
      </c>
      <c r="E25" s="1" t="s">
        <v>1306</v>
      </c>
      <c r="F25" s="1" t="s">
        <v>441</v>
      </c>
      <c r="G25" s="25" t="s">
        <v>1307</v>
      </c>
      <c r="H25">
        <v>202</v>
      </c>
    </row>
    <row r="26" spans="1:8" ht="210" x14ac:dyDescent="0.25">
      <c r="A26">
        <v>25</v>
      </c>
      <c r="E26" s="1" t="s">
        <v>1308</v>
      </c>
      <c r="F26" s="1" t="s">
        <v>444</v>
      </c>
      <c r="G26" s="25" t="s">
        <v>1309</v>
      </c>
      <c r="H26" t="s">
        <v>1491</v>
      </c>
    </row>
    <row r="27" spans="1:8" ht="210" x14ac:dyDescent="0.25">
      <c r="A27">
        <v>26</v>
      </c>
      <c r="E27" s="1" t="s">
        <v>1310</v>
      </c>
      <c r="F27" s="1" t="s">
        <v>447</v>
      </c>
      <c r="G27" s="25" t="s">
        <v>1307</v>
      </c>
      <c r="H27">
        <v>202</v>
      </c>
    </row>
    <row r="28" spans="1:8" ht="210" x14ac:dyDescent="0.25">
      <c r="A28">
        <v>27</v>
      </c>
      <c r="E28" s="1" t="s">
        <v>1311</v>
      </c>
      <c r="F28" s="1" t="s">
        <v>993</v>
      </c>
      <c r="G28" s="25" t="s">
        <v>1307</v>
      </c>
      <c r="H28">
        <v>202</v>
      </c>
    </row>
    <row r="29" spans="1:8" ht="210" x14ac:dyDescent="0.25">
      <c r="A29">
        <v>28</v>
      </c>
      <c r="E29" s="1" t="s">
        <v>1312</v>
      </c>
      <c r="F29" s="1" t="s">
        <v>995</v>
      </c>
      <c r="G29" s="25" t="s">
        <v>1313</v>
      </c>
      <c r="H29">
        <v>200</v>
      </c>
    </row>
    <row r="30" spans="1:8" ht="210" x14ac:dyDescent="0.25">
      <c r="A30">
        <v>29</v>
      </c>
      <c r="E30" s="1" t="s">
        <v>1314</v>
      </c>
      <c r="F30" s="1" t="s">
        <v>996</v>
      </c>
      <c r="G30" s="25" t="s">
        <v>1307</v>
      </c>
      <c r="H30">
        <v>202</v>
      </c>
    </row>
    <row r="31" spans="1:8" ht="210" x14ac:dyDescent="0.25">
      <c r="A31">
        <v>30</v>
      </c>
      <c r="E31" s="1" t="s">
        <v>1315</v>
      </c>
      <c r="F31" s="1" t="s">
        <v>997</v>
      </c>
      <c r="G31" s="25" t="s">
        <v>1309</v>
      </c>
      <c r="H31" t="s">
        <v>1492</v>
      </c>
    </row>
    <row r="32" spans="1:8" ht="210" x14ac:dyDescent="0.25">
      <c r="A32">
        <v>31</v>
      </c>
      <c r="E32" s="1" t="s">
        <v>1316</v>
      </c>
      <c r="F32" s="1" t="s">
        <v>1317</v>
      </c>
      <c r="G32" s="25" t="s">
        <v>1318</v>
      </c>
      <c r="H32">
        <v>202</v>
      </c>
    </row>
    <row r="33" spans="1:8" ht="210" x14ac:dyDescent="0.25">
      <c r="A33">
        <v>32</v>
      </c>
      <c r="E33" s="1" t="s">
        <v>1319</v>
      </c>
      <c r="F33" s="1" t="s">
        <v>998</v>
      </c>
      <c r="G33" s="25" t="s">
        <v>1318</v>
      </c>
      <c r="H33">
        <v>202</v>
      </c>
    </row>
    <row r="34" spans="1:8" ht="210" x14ac:dyDescent="0.25">
      <c r="A34">
        <v>33</v>
      </c>
      <c r="E34" s="1" t="s">
        <v>1320</v>
      </c>
      <c r="F34" s="1" t="s">
        <v>999</v>
      </c>
      <c r="G34" s="25" t="s">
        <v>491</v>
      </c>
      <c r="H34">
        <v>200</v>
      </c>
    </row>
    <row r="35" spans="1:8" ht="210" x14ac:dyDescent="0.25">
      <c r="A35">
        <v>34</v>
      </c>
      <c r="E35" s="1" t="s">
        <v>1321</v>
      </c>
      <c r="F35" s="1" t="s">
        <v>1000</v>
      </c>
      <c r="G35" s="25" t="s">
        <v>1318</v>
      </c>
      <c r="H35">
        <v>202</v>
      </c>
    </row>
    <row r="36" spans="1:8" ht="210" x14ac:dyDescent="0.25">
      <c r="A36">
        <v>35</v>
      </c>
      <c r="E36" s="1" t="s">
        <v>1322</v>
      </c>
      <c r="F36" s="1" t="s">
        <v>1001</v>
      </c>
      <c r="G36" s="25" t="s">
        <v>1318</v>
      </c>
      <c r="H36">
        <v>202</v>
      </c>
    </row>
    <row r="37" spans="1:8" ht="210" x14ac:dyDescent="0.25">
      <c r="A37">
        <v>36</v>
      </c>
      <c r="E37" s="1" t="s">
        <v>1323</v>
      </c>
      <c r="F37" s="1" t="s">
        <v>1002</v>
      </c>
      <c r="G37" s="25" t="s">
        <v>1318</v>
      </c>
      <c r="H37">
        <v>202</v>
      </c>
    </row>
    <row r="38" spans="1:8" ht="210" x14ac:dyDescent="0.25">
      <c r="A38">
        <v>37</v>
      </c>
      <c r="E38" s="1" t="s">
        <v>1324</v>
      </c>
      <c r="F38" s="1" t="s">
        <v>449</v>
      </c>
      <c r="G38" s="25" t="s">
        <v>1318</v>
      </c>
      <c r="H38">
        <v>202</v>
      </c>
    </row>
    <row r="39" spans="1:8" ht="210" x14ac:dyDescent="0.25">
      <c r="A39">
        <v>38</v>
      </c>
      <c r="E39" s="1" t="s">
        <v>1325</v>
      </c>
      <c r="F39" s="1" t="s">
        <v>452</v>
      </c>
      <c r="G39" s="25" t="s">
        <v>491</v>
      </c>
      <c r="H39">
        <v>200</v>
      </c>
    </row>
    <row r="40" spans="1:8" ht="210" x14ac:dyDescent="0.25">
      <c r="A40">
        <v>39</v>
      </c>
      <c r="E40" s="1" t="s">
        <v>1326</v>
      </c>
      <c r="F40" s="1" t="s">
        <v>454</v>
      </c>
      <c r="G40" s="25" t="s">
        <v>1318</v>
      </c>
      <c r="H40">
        <v>202</v>
      </c>
    </row>
    <row r="41" spans="1:8" ht="225" x14ac:dyDescent="0.25">
      <c r="A41">
        <v>40</v>
      </c>
      <c r="E41" s="1" t="s">
        <v>1327</v>
      </c>
      <c r="F41" s="1" t="s">
        <v>456</v>
      </c>
      <c r="G41" s="25" t="s">
        <v>1328</v>
      </c>
      <c r="H41" t="s">
        <v>1493</v>
      </c>
    </row>
    <row r="42" spans="1:8" ht="210" x14ac:dyDescent="0.25">
      <c r="A42">
        <v>41</v>
      </c>
      <c r="E42" s="1" t="s">
        <v>1329</v>
      </c>
      <c r="F42" s="1" t="s">
        <v>1003</v>
      </c>
      <c r="G42" s="25" t="s">
        <v>1318</v>
      </c>
      <c r="H42">
        <v>202</v>
      </c>
    </row>
    <row r="43" spans="1:8" ht="210" x14ac:dyDescent="0.25">
      <c r="A43">
        <v>42</v>
      </c>
      <c r="E43" s="1" t="s">
        <v>1330</v>
      </c>
      <c r="F43" s="1" t="s">
        <v>1004</v>
      </c>
      <c r="G43" s="25" t="s">
        <v>1318</v>
      </c>
      <c r="H43">
        <v>202</v>
      </c>
    </row>
    <row r="44" spans="1:8" ht="210" x14ac:dyDescent="0.25">
      <c r="A44">
        <v>43</v>
      </c>
      <c r="E44" s="1" t="s">
        <v>1331</v>
      </c>
      <c r="F44" s="1" t="s">
        <v>1005</v>
      </c>
      <c r="G44" s="25" t="s">
        <v>1307</v>
      </c>
      <c r="H44">
        <v>202</v>
      </c>
    </row>
    <row r="45" spans="1:8" ht="210" x14ac:dyDescent="0.25">
      <c r="A45">
        <v>44</v>
      </c>
      <c r="E45" s="1" t="s">
        <v>1332</v>
      </c>
      <c r="F45" s="1" t="s">
        <v>1006</v>
      </c>
      <c r="G45" s="25" t="s">
        <v>1309</v>
      </c>
      <c r="H45">
        <v>202</v>
      </c>
    </row>
    <row r="46" spans="1:8" ht="210" x14ac:dyDescent="0.25">
      <c r="A46">
        <v>45</v>
      </c>
      <c r="E46" s="1" t="s">
        <v>1333</v>
      </c>
      <c r="F46" s="1" t="s">
        <v>1007</v>
      </c>
      <c r="G46" s="25" t="s">
        <v>1318</v>
      </c>
      <c r="H46">
        <v>200</v>
      </c>
    </row>
    <row r="47" spans="1:8" ht="210" x14ac:dyDescent="0.25">
      <c r="A47">
        <v>46</v>
      </c>
      <c r="E47" s="1" t="s">
        <v>1334</v>
      </c>
      <c r="F47" s="1" t="s">
        <v>1008</v>
      </c>
      <c r="G47" s="25" t="s">
        <v>1318</v>
      </c>
    </row>
    <row r="48" spans="1:8" ht="210" x14ac:dyDescent="0.25">
      <c r="A48">
        <v>47</v>
      </c>
      <c r="E48" s="1" t="s">
        <v>1335</v>
      </c>
      <c r="F48" s="1" t="s">
        <v>1009</v>
      </c>
      <c r="G48" s="25" t="s">
        <v>1318</v>
      </c>
    </row>
    <row r="49" spans="1:7" ht="210" x14ac:dyDescent="0.25">
      <c r="A49">
        <v>48</v>
      </c>
      <c r="E49" s="1" t="s">
        <v>1336</v>
      </c>
      <c r="F49" s="1" t="s">
        <v>1010</v>
      </c>
      <c r="G49" s="25" t="s">
        <v>1307</v>
      </c>
    </row>
    <row r="50" spans="1:7" ht="210" x14ac:dyDescent="0.25">
      <c r="A50">
        <v>49</v>
      </c>
      <c r="E50" s="1" t="s">
        <v>1337</v>
      </c>
      <c r="F50" s="1" t="s">
        <v>1011</v>
      </c>
      <c r="G50" s="25" t="s">
        <v>1318</v>
      </c>
    </row>
    <row r="51" spans="1:7" ht="210" x14ac:dyDescent="0.25">
      <c r="A51">
        <v>50</v>
      </c>
      <c r="E51" s="1" t="s">
        <v>1338</v>
      </c>
      <c r="F51" s="1" t="s">
        <v>1012</v>
      </c>
      <c r="G51" s="25" t="s">
        <v>1318</v>
      </c>
    </row>
    <row r="52" spans="1:7" ht="210" x14ac:dyDescent="0.25">
      <c r="A52">
        <v>51</v>
      </c>
      <c r="E52" s="1" t="s">
        <v>1339</v>
      </c>
      <c r="F52" s="1" t="s">
        <v>1013</v>
      </c>
      <c r="G52" s="25" t="s">
        <v>1318</v>
      </c>
    </row>
    <row r="53" spans="1:7" ht="210" x14ac:dyDescent="0.25">
      <c r="A53">
        <v>52</v>
      </c>
      <c r="E53" s="1" t="s">
        <v>1340</v>
      </c>
      <c r="F53" s="1" t="s">
        <v>1014</v>
      </c>
      <c r="G53" s="25" t="s">
        <v>1318</v>
      </c>
    </row>
    <row r="54" spans="1:7" ht="210" x14ac:dyDescent="0.25">
      <c r="A54">
        <v>53</v>
      </c>
      <c r="E54" s="1" t="s">
        <v>1341</v>
      </c>
      <c r="F54" s="1" t="s">
        <v>1015</v>
      </c>
      <c r="G54" s="25" t="s">
        <v>1318</v>
      </c>
    </row>
    <row r="55" spans="1:7" ht="210" x14ac:dyDescent="0.25">
      <c r="A55">
        <v>54</v>
      </c>
      <c r="E55" s="1" t="s">
        <v>1342</v>
      </c>
      <c r="F55" s="1" t="s">
        <v>1016</v>
      </c>
      <c r="G55" s="25" t="s">
        <v>1318</v>
      </c>
    </row>
    <row r="56" spans="1:7" ht="210" x14ac:dyDescent="0.25">
      <c r="A56">
        <v>55</v>
      </c>
      <c r="E56" s="1" t="s">
        <v>1343</v>
      </c>
      <c r="F56" s="1" t="s">
        <v>1017</v>
      </c>
      <c r="G56" s="25" t="s">
        <v>1318</v>
      </c>
    </row>
    <row r="57" spans="1:7" ht="210" x14ac:dyDescent="0.25">
      <c r="A57">
        <v>56</v>
      </c>
      <c r="E57" s="1" t="s">
        <v>1344</v>
      </c>
      <c r="F57" s="1" t="s">
        <v>1018</v>
      </c>
      <c r="G57" s="25" t="s">
        <v>1318</v>
      </c>
    </row>
    <row r="58" spans="1:7" ht="210" x14ac:dyDescent="0.25">
      <c r="A58">
        <v>57</v>
      </c>
      <c r="E58" s="1" t="s">
        <v>1345</v>
      </c>
      <c r="F58" s="1" t="s">
        <v>1019</v>
      </c>
      <c r="G58" s="25" t="s">
        <v>1346</v>
      </c>
    </row>
    <row r="59" spans="1:7" ht="210" x14ac:dyDescent="0.25">
      <c r="A59">
        <v>58</v>
      </c>
      <c r="E59" s="1" t="s">
        <v>1347</v>
      </c>
      <c r="F59" s="1" t="s">
        <v>1020</v>
      </c>
      <c r="G59" s="25" t="s">
        <v>1318</v>
      </c>
    </row>
    <row r="60" spans="1:7" ht="210" x14ac:dyDescent="0.25">
      <c r="A60">
        <v>59</v>
      </c>
      <c r="E60" s="1" t="s">
        <v>1348</v>
      </c>
      <c r="F60" s="1" t="s">
        <v>1021</v>
      </c>
      <c r="G60" s="25" t="s">
        <v>1318</v>
      </c>
    </row>
    <row r="61" spans="1:7" ht="180" x14ac:dyDescent="0.25">
      <c r="A61">
        <v>60</v>
      </c>
      <c r="E61" s="1" t="s">
        <v>1349</v>
      </c>
      <c r="F61" s="1" t="s">
        <v>1022</v>
      </c>
      <c r="G61" s="25" t="s">
        <v>1350</v>
      </c>
    </row>
    <row r="62" spans="1:7" ht="180" x14ac:dyDescent="0.25">
      <c r="A62">
        <v>61</v>
      </c>
      <c r="E62" s="1" t="s">
        <v>1351</v>
      </c>
      <c r="F62" s="1" t="s">
        <v>1023</v>
      </c>
      <c r="G62" s="25" t="s">
        <v>1350</v>
      </c>
    </row>
    <row r="63" spans="1:7" ht="210" x14ac:dyDescent="0.25">
      <c r="A63">
        <v>62</v>
      </c>
      <c r="E63" s="1" t="s">
        <v>1352</v>
      </c>
      <c r="F63" s="1" t="s">
        <v>1024</v>
      </c>
      <c r="G63" s="25" t="s">
        <v>1318</v>
      </c>
    </row>
    <row r="64" spans="1:7" ht="210" x14ac:dyDescent="0.25">
      <c r="A64">
        <v>63</v>
      </c>
      <c r="E64" s="1" t="s">
        <v>1353</v>
      </c>
      <c r="F64" s="1" t="s">
        <v>1025</v>
      </c>
      <c r="G64" s="25" t="s">
        <v>1318</v>
      </c>
    </row>
    <row r="65" spans="1:7" ht="180" x14ac:dyDescent="0.25">
      <c r="A65">
        <v>64</v>
      </c>
      <c r="E65" s="1" t="s">
        <v>1354</v>
      </c>
      <c r="F65" s="1" t="s">
        <v>1026</v>
      </c>
      <c r="G65" s="25" t="s">
        <v>1350</v>
      </c>
    </row>
    <row r="66" spans="1:7" ht="180" x14ac:dyDescent="0.25">
      <c r="A66">
        <v>65</v>
      </c>
      <c r="E66" s="1" t="s">
        <v>1355</v>
      </c>
      <c r="F66" s="1" t="s">
        <v>1027</v>
      </c>
      <c r="G66" s="25" t="s">
        <v>1350</v>
      </c>
    </row>
    <row r="67" spans="1:7" ht="210" x14ac:dyDescent="0.25">
      <c r="A67">
        <v>66</v>
      </c>
      <c r="E67" s="1" t="s">
        <v>1356</v>
      </c>
      <c r="F67" s="1" t="s">
        <v>1028</v>
      </c>
      <c r="G67" s="25" t="s">
        <v>1318</v>
      </c>
    </row>
    <row r="68" spans="1:7" ht="225" x14ac:dyDescent="0.25">
      <c r="A68">
        <v>67</v>
      </c>
      <c r="E68" s="1" t="s">
        <v>1357</v>
      </c>
      <c r="F68" s="1" t="s">
        <v>1029</v>
      </c>
      <c r="G68" s="25" t="s">
        <v>1358</v>
      </c>
    </row>
    <row r="69" spans="1:7" ht="210" x14ac:dyDescent="0.25">
      <c r="A69">
        <v>68</v>
      </c>
      <c r="E69" s="1" t="s">
        <v>1359</v>
      </c>
      <c r="F69" s="1" t="s">
        <v>1030</v>
      </c>
      <c r="G69" s="25" t="s">
        <v>1318</v>
      </c>
    </row>
    <row r="70" spans="1:7" ht="210" x14ac:dyDescent="0.25">
      <c r="A70">
        <v>69</v>
      </c>
      <c r="E70" s="1" t="s">
        <v>1360</v>
      </c>
      <c r="F70" s="1" t="s">
        <v>1031</v>
      </c>
      <c r="G70" s="25" t="s">
        <v>1318</v>
      </c>
    </row>
    <row r="71" spans="1:7" ht="210" x14ac:dyDescent="0.25">
      <c r="A71">
        <v>70</v>
      </c>
      <c r="E71" s="1" t="s">
        <v>1361</v>
      </c>
      <c r="F71" s="1" t="s">
        <v>1032</v>
      </c>
      <c r="G71" s="25" t="s">
        <v>1318</v>
      </c>
    </row>
    <row r="72" spans="1:7" ht="210" x14ac:dyDescent="0.25">
      <c r="A72">
        <v>71</v>
      </c>
      <c r="E72" s="1" t="s">
        <v>1362</v>
      </c>
      <c r="F72" s="1" t="s">
        <v>1033</v>
      </c>
      <c r="G72" s="25" t="s">
        <v>1318</v>
      </c>
    </row>
    <row r="73" spans="1:7" ht="210" x14ac:dyDescent="0.25">
      <c r="A73">
        <v>72</v>
      </c>
      <c r="E73" s="1" t="s">
        <v>1363</v>
      </c>
      <c r="F73" s="1" t="s">
        <v>1034</v>
      </c>
      <c r="G73" s="25" t="s">
        <v>1318</v>
      </c>
    </row>
    <row r="74" spans="1:7" ht="210" x14ac:dyDescent="0.25">
      <c r="A74">
        <v>73</v>
      </c>
      <c r="E74" s="1" t="s">
        <v>1364</v>
      </c>
      <c r="F74" s="1" t="s">
        <v>1035</v>
      </c>
      <c r="G74" s="25" t="s">
        <v>1318</v>
      </c>
    </row>
    <row r="75" spans="1:7" ht="210" x14ac:dyDescent="0.25">
      <c r="A75">
        <v>74</v>
      </c>
      <c r="E75" s="1" t="s">
        <v>1365</v>
      </c>
      <c r="F75" s="1" t="s">
        <v>1036</v>
      </c>
      <c r="G75" s="25" t="s">
        <v>1318</v>
      </c>
    </row>
    <row r="76" spans="1:7" ht="45" x14ac:dyDescent="0.25">
      <c r="A76">
        <v>75</v>
      </c>
      <c r="B76" s="4" t="s">
        <v>915</v>
      </c>
      <c r="E76" s="33" t="s">
        <v>1251</v>
      </c>
      <c r="F76" s="33" t="s">
        <v>940</v>
      </c>
      <c r="G76" s="31" t="s">
        <v>459</v>
      </c>
    </row>
    <row r="77" spans="1:7" ht="45" x14ac:dyDescent="0.25">
      <c r="A77">
        <v>76</v>
      </c>
      <c r="B77" s="4" t="s">
        <v>915</v>
      </c>
      <c r="E77" s="33" t="s">
        <v>1252</v>
      </c>
      <c r="F77" s="33" t="s">
        <v>942</v>
      </c>
      <c r="G77" s="31" t="s">
        <v>459</v>
      </c>
    </row>
    <row r="78" spans="1:7" ht="60" x14ac:dyDescent="0.25">
      <c r="A78">
        <v>77</v>
      </c>
      <c r="B78" s="4" t="s">
        <v>915</v>
      </c>
      <c r="E78" s="33" t="s">
        <v>1253</v>
      </c>
      <c r="F78" s="33" t="s">
        <v>944</v>
      </c>
      <c r="G78" s="31" t="s">
        <v>459</v>
      </c>
    </row>
    <row r="79" spans="1:7" ht="60" x14ac:dyDescent="0.25">
      <c r="A79">
        <v>78</v>
      </c>
      <c r="B79" s="4" t="s">
        <v>915</v>
      </c>
      <c r="E79" s="33" t="s">
        <v>1254</v>
      </c>
      <c r="F79" s="33" t="s">
        <v>946</v>
      </c>
      <c r="G79" s="31" t="s">
        <v>459</v>
      </c>
    </row>
    <row r="80" spans="1:7" ht="60" x14ac:dyDescent="0.25">
      <c r="A80">
        <v>79</v>
      </c>
      <c r="B80" s="4" t="s">
        <v>915</v>
      </c>
      <c r="E80" s="33" t="s">
        <v>1255</v>
      </c>
      <c r="F80" s="33" t="s">
        <v>948</v>
      </c>
      <c r="G80" s="31" t="s">
        <v>459</v>
      </c>
    </row>
    <row r="81" spans="1:7" ht="60" x14ac:dyDescent="0.25">
      <c r="A81">
        <v>80</v>
      </c>
      <c r="B81" s="4" t="s">
        <v>915</v>
      </c>
      <c r="E81" s="33" t="s">
        <v>1256</v>
      </c>
      <c r="F81" s="33" t="s">
        <v>950</v>
      </c>
      <c r="G81" s="31" t="s">
        <v>459</v>
      </c>
    </row>
    <row r="82" spans="1:7" ht="60" x14ac:dyDescent="0.25">
      <c r="A82">
        <v>81</v>
      </c>
      <c r="B82" s="4" t="s">
        <v>915</v>
      </c>
      <c r="E82" s="33" t="s">
        <v>1257</v>
      </c>
      <c r="F82" s="33" t="s">
        <v>952</v>
      </c>
      <c r="G82" s="31" t="s">
        <v>459</v>
      </c>
    </row>
    <row r="83" spans="1:7" ht="60" x14ac:dyDescent="0.25">
      <c r="A83">
        <v>82</v>
      </c>
      <c r="B83" s="4" t="s">
        <v>915</v>
      </c>
      <c r="E83" s="33" t="s">
        <v>1258</v>
      </c>
      <c r="F83" s="33" t="s">
        <v>954</v>
      </c>
      <c r="G83" s="31" t="s">
        <v>459</v>
      </c>
    </row>
    <row r="84" spans="1:7" ht="60" x14ac:dyDescent="0.25">
      <c r="A84">
        <v>83</v>
      </c>
      <c r="B84" s="4" t="s">
        <v>915</v>
      </c>
      <c r="E84" s="33" t="s">
        <v>1259</v>
      </c>
      <c r="F84" s="33" t="s">
        <v>956</v>
      </c>
      <c r="G84" s="31" t="s">
        <v>459</v>
      </c>
    </row>
    <row r="85" spans="1:7" ht="60" x14ac:dyDescent="0.25">
      <c r="A85">
        <v>84</v>
      </c>
      <c r="B85" s="4" t="s">
        <v>915</v>
      </c>
      <c r="E85" s="33" t="s">
        <v>1260</v>
      </c>
      <c r="F85" s="33" t="s">
        <v>958</v>
      </c>
      <c r="G85" s="31" t="s">
        <v>459</v>
      </c>
    </row>
    <row r="86" spans="1:7" ht="60" x14ac:dyDescent="0.25">
      <c r="A86">
        <v>85</v>
      </c>
      <c r="B86" s="4" t="s">
        <v>915</v>
      </c>
      <c r="E86" s="33" t="s">
        <v>1261</v>
      </c>
      <c r="F86" s="33" t="s">
        <v>960</v>
      </c>
      <c r="G86" s="31" t="s">
        <v>459</v>
      </c>
    </row>
    <row r="87" spans="1:7" ht="60" x14ac:dyDescent="0.25">
      <c r="A87">
        <v>86</v>
      </c>
      <c r="B87" s="4" t="s">
        <v>915</v>
      </c>
      <c r="E87" s="33" t="s">
        <v>1262</v>
      </c>
      <c r="F87" s="33" t="s">
        <v>962</v>
      </c>
      <c r="G87" s="31" t="s">
        <v>459</v>
      </c>
    </row>
    <row r="88" spans="1:7" ht="60" x14ac:dyDescent="0.25">
      <c r="A88">
        <v>87</v>
      </c>
      <c r="E88" s="1" t="s">
        <v>1366</v>
      </c>
      <c r="F88" s="1" t="s">
        <v>458</v>
      </c>
      <c r="G88" s="25" t="s">
        <v>1367</v>
      </c>
    </row>
    <row r="89" spans="1:7" ht="60" x14ac:dyDescent="0.25">
      <c r="A89">
        <v>88</v>
      </c>
      <c r="E89" s="1" t="s">
        <v>1368</v>
      </c>
      <c r="F89" s="1" t="s">
        <v>462</v>
      </c>
      <c r="G89" s="25" t="s">
        <v>1369</v>
      </c>
    </row>
    <row r="90" spans="1:7" ht="75" x14ac:dyDescent="0.25">
      <c r="A90">
        <v>89</v>
      </c>
      <c r="E90" s="1" t="s">
        <v>1370</v>
      </c>
      <c r="F90" s="1" t="s">
        <v>464</v>
      </c>
      <c r="G90" s="25" t="s">
        <v>1041</v>
      </c>
    </row>
    <row r="91" spans="1:7" ht="75" x14ac:dyDescent="0.25">
      <c r="A91">
        <v>90</v>
      </c>
      <c r="E91" s="1" t="s">
        <v>1371</v>
      </c>
      <c r="F91" s="1" t="s">
        <v>466</v>
      </c>
      <c r="G91" s="25" t="s">
        <v>1369</v>
      </c>
    </row>
    <row r="92" spans="1:7" ht="60" x14ac:dyDescent="0.25">
      <c r="A92">
        <v>91</v>
      </c>
      <c r="E92" s="1" t="s">
        <v>1372</v>
      </c>
      <c r="F92" s="1" t="s">
        <v>468</v>
      </c>
      <c r="G92" s="25" t="s">
        <v>459</v>
      </c>
    </row>
    <row r="93" spans="1:7" ht="60" x14ac:dyDescent="0.25">
      <c r="A93">
        <v>92</v>
      </c>
      <c r="E93" s="1" t="s">
        <v>1373</v>
      </c>
      <c r="F93" s="1" t="s">
        <v>470</v>
      </c>
      <c r="G93" s="25" t="s">
        <v>459</v>
      </c>
    </row>
    <row r="94" spans="1:7" ht="60" x14ac:dyDescent="0.25">
      <c r="A94">
        <v>93</v>
      </c>
      <c r="E94" s="1" t="s">
        <v>1374</v>
      </c>
      <c r="F94" s="1" t="s">
        <v>472</v>
      </c>
      <c r="G94" s="25" t="s">
        <v>459</v>
      </c>
    </row>
    <row r="95" spans="1:7" ht="60" x14ac:dyDescent="0.25">
      <c r="A95">
        <v>94</v>
      </c>
      <c r="E95" s="1" t="s">
        <v>1375</v>
      </c>
      <c r="F95" s="1" t="s">
        <v>474</v>
      </c>
      <c r="G95" s="25" t="s">
        <v>459</v>
      </c>
    </row>
    <row r="96" spans="1:7" ht="60" x14ac:dyDescent="0.25">
      <c r="A96">
        <v>95</v>
      </c>
      <c r="E96" s="1" t="s">
        <v>1376</v>
      </c>
      <c r="F96" s="1" t="s">
        <v>476</v>
      </c>
      <c r="G96" s="25" t="s">
        <v>459</v>
      </c>
    </row>
    <row r="97" spans="1:7" ht="60" x14ac:dyDescent="0.25">
      <c r="A97">
        <v>96</v>
      </c>
      <c r="E97" s="1" t="s">
        <v>1377</v>
      </c>
      <c r="F97" s="1" t="s">
        <v>478</v>
      </c>
      <c r="G97" s="25" t="s">
        <v>459</v>
      </c>
    </row>
    <row r="98" spans="1:7" ht="75" x14ac:dyDescent="0.25">
      <c r="A98">
        <v>97</v>
      </c>
      <c r="E98" s="1" t="s">
        <v>1378</v>
      </c>
      <c r="F98" s="1" t="s">
        <v>480</v>
      </c>
      <c r="G98" s="25" t="s">
        <v>1369</v>
      </c>
    </row>
    <row r="99" spans="1:7" ht="75" x14ac:dyDescent="0.25">
      <c r="A99">
        <v>98</v>
      </c>
      <c r="E99" s="1" t="s">
        <v>1379</v>
      </c>
      <c r="F99" s="1" t="s">
        <v>482</v>
      </c>
      <c r="G99" s="25" t="s">
        <v>459</v>
      </c>
    </row>
    <row r="100" spans="1:7" ht="210" x14ac:dyDescent="0.25">
      <c r="A100">
        <v>99</v>
      </c>
      <c r="E100" s="1" t="s">
        <v>1380</v>
      </c>
      <c r="F100" s="1" t="s">
        <v>1045</v>
      </c>
      <c r="G100" s="25" t="s">
        <v>1318</v>
      </c>
    </row>
    <row r="101" spans="1:7" ht="210" x14ac:dyDescent="0.25">
      <c r="A101">
        <v>100</v>
      </c>
      <c r="E101" s="1" t="s">
        <v>1381</v>
      </c>
      <c r="F101" s="1" t="s">
        <v>1047</v>
      </c>
      <c r="G101" s="25" t="s">
        <v>1318</v>
      </c>
    </row>
    <row r="102" spans="1:7" ht="210" x14ac:dyDescent="0.25">
      <c r="A102">
        <v>101</v>
      </c>
      <c r="E102" s="1" t="s">
        <v>1382</v>
      </c>
      <c r="F102" s="1" t="s">
        <v>1049</v>
      </c>
      <c r="G102" s="25" t="s">
        <v>1318</v>
      </c>
    </row>
    <row r="103" spans="1:7" ht="210" x14ac:dyDescent="0.25">
      <c r="A103">
        <v>102</v>
      </c>
      <c r="E103" s="1" t="s">
        <v>1383</v>
      </c>
      <c r="F103" s="1" t="s">
        <v>1051</v>
      </c>
      <c r="G103" s="25" t="s">
        <v>1318</v>
      </c>
    </row>
    <row r="104" spans="1:7" ht="210" x14ac:dyDescent="0.25">
      <c r="A104">
        <v>103</v>
      </c>
      <c r="E104" s="1" t="s">
        <v>1384</v>
      </c>
      <c r="F104" s="1" t="s">
        <v>484</v>
      </c>
      <c r="G104" s="25" t="s">
        <v>1318</v>
      </c>
    </row>
    <row r="105" spans="1:7" ht="210" x14ac:dyDescent="0.25">
      <c r="A105">
        <v>104</v>
      </c>
      <c r="E105" s="1" t="s">
        <v>1385</v>
      </c>
      <c r="F105" s="1" t="s">
        <v>486</v>
      </c>
      <c r="G105" s="25" t="s">
        <v>1318</v>
      </c>
    </row>
    <row r="106" spans="1:7" ht="210" x14ac:dyDescent="0.25">
      <c r="A106">
        <v>105</v>
      </c>
      <c r="E106" s="1" t="s">
        <v>1386</v>
      </c>
      <c r="F106" s="1" t="s">
        <v>488</v>
      </c>
      <c r="G106" s="25" t="s">
        <v>1318</v>
      </c>
    </row>
    <row r="107" spans="1:7" ht="210" x14ac:dyDescent="0.25">
      <c r="A107">
        <v>106</v>
      </c>
      <c r="E107" s="1" t="s">
        <v>1387</v>
      </c>
      <c r="F107" s="1" t="s">
        <v>490</v>
      </c>
      <c r="G107" s="25" t="s">
        <v>1318</v>
      </c>
    </row>
    <row r="108" spans="1:7" ht="60" x14ac:dyDescent="0.25">
      <c r="A108">
        <v>107</v>
      </c>
      <c r="E108" s="1" t="s">
        <v>1388</v>
      </c>
      <c r="F108" s="1" t="s">
        <v>493</v>
      </c>
      <c r="G108" s="25" t="s">
        <v>1057</v>
      </c>
    </row>
    <row r="109" spans="1:7" ht="60" x14ac:dyDescent="0.25">
      <c r="A109">
        <v>108</v>
      </c>
      <c r="E109" s="1" t="s">
        <v>1389</v>
      </c>
      <c r="F109" s="1" t="s">
        <v>496</v>
      </c>
      <c r="G109" s="25" t="s">
        <v>1057</v>
      </c>
    </row>
    <row r="110" spans="1:7" ht="60" x14ac:dyDescent="0.25">
      <c r="A110">
        <v>109</v>
      </c>
      <c r="E110" s="1" t="s">
        <v>1390</v>
      </c>
      <c r="F110" s="1" t="s">
        <v>498</v>
      </c>
      <c r="G110" s="25" t="s">
        <v>1057</v>
      </c>
    </row>
    <row r="111" spans="1:7" ht="60" x14ac:dyDescent="0.25">
      <c r="A111">
        <v>110</v>
      </c>
      <c r="E111" s="1" t="s">
        <v>1391</v>
      </c>
      <c r="F111" s="1" t="s">
        <v>500</v>
      </c>
      <c r="G111" s="25" t="s">
        <v>1057</v>
      </c>
    </row>
    <row r="112" spans="1:7" ht="60" x14ac:dyDescent="0.25">
      <c r="A112">
        <v>111</v>
      </c>
      <c r="E112" s="1" t="s">
        <v>1392</v>
      </c>
      <c r="F112" s="1" t="s">
        <v>502</v>
      </c>
      <c r="G112" s="25" t="s">
        <v>459</v>
      </c>
    </row>
    <row r="113" spans="1:7" ht="60" x14ac:dyDescent="0.25">
      <c r="A113">
        <v>112</v>
      </c>
      <c r="E113" s="1" t="s">
        <v>1393</v>
      </c>
      <c r="F113" s="1" t="s">
        <v>504</v>
      </c>
      <c r="G113" s="25" t="s">
        <v>459</v>
      </c>
    </row>
    <row r="114" spans="1:7" ht="60" x14ac:dyDescent="0.25">
      <c r="A114">
        <v>113</v>
      </c>
      <c r="E114" s="1" t="s">
        <v>1394</v>
      </c>
      <c r="F114" s="1" t="s">
        <v>506</v>
      </c>
      <c r="G114" s="25" t="s">
        <v>459</v>
      </c>
    </row>
    <row r="115" spans="1:7" ht="60" x14ac:dyDescent="0.25">
      <c r="A115">
        <v>114</v>
      </c>
      <c r="E115" s="1" t="s">
        <v>1395</v>
      </c>
      <c r="F115" s="1" t="s">
        <v>508</v>
      </c>
      <c r="G115" s="25" t="s">
        <v>459</v>
      </c>
    </row>
    <row r="116" spans="1:7" ht="60" x14ac:dyDescent="0.25">
      <c r="A116">
        <v>115</v>
      </c>
      <c r="E116" s="1" t="s">
        <v>1396</v>
      </c>
      <c r="F116" s="1" t="s">
        <v>510</v>
      </c>
      <c r="G116" s="25" t="s">
        <v>1057</v>
      </c>
    </row>
    <row r="117" spans="1:7" ht="60" x14ac:dyDescent="0.25">
      <c r="A117">
        <v>116</v>
      </c>
      <c r="E117" s="1" t="s">
        <v>1397</v>
      </c>
      <c r="F117" s="1" t="s">
        <v>512</v>
      </c>
      <c r="G117" s="25" t="s">
        <v>1057</v>
      </c>
    </row>
    <row r="118" spans="1:7" ht="60" x14ac:dyDescent="0.25">
      <c r="A118">
        <v>117</v>
      </c>
      <c r="E118" s="1" t="s">
        <v>1398</v>
      </c>
      <c r="F118" s="1" t="s">
        <v>514</v>
      </c>
      <c r="G118" s="25" t="s">
        <v>1057</v>
      </c>
    </row>
    <row r="119" spans="1:7" ht="60" x14ac:dyDescent="0.25">
      <c r="A119">
        <v>118</v>
      </c>
      <c r="E119" s="1" t="s">
        <v>1399</v>
      </c>
      <c r="F119" s="1" t="s">
        <v>516</v>
      </c>
      <c r="G119" s="25" t="s">
        <v>1057</v>
      </c>
    </row>
    <row r="120" spans="1:7" ht="60" x14ac:dyDescent="0.25">
      <c r="A120">
        <v>119</v>
      </c>
      <c r="E120" s="1" t="s">
        <v>1400</v>
      </c>
      <c r="F120" s="1" t="s">
        <v>518</v>
      </c>
      <c r="G120" s="25" t="s">
        <v>459</v>
      </c>
    </row>
    <row r="121" spans="1:7" ht="60" x14ac:dyDescent="0.25">
      <c r="A121">
        <v>120</v>
      </c>
      <c r="E121" s="1" t="s">
        <v>1401</v>
      </c>
      <c r="F121" s="1" t="s">
        <v>520</v>
      </c>
      <c r="G121" s="25" t="s">
        <v>459</v>
      </c>
    </row>
    <row r="122" spans="1:7" ht="60" x14ac:dyDescent="0.25">
      <c r="A122">
        <v>121</v>
      </c>
      <c r="E122" s="1" t="s">
        <v>1402</v>
      </c>
      <c r="F122" s="1" t="s">
        <v>522</v>
      </c>
      <c r="G122" s="25" t="s">
        <v>459</v>
      </c>
    </row>
    <row r="123" spans="1:7" ht="60" x14ac:dyDescent="0.25">
      <c r="A123">
        <v>122</v>
      </c>
      <c r="E123" s="1" t="s">
        <v>1403</v>
      </c>
      <c r="F123" s="1" t="s">
        <v>524</v>
      </c>
      <c r="G123" s="25" t="s">
        <v>459</v>
      </c>
    </row>
    <row r="124" spans="1:7" ht="315" x14ac:dyDescent="0.25">
      <c r="A124">
        <v>123</v>
      </c>
      <c r="E124" s="1" t="s">
        <v>1404</v>
      </c>
      <c r="F124" s="1" t="s">
        <v>526</v>
      </c>
      <c r="G124" s="25" t="s">
        <v>527</v>
      </c>
    </row>
    <row r="125" spans="1:7" ht="210" x14ac:dyDescent="0.25">
      <c r="A125">
        <v>124</v>
      </c>
      <c r="E125" s="1" t="s">
        <v>1405</v>
      </c>
      <c r="F125" s="1" t="s">
        <v>532</v>
      </c>
      <c r="G125" s="25" t="s">
        <v>533</v>
      </c>
    </row>
    <row r="126" spans="1:7" ht="75" x14ac:dyDescent="0.25">
      <c r="A126">
        <v>125</v>
      </c>
      <c r="B126" s="4" t="s">
        <v>915</v>
      </c>
      <c r="E126" s="33" t="s">
        <v>1263</v>
      </c>
      <c r="F126" s="33" t="s">
        <v>964</v>
      </c>
      <c r="G126" s="31" t="s">
        <v>965</v>
      </c>
    </row>
    <row r="127" spans="1:7" ht="75" x14ac:dyDescent="0.25">
      <c r="A127">
        <v>126</v>
      </c>
      <c r="E127" s="1" t="s">
        <v>1406</v>
      </c>
      <c r="F127" s="1" t="s">
        <v>1071</v>
      </c>
      <c r="G127" s="25" t="s">
        <v>1072</v>
      </c>
    </row>
    <row r="128" spans="1:7" ht="60" x14ac:dyDescent="0.25">
      <c r="A128">
        <v>127</v>
      </c>
      <c r="E128" s="1" t="s">
        <v>1407</v>
      </c>
      <c r="F128" s="1" t="s">
        <v>1074</v>
      </c>
      <c r="G128" s="25" t="s">
        <v>1075</v>
      </c>
    </row>
    <row r="129" spans="1:7" ht="105" x14ac:dyDescent="0.25">
      <c r="A129">
        <v>128</v>
      </c>
      <c r="E129" s="1" t="s">
        <v>1408</v>
      </c>
      <c r="F129" s="1" t="s">
        <v>1077</v>
      </c>
      <c r="G129" s="25" t="s">
        <v>1409</v>
      </c>
    </row>
    <row r="130" spans="1:7" ht="60" x14ac:dyDescent="0.25">
      <c r="A130">
        <v>129</v>
      </c>
      <c r="E130" s="1" t="s">
        <v>1410</v>
      </c>
      <c r="F130" s="1" t="s">
        <v>1080</v>
      </c>
      <c r="G130" s="25" t="s">
        <v>1081</v>
      </c>
    </row>
    <row r="131" spans="1:7" ht="90" x14ac:dyDescent="0.25">
      <c r="A131">
        <v>130</v>
      </c>
      <c r="E131" s="1" t="s">
        <v>1411</v>
      </c>
      <c r="F131" s="1" t="s">
        <v>1083</v>
      </c>
      <c r="G131" s="25" t="s">
        <v>1084</v>
      </c>
    </row>
    <row r="132" spans="1:7" ht="60" x14ac:dyDescent="0.25">
      <c r="A132">
        <v>131</v>
      </c>
      <c r="E132" s="1" t="s">
        <v>1412</v>
      </c>
      <c r="F132" s="1" t="s">
        <v>1240</v>
      </c>
      <c r="G132" s="25" t="s">
        <v>1413</v>
      </c>
    </row>
    <row r="133" spans="1:7" ht="60" x14ac:dyDescent="0.25">
      <c r="A133">
        <v>132</v>
      </c>
      <c r="E133" s="1" t="s">
        <v>1414</v>
      </c>
      <c r="F133" s="1" t="s">
        <v>1243</v>
      </c>
      <c r="G133" s="25" t="s">
        <v>1415</v>
      </c>
    </row>
    <row r="134" spans="1:7" ht="60" x14ac:dyDescent="0.25">
      <c r="A134">
        <v>133</v>
      </c>
      <c r="E134" s="1" t="s">
        <v>1416</v>
      </c>
      <c r="F134" s="1" t="s">
        <v>1086</v>
      </c>
      <c r="G134" s="25" t="s">
        <v>1417</v>
      </c>
    </row>
    <row r="135" spans="1:7" ht="75" x14ac:dyDescent="0.25">
      <c r="A135">
        <v>134</v>
      </c>
      <c r="E135" s="1" t="s">
        <v>1418</v>
      </c>
      <c r="F135" s="1" t="s">
        <v>1089</v>
      </c>
      <c r="G135" s="25" t="s">
        <v>1419</v>
      </c>
    </row>
    <row r="136" spans="1:7" ht="75" x14ac:dyDescent="0.25">
      <c r="A136">
        <v>135</v>
      </c>
      <c r="E136" s="1" t="s">
        <v>1420</v>
      </c>
      <c r="F136" s="1" t="s">
        <v>1092</v>
      </c>
      <c r="G136" s="25" t="s">
        <v>1093</v>
      </c>
    </row>
    <row r="137" spans="1:7" ht="75" x14ac:dyDescent="0.25">
      <c r="A137">
        <v>136</v>
      </c>
      <c r="E137" s="1" t="s">
        <v>1421</v>
      </c>
      <c r="F137" s="1" t="s">
        <v>561</v>
      </c>
      <c r="G137" s="25" t="s">
        <v>1095</v>
      </c>
    </row>
    <row r="138" spans="1:7" ht="75" x14ac:dyDescent="0.25">
      <c r="A138">
        <v>137</v>
      </c>
      <c r="E138" s="1" t="s">
        <v>1422</v>
      </c>
      <c r="F138" s="1" t="s">
        <v>1097</v>
      </c>
      <c r="G138" s="25" t="s">
        <v>1423</v>
      </c>
    </row>
    <row r="139" spans="1:7" ht="45" x14ac:dyDescent="0.25">
      <c r="A139">
        <v>138</v>
      </c>
      <c r="E139" s="1" t="s">
        <v>1424</v>
      </c>
      <c r="F139" s="1" t="s">
        <v>538</v>
      </c>
      <c r="G139" s="25" t="s">
        <v>539</v>
      </c>
    </row>
    <row r="140" spans="1:7" ht="45" x14ac:dyDescent="0.25">
      <c r="A140">
        <v>139</v>
      </c>
      <c r="E140" s="1" t="s">
        <v>1425</v>
      </c>
      <c r="F140" s="1" t="s">
        <v>542</v>
      </c>
      <c r="G140" s="25" t="s">
        <v>539</v>
      </c>
    </row>
    <row r="141" spans="1:7" ht="45" x14ac:dyDescent="0.25">
      <c r="A141">
        <v>140</v>
      </c>
      <c r="E141" s="1" t="s">
        <v>1426</v>
      </c>
      <c r="F141" s="1" t="s">
        <v>544</v>
      </c>
      <c r="G141" s="25" t="s">
        <v>539</v>
      </c>
    </row>
    <row r="142" spans="1:7" ht="45" x14ac:dyDescent="0.25">
      <c r="A142">
        <v>141</v>
      </c>
      <c r="E142" s="1" t="s">
        <v>1427</v>
      </c>
      <c r="F142" s="1" t="s">
        <v>538</v>
      </c>
      <c r="G142" s="25" t="s">
        <v>547</v>
      </c>
    </row>
    <row r="143" spans="1:7" ht="45" x14ac:dyDescent="0.25">
      <c r="A143">
        <v>142</v>
      </c>
      <c r="E143" s="1" t="s">
        <v>1428</v>
      </c>
      <c r="F143" s="1" t="s">
        <v>542</v>
      </c>
      <c r="G143" s="25" t="s">
        <v>547</v>
      </c>
    </row>
    <row r="144" spans="1:7" ht="45" x14ac:dyDescent="0.25">
      <c r="A144">
        <v>143</v>
      </c>
      <c r="E144" s="1" t="s">
        <v>1429</v>
      </c>
      <c r="F144" s="1" t="s">
        <v>544</v>
      </c>
      <c r="G144" s="25" t="s">
        <v>547</v>
      </c>
    </row>
    <row r="145" spans="1:7" ht="45" x14ac:dyDescent="0.25">
      <c r="A145">
        <v>144</v>
      </c>
      <c r="E145" s="1" t="s">
        <v>1430</v>
      </c>
      <c r="F145" s="1" t="s">
        <v>538</v>
      </c>
      <c r="G145" s="25" t="s">
        <v>551</v>
      </c>
    </row>
    <row r="146" spans="1:7" ht="45" x14ac:dyDescent="0.25">
      <c r="A146">
        <v>145</v>
      </c>
      <c r="E146" s="1" t="s">
        <v>1431</v>
      </c>
      <c r="F146" s="1" t="s">
        <v>542</v>
      </c>
      <c r="G146" s="25" t="s">
        <v>551</v>
      </c>
    </row>
    <row r="147" spans="1:7" ht="45" x14ac:dyDescent="0.25">
      <c r="A147">
        <v>146</v>
      </c>
      <c r="E147" s="1" t="s">
        <v>1432</v>
      </c>
      <c r="F147" s="1" t="s">
        <v>544</v>
      </c>
      <c r="G147" s="25" t="s">
        <v>551</v>
      </c>
    </row>
    <row r="148" spans="1:7" ht="45" x14ac:dyDescent="0.25">
      <c r="A148">
        <v>147</v>
      </c>
      <c r="E148" s="1" t="s">
        <v>1433</v>
      </c>
      <c r="F148" s="1" t="s">
        <v>538</v>
      </c>
      <c r="G148" s="25" t="s">
        <v>556</v>
      </c>
    </row>
    <row r="149" spans="1:7" ht="45" x14ac:dyDescent="0.25">
      <c r="A149">
        <v>148</v>
      </c>
      <c r="E149" s="1" t="s">
        <v>1434</v>
      </c>
      <c r="F149" s="1" t="s">
        <v>542</v>
      </c>
      <c r="G149" s="25" t="s">
        <v>556</v>
      </c>
    </row>
    <row r="150" spans="1:7" ht="45" x14ac:dyDescent="0.25">
      <c r="A150">
        <v>149</v>
      </c>
      <c r="E150" s="1" t="s">
        <v>1435</v>
      </c>
      <c r="F150" s="1" t="s">
        <v>544</v>
      </c>
      <c r="G150" s="25" t="s">
        <v>556</v>
      </c>
    </row>
    <row r="151" spans="1:7" ht="45" x14ac:dyDescent="0.25">
      <c r="A151">
        <v>150</v>
      </c>
      <c r="E151" s="1" t="s">
        <v>1436</v>
      </c>
      <c r="F151" s="1" t="s">
        <v>561</v>
      </c>
      <c r="G151" s="25" t="s">
        <v>1112</v>
      </c>
    </row>
    <row r="152" spans="1:7" ht="45" x14ac:dyDescent="0.25">
      <c r="A152">
        <v>151</v>
      </c>
      <c r="B152" s="4" t="s">
        <v>915</v>
      </c>
      <c r="E152" s="33" t="s">
        <v>1264</v>
      </c>
      <c r="F152" s="33" t="s">
        <v>561</v>
      </c>
      <c r="G152" s="31" t="s">
        <v>967</v>
      </c>
    </row>
    <row r="153" spans="1:7" ht="120" x14ac:dyDescent="0.25">
      <c r="A153">
        <v>152</v>
      </c>
      <c r="E153" s="1" t="s">
        <v>1437</v>
      </c>
      <c r="F153" s="1" t="s">
        <v>561</v>
      </c>
      <c r="G153" s="25" t="s">
        <v>1114</v>
      </c>
    </row>
    <row r="154" spans="1:7" ht="45" x14ac:dyDescent="0.25">
      <c r="A154">
        <v>153</v>
      </c>
      <c r="B154" s="4" t="s">
        <v>915</v>
      </c>
      <c r="E154" s="33" t="s">
        <v>1265</v>
      </c>
      <c r="F154" s="33" t="s">
        <v>1246</v>
      </c>
      <c r="G154" s="31" t="s">
        <v>1247</v>
      </c>
    </row>
    <row r="155" spans="1:7" ht="60" x14ac:dyDescent="0.25">
      <c r="A155">
        <v>154</v>
      </c>
      <c r="B155" s="4" t="s">
        <v>915</v>
      </c>
      <c r="E155" s="33" t="s">
        <v>1266</v>
      </c>
      <c r="F155" s="33" t="s">
        <v>1249</v>
      </c>
      <c r="G155" s="31" t="s">
        <v>1250</v>
      </c>
    </row>
    <row r="156" spans="1:7" ht="45" x14ac:dyDescent="0.25">
      <c r="A156">
        <v>155</v>
      </c>
      <c r="E156" s="1" t="s">
        <v>1438</v>
      </c>
      <c r="F156" s="1" t="s">
        <v>1116</v>
      </c>
      <c r="G156" s="25" t="s">
        <v>1117</v>
      </c>
    </row>
    <row r="157" spans="1:7" ht="75" x14ac:dyDescent="0.25">
      <c r="A157">
        <v>156</v>
      </c>
      <c r="E157" s="1" t="s">
        <v>1439</v>
      </c>
      <c r="F157" s="1" t="s">
        <v>1119</v>
      </c>
      <c r="G157" s="25" t="s">
        <v>1120</v>
      </c>
    </row>
    <row r="158" spans="1:7" ht="90" x14ac:dyDescent="0.25">
      <c r="A158">
        <v>157</v>
      </c>
      <c r="E158" s="1" t="s">
        <v>1440</v>
      </c>
      <c r="F158" s="1" t="s">
        <v>1122</v>
      </c>
      <c r="G158" s="25" t="s">
        <v>1123</v>
      </c>
    </row>
    <row r="159" spans="1:7" ht="75" x14ac:dyDescent="0.25">
      <c r="A159">
        <v>158</v>
      </c>
      <c r="E159" s="1" t="s">
        <v>1441</v>
      </c>
      <c r="F159" s="1" t="s">
        <v>1125</v>
      </c>
      <c r="G159" s="25" t="s">
        <v>1126</v>
      </c>
    </row>
    <row r="160" spans="1:7" ht="45" x14ac:dyDescent="0.25">
      <c r="A160">
        <v>159</v>
      </c>
      <c r="E160" s="1" t="s">
        <v>1442</v>
      </c>
      <c r="F160" s="1" t="s">
        <v>570</v>
      </c>
      <c r="G160" s="25" t="s">
        <v>1128</v>
      </c>
    </row>
    <row r="161" spans="1:7" ht="60" x14ac:dyDescent="0.25">
      <c r="A161">
        <v>160</v>
      </c>
      <c r="E161" s="1" t="s">
        <v>1443</v>
      </c>
      <c r="F161" s="1" t="s">
        <v>538</v>
      </c>
      <c r="G161" s="25" t="s">
        <v>1130</v>
      </c>
    </row>
    <row r="162" spans="1:7" ht="45" x14ac:dyDescent="0.25">
      <c r="A162">
        <v>161</v>
      </c>
      <c r="E162" s="1" t="s">
        <v>1444</v>
      </c>
      <c r="F162" s="1" t="s">
        <v>1132</v>
      </c>
      <c r="G162" s="25" t="s">
        <v>1133</v>
      </c>
    </row>
    <row r="163" spans="1:7" ht="60" x14ac:dyDescent="0.25">
      <c r="A163">
        <v>162</v>
      </c>
      <c r="E163" s="1" t="s">
        <v>1445</v>
      </c>
      <c r="F163" s="1" t="s">
        <v>544</v>
      </c>
      <c r="G163" s="25" t="s">
        <v>1135</v>
      </c>
    </row>
    <row r="164" spans="1:7" ht="105" x14ac:dyDescent="0.25">
      <c r="A164">
        <v>163</v>
      </c>
      <c r="E164" s="1" t="s">
        <v>1446</v>
      </c>
      <c r="F164" s="1" t="s">
        <v>1137</v>
      </c>
      <c r="G164" s="25" t="s">
        <v>1138</v>
      </c>
    </row>
    <row r="165" spans="1:7" ht="75" x14ac:dyDescent="0.25">
      <c r="A165">
        <v>164</v>
      </c>
      <c r="E165" s="1" t="s">
        <v>1447</v>
      </c>
      <c r="F165" s="1" t="s">
        <v>1140</v>
      </c>
      <c r="G165" s="25" t="s">
        <v>1141</v>
      </c>
    </row>
    <row r="166" spans="1:7" ht="75" x14ac:dyDescent="0.25">
      <c r="A166">
        <v>165</v>
      </c>
      <c r="E166" s="1" t="s">
        <v>1448</v>
      </c>
      <c r="F166" s="1" t="s">
        <v>1143</v>
      </c>
      <c r="G166" s="25" t="s">
        <v>1144</v>
      </c>
    </row>
    <row r="167" spans="1:7" ht="75" x14ac:dyDescent="0.25">
      <c r="A167">
        <v>166</v>
      </c>
      <c r="E167" s="1" t="s">
        <v>1449</v>
      </c>
      <c r="F167" s="1" t="s">
        <v>1146</v>
      </c>
      <c r="G167" s="25" t="s">
        <v>1147</v>
      </c>
    </row>
    <row r="168" spans="1:7" ht="105" x14ac:dyDescent="0.25">
      <c r="A168">
        <v>167</v>
      </c>
      <c r="E168" s="1" t="s">
        <v>1450</v>
      </c>
      <c r="F168" s="1" t="s">
        <v>1451</v>
      </c>
      <c r="G168" s="25" t="s">
        <v>1452</v>
      </c>
    </row>
    <row r="169" spans="1:7" ht="60" x14ac:dyDescent="0.25">
      <c r="A169">
        <v>168</v>
      </c>
      <c r="E169" s="1" t="s">
        <v>1453</v>
      </c>
      <c r="F169" s="1" t="s">
        <v>1149</v>
      </c>
      <c r="G169" s="25" t="s">
        <v>1150</v>
      </c>
    </row>
    <row r="170" spans="1:7" ht="60" x14ac:dyDescent="0.25">
      <c r="A170">
        <v>169</v>
      </c>
      <c r="E170" s="1" t="s">
        <v>1454</v>
      </c>
      <c r="F170" s="1" t="s">
        <v>575</v>
      </c>
      <c r="G170" s="25" t="s">
        <v>1455</v>
      </c>
    </row>
    <row r="171" spans="1:7" ht="75" x14ac:dyDescent="0.25">
      <c r="A171">
        <v>170</v>
      </c>
      <c r="E171" s="1" t="s">
        <v>1456</v>
      </c>
      <c r="F171" s="1" t="s">
        <v>580</v>
      </c>
      <c r="G171" s="25" t="s">
        <v>1152</v>
      </c>
    </row>
    <row r="172" spans="1:7" ht="75" x14ac:dyDescent="0.25">
      <c r="A172">
        <v>171</v>
      </c>
      <c r="E172" s="1" t="s">
        <v>1457</v>
      </c>
      <c r="F172" s="1" t="s">
        <v>585</v>
      </c>
      <c r="G172" s="25" t="s">
        <v>1154</v>
      </c>
    </row>
    <row r="173" spans="1:7" ht="60" x14ac:dyDescent="0.25">
      <c r="A173">
        <v>172</v>
      </c>
      <c r="E173" s="1" t="s">
        <v>1458</v>
      </c>
      <c r="F173" s="1" t="s">
        <v>1156</v>
      </c>
      <c r="G173" s="25" t="s">
        <v>1157</v>
      </c>
    </row>
    <row r="174" spans="1:7" ht="60" x14ac:dyDescent="0.25">
      <c r="A174">
        <v>173</v>
      </c>
      <c r="E174" s="1" t="s">
        <v>1459</v>
      </c>
      <c r="F174" s="1" t="s">
        <v>1460</v>
      </c>
      <c r="G174" s="25" t="s">
        <v>1160</v>
      </c>
    </row>
    <row r="175" spans="1:7" ht="75" x14ac:dyDescent="0.25">
      <c r="A175">
        <v>174</v>
      </c>
      <c r="E175" s="1" t="s">
        <v>1461</v>
      </c>
      <c r="F175" s="1" t="s">
        <v>1162</v>
      </c>
      <c r="G175" s="25" t="s">
        <v>1163</v>
      </c>
    </row>
    <row r="176" spans="1:7" ht="75" x14ac:dyDescent="0.25">
      <c r="A176">
        <v>175</v>
      </c>
      <c r="E176" s="1" t="s">
        <v>1462</v>
      </c>
      <c r="F176" s="1" t="s">
        <v>1165</v>
      </c>
      <c r="G176" s="25" t="s">
        <v>1163</v>
      </c>
    </row>
    <row r="177" spans="1:7" ht="75" x14ac:dyDescent="0.25">
      <c r="A177">
        <v>176</v>
      </c>
      <c r="E177" s="1" t="s">
        <v>1463</v>
      </c>
      <c r="F177" s="1" t="s">
        <v>1167</v>
      </c>
      <c r="G177" s="25" t="s">
        <v>1163</v>
      </c>
    </row>
    <row r="178" spans="1:7" ht="90" x14ac:dyDescent="0.25">
      <c r="A178">
        <v>177</v>
      </c>
      <c r="E178" s="1" t="s">
        <v>1464</v>
      </c>
      <c r="F178" s="1" t="s">
        <v>1169</v>
      </c>
      <c r="G178" s="25" t="s">
        <v>1170</v>
      </c>
    </row>
    <row r="179" spans="1:7" ht="75" x14ac:dyDescent="0.25">
      <c r="A179">
        <v>178</v>
      </c>
      <c r="E179" s="1" t="s">
        <v>1465</v>
      </c>
      <c r="F179" s="1" t="s">
        <v>1172</v>
      </c>
      <c r="G179" s="25" t="s">
        <v>1163</v>
      </c>
    </row>
    <row r="180" spans="1:7" ht="255" x14ac:dyDescent="0.25">
      <c r="A180">
        <v>179</v>
      </c>
      <c r="E180" s="1" t="s">
        <v>1466</v>
      </c>
      <c r="F180" s="1" t="s">
        <v>1177</v>
      </c>
      <c r="G180" s="25" t="s">
        <v>1467</v>
      </c>
    </row>
    <row r="181" spans="1:7" ht="255" x14ac:dyDescent="0.25">
      <c r="A181">
        <v>180</v>
      </c>
      <c r="E181" s="1" t="s">
        <v>1468</v>
      </c>
      <c r="F181" s="1" t="s">
        <v>1180</v>
      </c>
      <c r="G181" s="25" t="s">
        <v>1467</v>
      </c>
    </row>
    <row r="182" spans="1:7" ht="270" x14ac:dyDescent="0.25">
      <c r="A182">
        <v>181</v>
      </c>
      <c r="E182" s="1" t="s">
        <v>1469</v>
      </c>
      <c r="F182" s="1" t="s">
        <v>1182</v>
      </c>
      <c r="G182" s="25" t="s">
        <v>1470</v>
      </c>
    </row>
    <row r="183" spans="1:7" ht="270" x14ac:dyDescent="0.25">
      <c r="A183">
        <v>182</v>
      </c>
      <c r="E183" s="1" t="s">
        <v>1471</v>
      </c>
      <c r="F183" s="1" t="s">
        <v>1185</v>
      </c>
      <c r="G183" s="25" t="s">
        <v>1470</v>
      </c>
    </row>
    <row r="184" spans="1:7" ht="255" x14ac:dyDescent="0.25">
      <c r="A184">
        <v>183</v>
      </c>
      <c r="E184" s="1" t="s">
        <v>1472</v>
      </c>
      <c r="F184" s="1" t="s">
        <v>1187</v>
      </c>
      <c r="G184" s="25" t="s">
        <v>1188</v>
      </c>
    </row>
    <row r="185" spans="1:7" ht="255" x14ac:dyDescent="0.25">
      <c r="A185">
        <v>184</v>
      </c>
      <c r="E185" s="1" t="s">
        <v>1473</v>
      </c>
      <c r="F185" s="1" t="s">
        <v>1190</v>
      </c>
      <c r="G185" s="25" t="s">
        <v>1188</v>
      </c>
    </row>
    <row r="186" spans="1:7" ht="225" x14ac:dyDescent="0.25">
      <c r="A186">
        <v>185</v>
      </c>
      <c r="E186" s="1" t="s">
        <v>1474</v>
      </c>
      <c r="F186" s="1" t="s">
        <v>1192</v>
      </c>
      <c r="G186" s="25" t="s">
        <v>1193</v>
      </c>
    </row>
    <row r="187" spans="1:7" ht="225" x14ac:dyDescent="0.25">
      <c r="A187">
        <v>186</v>
      </c>
      <c r="E187" s="1" t="s">
        <v>1475</v>
      </c>
      <c r="F187" s="1" t="s">
        <v>1476</v>
      </c>
      <c r="G187" s="25" t="s">
        <v>1193</v>
      </c>
    </row>
    <row r="188" spans="1:7" ht="210" x14ac:dyDescent="0.25">
      <c r="A188">
        <v>187</v>
      </c>
      <c r="E188" s="1" t="s">
        <v>1477</v>
      </c>
      <c r="F188" s="1" t="s">
        <v>1196</v>
      </c>
      <c r="G188" s="25" t="s">
        <v>1197</v>
      </c>
    </row>
    <row r="189" spans="1:7" ht="210" x14ac:dyDescent="0.25">
      <c r="A189">
        <v>188</v>
      </c>
      <c r="E189" s="1" t="s">
        <v>1478</v>
      </c>
      <c r="F189" s="1" t="s">
        <v>1199</v>
      </c>
      <c r="G189" s="25" t="s">
        <v>1197</v>
      </c>
    </row>
    <row r="190" spans="1:7" ht="240" x14ac:dyDescent="0.25">
      <c r="A190">
        <v>189</v>
      </c>
      <c r="E190" s="1" t="s">
        <v>1479</v>
      </c>
      <c r="F190" s="1" t="s">
        <v>1480</v>
      </c>
      <c r="G190" s="25" t="s">
        <v>1481</v>
      </c>
    </row>
    <row r="191" spans="1:7" ht="195" x14ac:dyDescent="0.25">
      <c r="A191">
        <v>190</v>
      </c>
      <c r="E191" s="1" t="s">
        <v>1482</v>
      </c>
      <c r="F191" s="1" t="s">
        <v>1204</v>
      </c>
      <c r="G191" s="25" t="s">
        <v>1483</v>
      </c>
    </row>
  </sheetData>
  <autoFilter ref="A1:AL1" xr:uid="{E5632E12-76F3-41F8-A6BA-959CBB36AAEA}">
    <sortState xmlns:xlrd2="http://schemas.microsoft.com/office/spreadsheetml/2017/richdata2" ref="A2:AL191">
      <sortCondition ref="E1"/>
    </sortState>
  </autoFilter>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Script Inventory</vt:lpstr>
      <vt:lpstr>PTTSendFundsDup</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Matabang, Abraham Alexis  R.</dc:creator>
  <cp:keywords/>
  <dc:description/>
  <cp:lastModifiedBy>Matabang, Abraham Alexis  R.</cp:lastModifiedBy>
  <cp:revision/>
  <dcterms:created xsi:type="dcterms:W3CDTF">2026-07-08T04:31:02Z</dcterms:created>
  <dcterms:modified xsi:type="dcterms:W3CDTF">2026-08-04T07:01:20Z</dcterms:modified>
  <cp:category/>
  <cp:contentStatus/>
</cp:coreProperties>
</file>